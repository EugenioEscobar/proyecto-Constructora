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<sst xmlns="http://schemas.openxmlformats.org/spreadsheetml/2006/main" count="1782" uniqueCount="161">
  <si>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</si>
  <si>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</si>
  <si>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</si>
  <si>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</si>
  <si>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</si>
  <si>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</si>
  <si>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</si>
  <si>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</si>
  <si>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</si>
  <si>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</si>
  <si>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</si>
  <si>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</si>
  <si>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</si>
  <si>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</si>
  <si>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</si>
  <si>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</si>
  <si>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</si>
  <si>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</si>
  <si>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</si>
  <si>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</si>
  <si>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</si>
  <si>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</si>
  <si>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</si>
  <si>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</si>
  <si>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</si>
  <si>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</si>
  <si>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</si>
  <si>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</si>
  <si>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</si>
  <si>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</si>
  <si>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</si>
  <si>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</si>
  <si>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</si>
  <si>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</si>
  <si>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</si>
  <si>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</si>
  <si>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</si>
  <si>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</si>
  <si>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</si>
  <si>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</si>
  <si>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</si>
  <si>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</si>
  <si>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</si>
  <si>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</si>
  <si>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</si>
  <si>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</si>
  <si>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</si>
  <si>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</si>
  <si>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</si>
  <si>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</si>
  <si>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</si>
  <si>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</si>
  <si>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</si>
  <si>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</si>
  <si>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</si>
  <si>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</si>
  <si>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</si>
  <si>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</si>
  <si>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</si>
  <si>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</si>
  <si>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</si>
  <si>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</si>
  <si>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</si>
  <si>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</si>
  <si>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</si>
  <si>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</si>
  <si>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</si>
  <si>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</si>
  <si>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</si>
  <si>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</si>
  <si>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</si>
  <si>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</si>
  <si>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</si>
  <si>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</si>
  <si>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</si>
  <si>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</si>
  <si>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</si>
  <si>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</si>
  <si>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</si>
  <si>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</si>
  <si>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</si>
  <si>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</si>
  <si>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</si>
  <si>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</si>
  <si>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</si>
  <si>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</si>
  <si>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</si>
  <si>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</si>
  <si>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</si>
  <si>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</si>
  <si>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</si>
  <si>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</si>
  <si>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</si>
  <si>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</si>
  <si>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</si>
  <si>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</si>
  <si>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</si>
  <si>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</si>
  <si>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</si>
  <si>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</si>
  <si>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</si>
  <si>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</si>
  <si>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</si>
  <si>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</si>
  <si>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</si>
  <si>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</si>
  <si>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</si>
  <si>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</si>
  <si>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</si>
  <si>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</si>
  <si>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</si>
  <si>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</si>
  <si>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</si>
  <si>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</si>
  <si>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</si>
  <si>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</si>
  <si>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</si>
  <si>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</si>
  <si>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</si>
  <si>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</si>
  <si>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</si>
  <si>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</si>
  <si>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</si>
  <si>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</si>
  <si>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</si>
  <si>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</si>
  <si>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</si>
  <si>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</si>
  <si>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</si>
  <si>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</si>
  <si>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</si>
  <si>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</si>
  <si>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</si>
  <si>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</si>
  <si>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</si>
  <si>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</si>
  <si>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</si>
  <si>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</si>
  <si>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</si>
  <si>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</si>
  <si>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</si>
  <si>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</si>
  <si>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</si>
  <si>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</si>
  <si>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</si>
  <si>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CIELO MANCHADO SOBRE MUEBLES COLGANTES- Acceso (OT 1)</t>
  </si>
  <si>
    <t>CANTO HOJA MOVIL DE VENTANA DAÑADO - Living (OT 1)</t>
  </si>
  <si>
    <t>TIRADOR DE LA VENTANA SUELTO - Living (OT 1)</t>
  </si>
  <si>
    <t>LAVAMANOS SIN AIREADOR - Baño (OT 1)</t>
  </si>
  <si>
    <t>CANTOS DE PUERTAS SIN PINTAR -General  (OT 1)</t>
  </si>
  <si>
    <t>PINTURA CIELO DESCASCARADA - Baño (OT 2)</t>
  </si>
  <si>
    <t>3 CERAMICAS FISURAS PISO  -  Baño ( OT 2)</t>
  </si>
  <si>
    <t>PUERTA VIDRIADA CAIDA MUEBLE COLGANTE  - Cocina (OT F)</t>
  </si>
  <si>
    <t>ADM</t>
  </si>
  <si>
    <t>FILTRACION PPR LAVAMANOS  SALA CONSERJES  - Piso 1 OT Z3)</t>
  </si>
  <si>
    <t>FILTRACION LOSA EN SHAFT CCDD - Piso 2 (OT Z)</t>
  </si>
  <si>
    <t>PINTURA CIELO DESCASCARADA - Baño (OT 2ño (OT G)</t>
  </si>
  <si>
    <t>9:30</t>
  </si>
  <si>
    <t>12:30</t>
  </si>
  <si>
    <t>PINTURA CIELO DESCASCARADA - Baño (OT 2ño (OT H) y otros</t>
  </si>
  <si>
    <t>PINTURA CIELO DESCASCARADA - Baño (OT 2ño (OT H).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</si>
</sst>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image" Target="../media/image2.emf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13" zoomScale="69" zoomScaleNormal="69" workbookViewId="0">
      <selection activeCell="F17" sqref="F17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90</v>
      </c>
      <c r="E5" s="212"/>
      <c r="F5" s="151"/>
      <c r="G5" s="151"/>
      <c r="H5" s="205" t="s">
        <v>76</v>
      </c>
      <c r="I5" s="206"/>
      <c r="J5" s="199" t="s">
        <v>116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64</v>
      </c>
      <c r="E6" s="202"/>
      <c r="F6" s="152"/>
      <c r="G6" s="152"/>
      <c r="H6" s="207" t="s">
        <v>5</v>
      </c>
      <c r="I6" s="208"/>
      <c r="J6" s="200">
        <v>43787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97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145</v>
      </c>
      <c r="E11" s="133"/>
      <c r="F11" s="121"/>
      <c r="G11" s="135"/>
      <c r="H11" s="133"/>
      <c r="I11" s="134"/>
      <c r="J11" s="186">
        <v>43899</v>
      </c>
      <c r="K11" s="135"/>
      <c r="L11" s="194">
        <v>1</v>
      </c>
      <c r="M11" s="198" t="s">
        <v>142</v>
      </c>
      <c r="N11" s="169" t="s">
        <v>141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146</v>
      </c>
      <c r="E12" s="133"/>
      <c r="F12" s="121"/>
      <c r="G12" s="135"/>
      <c r="H12" s="133"/>
      <c r="I12" s="134"/>
      <c r="J12" s="186">
        <v>43901</v>
      </c>
      <c r="K12" s="135"/>
      <c r="L12" s="194">
        <v>0</v>
      </c>
      <c r="M12" s="198" t="s">
        <v>157</v>
      </c>
      <c r="N12" s="169" t="s">
        <v>158</v>
      </c>
      <c r="O12" s="119" t="s">
        <v>144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147</v>
      </c>
      <c r="E13" s="133"/>
      <c r="F13" s="121"/>
      <c r="G13" s="135"/>
      <c r="H13" s="133"/>
      <c r="I13" s="132"/>
      <c r="J13" s="186">
        <v>43899</v>
      </c>
      <c r="K13" s="135"/>
      <c r="L13" s="194">
        <v>0</v>
      </c>
      <c r="M13" s="198" t="s">
        <v>157</v>
      </c>
      <c r="N13" s="169" t="s">
        <v>158</v>
      </c>
      <c r="O13" s="119" t="s">
        <v>144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148</v>
      </c>
      <c r="E14" s="133"/>
      <c r="F14" s="121"/>
      <c r="G14" s="135"/>
      <c r="H14" s="133"/>
      <c r="I14" s="132"/>
      <c r="J14" s="186">
        <v>43901</v>
      </c>
      <c r="K14" s="135"/>
      <c r="L14" s="194">
        <v>0</v>
      </c>
      <c r="M14" s="198" t="s">
        <v>157</v>
      </c>
      <c r="N14" s="169" t="s">
        <v>158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149</v>
      </c>
      <c r="E15" s="133"/>
      <c r="F15" s="121"/>
      <c r="G15" s="135"/>
      <c r="H15" s="133"/>
      <c r="I15" s="132"/>
      <c r="J15" s="186">
        <v>43902</v>
      </c>
      <c r="K15" s="135"/>
      <c r="L15" s="194">
        <v>0</v>
      </c>
      <c r="M15" s="198" t="s">
        <v>157</v>
      </c>
      <c r="N15" s="169" t="s">
        <v>158</v>
      </c>
      <c r="O15" s="119" t="s">
        <v>144</v>
      </c>
      <c r="P15" s="120"/>
      <c r="Q15" s="1"/>
    </row>
    <row r="16" spans="1:17" ht="49.5" customHeight="1">
      <c r="A16" s="21"/>
      <c r="B16" s="115">
        <f t="shared" si="0"/>
        <v>6</v>
      </c>
      <c r="C16" s="185">
        <v>213</v>
      </c>
      <c r="D16" s="183" t="s">
        <v>150</v>
      </c>
      <c r="E16" s="133"/>
      <c r="F16" s="121"/>
      <c r="G16" s="135"/>
      <c r="H16" s="133"/>
      <c r="I16" s="132"/>
      <c r="J16" s="186">
        <v>43899</v>
      </c>
      <c r="K16" s="135"/>
      <c r="L16" s="194">
        <v>0</v>
      </c>
      <c r="M16" s="198" t="s">
        <v>157</v>
      </c>
      <c r="N16" s="169" t="s">
        <v>158</v>
      </c>
      <c r="O16" s="119" t="s">
        <v>144</v>
      </c>
      <c r="P16" s="120"/>
      <c r="Q16" s="1"/>
    </row>
    <row r="17" spans="1:17" ht="49.5" customHeight="1">
      <c r="A17" s="21"/>
      <c r="B17" s="115">
        <f t="shared" si="0"/>
        <v>7</v>
      </c>
      <c r="C17" s="184">
        <v>213</v>
      </c>
      <c r="D17" s="182" t="s">
        <v>151</v>
      </c>
      <c r="E17" s="133"/>
      <c r="F17" s="121"/>
      <c r="G17" s="135"/>
      <c r="H17" s="133"/>
      <c r="I17" s="132"/>
      <c r="J17" s="186">
        <v>43902</v>
      </c>
      <c r="K17" s="135"/>
      <c r="L17" s="194">
        <v>0</v>
      </c>
      <c r="M17" s="198" t="s">
        <v>157</v>
      </c>
      <c r="N17" s="169" t="s">
        <v>158</v>
      </c>
      <c r="O17" s="119" t="s">
        <v>144</v>
      </c>
      <c r="P17" s="120"/>
      <c r="Q17" s="1"/>
    </row>
    <row r="18" spans="1:17" ht="49.5" customHeight="1">
      <c r="A18" s="21"/>
      <c r="B18" s="115">
        <f t="shared" si="0"/>
        <v>8</v>
      </c>
      <c r="C18" s="185">
        <v>114</v>
      </c>
      <c r="D18" s="183" t="s">
        <v>152</v>
      </c>
      <c r="E18" s="133"/>
      <c r="F18" s="121"/>
      <c r="G18" s="135"/>
      <c r="H18" s="133"/>
      <c r="I18" s="132"/>
      <c r="J18" s="186">
        <v>43899</v>
      </c>
      <c r="K18" s="135"/>
      <c r="L18" s="194">
        <v>0</v>
      </c>
      <c r="M18" s="198" t="s">
        <v>157</v>
      </c>
      <c r="N18" s="169" t="s">
        <v>158</v>
      </c>
      <c r="O18" s="119" t="s">
        <v>144</v>
      </c>
      <c r="P18" s="120"/>
      <c r="Q18" s="1"/>
    </row>
    <row r="19" spans="1:17" ht="49.5" customHeight="1">
      <c r="A19" s="21"/>
      <c r="B19" s="115">
        <f t="shared" si="0"/>
        <v>9</v>
      </c>
      <c r="C19" s="184" t="s">
        <v>153</v>
      </c>
      <c r="D19" s="182" t="s">
        <v>154</v>
      </c>
      <c r="E19" s="133"/>
      <c r="F19" s="121"/>
      <c r="G19" s="135"/>
      <c r="H19" s="133"/>
      <c r="I19" s="125"/>
      <c r="J19" s="186">
        <v>43902</v>
      </c>
      <c r="K19" s="135"/>
      <c r="L19" s="194">
        <v>0</v>
      </c>
      <c r="M19" s="198" t="s">
        <v>157</v>
      </c>
      <c r="N19" s="169" t="s">
        <v>158</v>
      </c>
      <c r="O19" s="119" t="s">
        <v>144</v>
      </c>
      <c r="P19" s="120"/>
      <c r="Q19" s="1"/>
    </row>
    <row r="20" spans="1:17" ht="49.5" customHeight="1">
      <c r="A20" s="21"/>
      <c r="B20" s="115">
        <f t="shared" si="0"/>
        <v>10</v>
      </c>
      <c r="C20" s="185" t="s">
        <v>153</v>
      </c>
      <c r="D20" s="183" t="s">
        <v>155</v>
      </c>
      <c r="E20" s="133"/>
      <c r="F20" s="121"/>
      <c r="G20" s="135"/>
      <c r="H20" s="133"/>
      <c r="I20" s="125"/>
      <c r="J20" s="186">
        <v>43903</v>
      </c>
      <c r="K20" s="135"/>
      <c r="L20" s="194">
        <v>0</v>
      </c>
      <c r="M20" s="198" t="s">
        <v>157</v>
      </c>
      <c r="N20" s="169" t="s">
        <v>158</v>
      </c>
      <c r="O20" s="119" t="s">
        <v>144</v>
      </c>
      <c r="P20" s="120"/>
      <c r="Q20" s="1"/>
    </row>
    <row r="21" spans="1:17" ht="49.5" customHeight="1">
      <c r="A21" s="21"/>
      <c r="B21" s="115">
        <f t="shared" si="0"/>
        <v>11</v>
      </c>
      <c r="C21" s="184">
        <v>908</v>
      </c>
      <c r="D21" s="182" t="s">
        <v>156</v>
      </c>
      <c r="E21" s="133"/>
      <c r="F21" s="121"/>
      <c r="G21" s="135"/>
      <c r="H21" s="133"/>
      <c r="I21" s="125"/>
      <c r="J21" s="186">
        <v>43901</v>
      </c>
      <c r="K21" s="135"/>
      <c r="L21" s="194">
        <v>0</v>
      </c>
      <c r="M21" s="198" t="s">
        <v>157</v>
      </c>
      <c r="N21" s="169" t="s">
        <v>158</v>
      </c>
      <c r="O21" s="119" t="s">
        <v>144</v>
      </c>
      <c r="P21" s="120"/>
      <c r="Q21" s="1"/>
    </row>
    <row r="22" spans="1:17" ht="49.5" customHeight="1">
      <c r="A22" s="21"/>
      <c r="B22" s="115">
        <f t="shared" si="0"/>
        <v>12</v>
      </c>
      <c r="C22" s="185">
        <v>908</v>
      </c>
      <c r="D22" s="183" t="s">
        <v>160</v>
      </c>
      <c r="E22" s="133"/>
      <c r="F22" s="121"/>
      <c r="G22" s="135"/>
      <c r="H22" s="133"/>
      <c r="I22" s="125"/>
      <c r="J22" s="186">
        <v>43903</v>
      </c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>
        <f t="shared" si="0"/>
        <v>13</v>
      </c>
      <c r="C23" s="185">
        <v>908</v>
      </c>
      <c r="D23" s="183" t="s">
        <v>159</v>
      </c>
      <c r="E23" s="133"/>
      <c r="F23" s="121"/>
      <c r="G23" s="124"/>
      <c r="H23" s="123"/>
      <c r="I23" s="125"/>
      <c r="J23" s="186">
        <v>43902</v>
      </c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5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7" name="CheckBox1">
          <controlPr defaultSize="0" autoLine="0" r:id="rId8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7" name="CheckBox1"/>
      </mc:Fallback>
    </mc:AlternateContent>
    <mc:AlternateContent xmlns:mc="http://schemas.openxmlformats.org/markup-compatibility/2006">
      <mc:Choice Requires="x14">
        <control shapeId="1258" r:id="rId9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9" name="CheckBox4"/>
      </mc:Fallback>
    </mc:AlternateContent>
    <mc:AlternateContent xmlns:mc="http://schemas.openxmlformats.org/markup-compatibility/2006">
      <mc:Choice Requires="x14">
        <control shapeId="1259" r:id="rId10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" name="CheckBox5"/>
      </mc:Fallback>
    </mc:AlternateContent>
    <mc:AlternateContent xmlns:mc="http://schemas.openxmlformats.org/markup-compatibility/2006">
      <mc:Choice Requires="x14">
        <control shapeId="1260" r:id="rId11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1" name="CheckBox6"/>
      </mc:Fallback>
    </mc:AlternateContent>
    <mc:AlternateContent xmlns:mc="http://schemas.openxmlformats.org/markup-compatibility/2006">
      <mc:Choice Requires="x14">
        <control shapeId="1261" r:id="rId12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2" name="CheckBox7"/>
      </mc:Fallback>
    </mc:AlternateContent>
    <mc:AlternateContent xmlns:mc="http://schemas.openxmlformats.org/markup-compatibility/2006">
      <mc:Choice Requires="x14">
        <control shapeId="1262" r:id="rId13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3" name="CheckBox8"/>
      </mc:Fallback>
    </mc:AlternateContent>
    <mc:AlternateContent xmlns:mc="http://schemas.openxmlformats.org/markup-compatibility/2006">
      <mc:Choice Requires="x14">
        <control shapeId="1263" r:id="rId14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4" name="CheckBox9"/>
      </mc:Fallback>
    </mc:AlternateContent>
    <mc:AlternateContent xmlns:mc="http://schemas.openxmlformats.org/markup-compatibility/2006">
      <mc:Choice Requires="x14">
        <control shapeId="1264" r:id="rId15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5" name="CheckBox10"/>
      </mc:Fallback>
    </mc:AlternateContent>
    <mc:AlternateContent xmlns:mc="http://schemas.openxmlformats.org/markup-compatibility/2006">
      <mc:Choice Requires="x14">
        <control shapeId="1265" r:id="rId16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6" name="CheckBox11"/>
      </mc:Fallback>
    </mc:AlternateContent>
    <mc:AlternateContent xmlns:mc="http://schemas.openxmlformats.org/markup-compatibility/2006">
      <mc:Choice Requires="x14">
        <control shapeId="1266" r:id="rId17" name="CheckBox12">
          <controlPr defaultSize="0" autoLine="0" r:id="rId8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7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8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8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8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8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PIO XI</v>
      </c>
      <c r="C3" s="144" t="str">
        <f>IF(G3=".","",Formulario!D$6)</f>
        <v>Quilín</v>
      </c>
      <c r="D3" s="144" t="str">
        <f>IF(H3=".","",Formulario!D$7)</f>
        <v>Francisco González</v>
      </c>
      <c r="E3" s="144" t="str">
        <f>IF(G3=".","",Formulario!J$5)</f>
        <v>Jasmine Sotomayor</v>
      </c>
      <c r="F3" s="145">
        <f>IF(G3=".","",Formulario!J$6)</f>
        <v>43787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43899</v>
      </c>
      <c r="O3" s="155">
        <f>Formulario!L11</f>
        <v>1</v>
      </c>
      <c r="P3" s="180" t="str">
        <f>IF(Formulario!L11=1,"9:00",Formulario!M11)</f>
        <v>9:00</v>
      </c>
      <c r="Q3" s="180" t="str">
        <f>IF(Formulario!L11=1,"18:30",Formulario!N11)</f>
        <v>18:30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PIO XI</v>
      </c>
      <c r="C4" s="144" t="str">
        <f>IF(G4=".","",Formulario!D$6)</f>
        <v>Quilín</v>
      </c>
      <c r="D4" s="144" t="str">
        <f>IF(H4=".","",Formulario!D$7)</f>
        <v>Francisco González</v>
      </c>
      <c r="E4" s="144" t="str">
        <f>IF(G4=".","",Formulario!J$5)</f>
        <v>Jasmine Sotomayor</v>
      </c>
      <c r="F4" s="145">
        <f>IF(G4=".","",Formulario!J$6)</f>
        <v>43787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43901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>Post Venta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PIO XI</v>
      </c>
      <c r="C5" s="144" t="str">
        <f>IF(G5=".","",Formulario!D$6)</f>
        <v>Quilín</v>
      </c>
      <c r="D5" s="144" t="str">
        <f>IF(H5=".","",Formulario!D$7)</f>
        <v>Francisco González</v>
      </c>
      <c r="E5" s="144" t="str">
        <f>IF(G5=".","",Formulario!J$5)</f>
        <v>Jasmine Sotomayor</v>
      </c>
      <c r="F5" s="145">
        <f>IF(G5=".","",Formulario!J$6)</f>
        <v>43787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43899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>Post Venta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PIO XI</v>
      </c>
      <c r="C6" s="144" t="str">
        <f>IF(G6=".","",Formulario!D$6)</f>
        <v>Quilín</v>
      </c>
      <c r="D6" s="144" t="str">
        <f>IF(H6=".","",Formulario!D$7)</f>
        <v>Francisco González</v>
      </c>
      <c r="E6" s="144" t="str">
        <f>IF(G6=".","",Formulario!J$5)</f>
        <v>Jasmine Sotomayor</v>
      </c>
      <c r="F6" s="145">
        <f>IF(G6=".","",Formulario!J$6)</f>
        <v>43787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43901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PIO XI</v>
      </c>
      <c r="C7" s="144" t="str">
        <f>IF(G7=".","",Formulario!D$6)</f>
        <v>Quilín</v>
      </c>
      <c r="D7" s="144" t="str">
        <f>IF(H7=".","",Formulario!D$7)</f>
        <v>Francisco González</v>
      </c>
      <c r="E7" s="144" t="str">
        <f>IF(G7=".","",Formulario!J$5)</f>
        <v>Jasmine Sotomayor</v>
      </c>
      <c r="F7" s="145">
        <f>IF(G7=".","",Formulario!J$6)</f>
        <v>43787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43902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>
        <f>Formulario!B16</f>
        <v>6</v>
      </c>
      <c r="B8" s="144" t="str">
        <f>IF(G8="."," ",Formulario!D$5)</f>
        <v>PIO XI</v>
      </c>
      <c r="C8" s="144" t="str">
        <f>IF(G8=".","",Formulario!D$6)</f>
        <v>Quilín</v>
      </c>
      <c r="D8" s="144" t="str">
        <f>IF(H8=".","",Formulario!D$7)</f>
        <v>Francisco González</v>
      </c>
      <c r="E8" s="144" t="str">
        <f>IF(G8=".","",Formulario!J$5)</f>
        <v>Jasmine Sotomayor</v>
      </c>
      <c r="F8" s="145">
        <f>IF(G8=".","",Formulario!J$6)</f>
        <v>43787</v>
      </c>
      <c r="G8" s="180">
        <f>IF(Formulario!C16&lt;&gt;"",IF(Formulario!C16=" ","Falta Depto",IF(H8=".","Error En Descripción",Formulario!C16)),IF(H8=".",".","Falta Datos"))</f>
        <v>213</v>
      </c>
      <c r="H8" s="144" t="str">
        <f>IF(Formulario!D16&lt;&gt;"",IF(Formulario!D16=" ",".",Formulario!D16),".")</f>
        <v>PINTURA CIELO DESCASCARADA - Baño (OT 2)</v>
      </c>
      <c r="I8" s="144" t="str">
        <f>IF(Formulario!E16&lt;&gt;"",IF(Formulario!E16=" "," ",Formulario!E16),IF(G8=".",".",""))</f>
        <v/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>
        <f>IF(Formulario!J16&lt;&gt;"",IF(Formulario!J16=" "," ",Formulario!J16),IF(G8=".",".","Falta Fecha"))</f>
        <v>43899</v>
      </c>
      <c r="O8" s="155">
        <f>Formulario!L16</f>
        <v>0</v>
      </c>
      <c r="P8" s="180" t="str">
        <f>IF(Formulario!L16=1,"9:00",Formulario!M16)</f>
        <v>9:30</v>
      </c>
      <c r="Q8" s="180" t="str">
        <f>IF(Formulario!L16=1,"18:30",Formulario!N16)</f>
        <v>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>
        <f>Formulario!B17</f>
        <v>7</v>
      </c>
      <c r="B9" s="144" t="str">
        <f>IF(G9="."," ",Formulario!D$5)</f>
        <v>PIO XI</v>
      </c>
      <c r="C9" s="144" t="str">
        <f>IF(G9=".","",Formulario!D$6)</f>
        <v>Quilín</v>
      </c>
      <c r="D9" s="144" t="str">
        <f>IF(H9=".","",Formulario!D$7)</f>
        <v>Francisco González</v>
      </c>
      <c r="E9" s="144" t="str">
        <f>IF(G9=".","",Formulario!J$5)</f>
        <v>Jasmine Sotomayor</v>
      </c>
      <c r="F9" s="145">
        <f>IF(G9=".","",Formulario!J$6)</f>
        <v>43787</v>
      </c>
      <c r="G9" s="180">
        <f>IF(Formulario!C17&lt;&gt;"",IF(Formulario!C17=" ","Falta Depto",IF(H9=".","Error En Descripción",Formulario!C17)),IF(H9=".",".","Falta Datos"))</f>
        <v>213</v>
      </c>
      <c r="H9" s="144" t="str">
        <f>IF(Formulario!D17&lt;&gt;"",IF(Formulario!D17=" ",".",Formulario!D17),".")</f>
        <v>3 CERAMICAS FISURAS PISO  -  Baño ( OT 2)</v>
      </c>
      <c r="I9" s="144" t="str">
        <f>IF(Formulario!E17&lt;&gt;"",IF(Formulario!E17=" "," ",Formulario!E17),IF(G9=".",".",""))</f>
        <v/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>
        <f>IF(Formulario!J17&lt;&gt;"",IF(Formulario!J17=" "," ",Formulario!J17),IF(G9=".",".","Falta Fecha"))</f>
        <v>43902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>
        <f>Formulario!B18</f>
        <v>8</v>
      </c>
      <c r="B10" s="144" t="str">
        <f>IF(G10="."," ",Formulario!D$5)</f>
        <v>PIO XI</v>
      </c>
      <c r="C10" s="144" t="str">
        <f>IF(G10=".","",Formulario!D$6)</f>
        <v>Quilín</v>
      </c>
      <c r="D10" s="161" t="str">
        <f>IF(H10=".","",Formulario!D$7)</f>
        <v>Francisco González</v>
      </c>
      <c r="E10" s="144" t="str">
        <f>IF(G10=".","",Formulario!J$5)</f>
        <v>Jasmine Sotomayor</v>
      </c>
      <c r="F10" s="145">
        <f>IF(G10=".","",Formulario!J$6)</f>
        <v>43787</v>
      </c>
      <c r="G10" s="180">
        <f>IF(Formulario!C18&lt;&gt;"",IF(Formulario!C18=" ","Falta Depto",IF(H10=".","Error En Descripción",Formulario!C18)),IF(H10=".",".","Falta Datos"))</f>
        <v>114</v>
      </c>
      <c r="H10" s="144" t="str">
        <f>IF(Formulario!D18&lt;&gt;"",IF(Formulario!D18=" ",".",Formulario!D18),".")</f>
        <v>PUERTA VIDRIADA CAIDA MUEBLE COLGANTE  - Cocina (OT F)</v>
      </c>
      <c r="I10" s="144" t="str">
        <f>IF(Formulario!E18&lt;&gt;"",IF(Formulario!E18=" "," ",Formulario!E18),IF(G10=".",".",""))</f>
        <v/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>
        <f>IF(Formulario!J18&lt;&gt;"",IF(Formulario!J18=" "," ",Formulario!J18),IF(G10=".",".","Falta Fecha"))</f>
        <v>43899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>
        <f>Formulario!B19</f>
        <v>9</v>
      </c>
      <c r="B11" s="144" t="str">
        <f>IF(G11="."," ",Formulario!D$5)</f>
        <v>PIO XI</v>
      </c>
      <c r="C11" s="144" t="str">
        <f>IF(G11=".","",Formulario!D$6)</f>
        <v>Quilín</v>
      </c>
      <c r="D11" s="144" t="str">
        <f>IF(H11=".","",Formulario!D$7)</f>
        <v>Francisco González</v>
      </c>
      <c r="E11" s="144" t="str">
        <f>IF(G11=".","",Formulario!J$5)</f>
        <v>Jasmine Sotomayor</v>
      </c>
      <c r="F11" s="145">
        <f>IF(G11=".","",Formulario!J$6)</f>
        <v>43787</v>
      </c>
      <c r="G11" s="180" t="str">
        <f>IF(Formulario!C19&lt;&gt;"",IF(Formulario!C19=" ","Falta Depto",IF(H11=".","Error En Descripción",Formulario!C19)),IF(H11=".",".","Falta Datos"))</f>
        <v>ADM</v>
      </c>
      <c r="H11" s="144" t="str">
        <f>IF(Formulario!D19&lt;&gt;"",IF(Formulario!D19=" ",".",Formulario!D19),".")</f>
        <v>FILTRACION PPR LAVAMANOS  SALA CONSERJES  - Piso 1 OT Z3)</v>
      </c>
      <c r="I11" s="144" t="str">
        <f>IF(Formulario!E19&lt;&gt;"",IF(Formulario!E19=" "," ",Formulario!E19),IF(G11=".",".",""))</f>
        <v/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>
        <f>IF(Formulario!J19&lt;&gt;"",IF(Formulario!J19=" "," ",Formulario!J19),IF(G11=".",".","Falta Fecha"))</f>
        <v>43902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>
        <f>Formulario!B20</f>
        <v>10</v>
      </c>
      <c r="B12" s="144" t="str">
        <f>IF(G12="."," ",Formulario!D$5)</f>
        <v>PIO XI</v>
      </c>
      <c r="C12" s="144" t="str">
        <f>IF(G12=".","",Formulario!D$6)</f>
        <v>Quilín</v>
      </c>
      <c r="D12" s="144" t="str">
        <f>IF(H12=".","",Formulario!D$7)</f>
        <v>Francisco González</v>
      </c>
      <c r="E12" s="144" t="str">
        <f>IF(G12=".","",Formulario!J$5)</f>
        <v>Jasmine Sotomayor</v>
      </c>
      <c r="F12" s="145">
        <f>IF(G12=".","",Formulario!J$6)</f>
        <v>43787</v>
      </c>
      <c r="G12" s="180" t="str">
        <f>IF(Formulario!C20&lt;&gt;"",IF(Formulario!C20=" ","Falta Depto",IF(H12=".","Error En Descripción",Formulario!C20)),IF(H12=".",".","Falta Datos"))</f>
        <v>ADM</v>
      </c>
      <c r="H12" s="144" t="str">
        <f>IF(Formulario!D20&lt;&gt;"",IF(Formulario!D20=" ",".",Formulario!D20),".")</f>
        <v>FILTRACION LOSA EN SHAFT CCDD - Piso 2 (OT Z)</v>
      </c>
      <c r="I12" s="144" t="str">
        <f>IF(Formulario!E20&lt;&gt;"",IF(Formulario!E20=" "," ",Formulario!E20),IF(G12=".",".",""))</f>
        <v/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>
        <f>IF(Formulario!J20&lt;&gt;"",IF(Formulario!J20=" "," ",Formulario!J20),IF(G12=".",".","Falta Fecha"))</f>
        <v>43903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>
        <f>Formulario!B21</f>
        <v>11</v>
      </c>
      <c r="B13" s="144" t="str">
        <f>IF(G13="."," ",Formulario!D$5)</f>
        <v>PIO XI</v>
      </c>
      <c r="C13" s="144" t="str">
        <f>IF(G13=".","",Formulario!D$6)</f>
        <v>Quilín</v>
      </c>
      <c r="D13" s="144" t="str">
        <f>IF(H13=".","",Formulario!D$7)</f>
        <v>Francisco González</v>
      </c>
      <c r="E13" s="144" t="str">
        <f>IF(G13=".","",Formulario!J$5)</f>
        <v>Jasmine Sotomayor</v>
      </c>
      <c r="F13" s="145">
        <f>IF(G13=".","",Formulario!J$6)</f>
        <v>43787</v>
      </c>
      <c r="G13" s="180">
        <f>IF(Formulario!C21&lt;&gt;"",IF(Formulario!C21=" ","Falta Depto",IF(H13=".","Error En Descripción",Formulario!C21)),IF(H13=".",".","Falta Datos"))</f>
        <v>908</v>
      </c>
      <c r="H13" s="144" t="str">
        <f>IF(Formulario!D21&lt;&gt;"",IF(Formulario!D21=" ",".",Formulario!D21),".")</f>
        <v>PINTURA CIELO DESCASCARADA - Baño (OT 2ño (OT G)</v>
      </c>
      <c r="I13" s="144" t="str">
        <f>IF(Formulario!E21&lt;&gt;"",IF(Formulario!E21=" "," ",Formulario!E21),IF(G13=".",".",""))</f>
        <v/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>
        <f>IF(Formulario!J21&lt;&gt;"",IF(Formulario!J21=" "," ",Formulario!J21),IF(G13=".",".","Falta Fecha"))</f>
        <v>43901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>
        <f>Formulario!B22</f>
        <v>12</v>
      </c>
      <c r="B14" s="144" t="str">
        <f>IF(G14="."," ",Formulario!D$5)</f>
        <v>PIO XI</v>
      </c>
      <c r="C14" s="144" t="str">
        <f>IF(G14=".","",Formulario!D$6)</f>
        <v>Quilín</v>
      </c>
      <c r="D14" s="144" t="str">
        <f>IF(H14=".","",Formulario!D$7)</f>
        <v>Francisco González</v>
      </c>
      <c r="E14" s="144" t="str">
        <f>IF(G14=".","",Formulario!J$5)</f>
        <v>Jasmine Sotomayor</v>
      </c>
      <c r="F14" s="145">
        <f>IF(G14=".","",Formulario!J$6)</f>
        <v>43787</v>
      </c>
      <c r="G14" s="180">
        <f>IF(Formulario!C22&lt;&gt;"",IF(Formulario!C22=" ","Falta Depto",IF(H14=".","Error En Descripción",Formulario!C22)),IF(H14=".",".","Falta Datos"))</f>
        <v>908</v>
      </c>
      <c r="H14" s="144" t="str">
        <f>IF(Formulario!D22&lt;&gt;"",IF(Formulario!D22=" ",".",Formulario!D22),".")</f>
        <v>PINTURA CIELO DESCASCARADA - Baño (OT 2ño (OT H).</v>
      </c>
      <c r="I14" s="144" t="str">
        <f>IF(Formulario!E22&lt;&gt;"",IF(Formulario!E22=" "," ",Formulario!E22),IF(G14=".",".",""))</f>
        <v/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>
        <f>IF(Formulario!J22&lt;&gt;"",IF(Formulario!J22=" "," ",Formulario!J22),IF(G14=".",".","Falta Fecha"))</f>
        <v>43903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>
        <f>Formulario!B23</f>
        <v>13</v>
      </c>
      <c r="B15" s="144" t="str">
        <f>IF(G15="."," ",Formulario!D$5)</f>
        <v>PIO XI</v>
      </c>
      <c r="C15" s="144" t="str">
        <f>IF(G15=".","",Formulario!D$6)</f>
        <v>Quilín</v>
      </c>
      <c r="D15" s="144" t="str">
        <f>IF(H15=".","",Formulario!D$7)</f>
        <v>Francisco González</v>
      </c>
      <c r="E15" s="144" t="str">
        <f>IF(G15=".","",Formulario!J$5)</f>
        <v>Jasmine Sotomayor</v>
      </c>
      <c r="F15" s="145">
        <f>IF(G15=".","",Formulario!J$6)</f>
        <v>43787</v>
      </c>
      <c r="G15" s="180">
        <f>IF(Formulario!C23&lt;&gt;"",IF(Formulario!C23=" ","Falta Depto",IF(H15=".","Error En Descripción",Formulario!C23)),IF(H15=".",".","Falta Datos"))</f>
        <v>908</v>
      </c>
      <c r="H15" s="144" t="str">
        <f>IF(Formulario!D23&lt;&gt;"",IF(Formulario!D23=" ",".",Formulario!D23),".")</f>
        <v>PINTURA CIELO DESCASCARADA - Baño (OT 2ño (OT H) y otros</v>
      </c>
      <c r="I15" s="144" t="str">
        <f>IF(Formulario!E23&lt;&gt;"",IF(Formulario!E23=" "," ",Formulario!E23),IF(G15=".",".","Falta Propietario"))</f>
        <v>Falta Propietario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>
        <f>IF(Formulario!J23&lt;&gt;"",IF(Formulario!J23=" "," ",Formulario!J23),IF(G15=".",".","Falta Fecha"))</f>
        <v>43902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43899</v>
      </c>
      <c r="D2" s="55">
        <f>WEEKDAY(C2)</f>
        <v>2</v>
      </c>
      <c r="E2" s="55">
        <f>9-D2</f>
        <v>7</v>
      </c>
      <c r="F2" s="55" t="s">
        <v>79</v>
      </c>
    </row>
    <row r="3" spans="3:6">
      <c r="C3" s="153">
        <f>C2+1</f>
        <v>43900</v>
      </c>
      <c r="D3" s="55">
        <f t="shared" ref="D3:D14" si="0">WEEKDAY(C3)</f>
        <v>3</v>
      </c>
      <c r="E3" s="55">
        <f>14-D3</f>
        <v>11</v>
      </c>
      <c r="F3" s="55"/>
    </row>
    <row r="4" spans="3:6">
      <c r="C4" s="153">
        <f t="shared" ref="C4:C14" si="1">C3+1</f>
        <v>43901</v>
      </c>
      <c r="D4" s="55">
        <f t="shared" si="0"/>
        <v>4</v>
      </c>
      <c r="E4" s="55"/>
      <c r="F4" s="55"/>
    </row>
    <row r="5" spans="3:6">
      <c r="C5" s="153">
        <f t="shared" si="1"/>
        <v>43902</v>
      </c>
      <c r="D5" s="55">
        <f t="shared" si="0"/>
        <v>5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43903</v>
      </c>
      <c r="D6" s="55">
        <f t="shared" si="0"/>
        <v>6</v>
      </c>
      <c r="E6" s="55"/>
      <c r="F6" s="55"/>
    </row>
    <row r="7" spans="3:6">
      <c r="C7" s="153">
        <f t="shared" si="1"/>
        <v>43904</v>
      </c>
      <c r="D7" s="55">
        <f t="shared" si="0"/>
        <v>7</v>
      </c>
      <c r="E7" s="55"/>
      <c r="F7" s="55"/>
    </row>
    <row r="8" spans="3:6">
      <c r="C8" s="153">
        <f t="shared" si="1"/>
        <v>43905</v>
      </c>
      <c r="D8" s="55">
        <f t="shared" si="0"/>
        <v>1</v>
      </c>
      <c r="E8" s="55"/>
      <c r="F8" s="55"/>
    </row>
    <row r="9" spans="3:6">
      <c r="C9" s="153">
        <f t="shared" si="1"/>
        <v>43906</v>
      </c>
      <c r="D9" s="55">
        <f t="shared" si="0"/>
        <v>2</v>
      </c>
      <c r="E9" s="55"/>
      <c r="F9" s="55"/>
    </row>
    <row r="10" spans="3:6">
      <c r="C10" s="153">
        <f t="shared" si="1"/>
        <v>43907</v>
      </c>
      <c r="D10" s="55">
        <f t="shared" si="0"/>
        <v>3</v>
      </c>
      <c r="E10" s="55"/>
      <c r="F10" s="55"/>
    </row>
    <row r="11" spans="3:6">
      <c r="C11" s="153">
        <f t="shared" si="1"/>
        <v>43908</v>
      </c>
      <c r="D11" s="55">
        <f t="shared" si="0"/>
        <v>4</v>
      </c>
      <c r="E11" s="55"/>
      <c r="F11" s="55"/>
    </row>
    <row r="12" spans="3:6">
      <c r="C12" s="153">
        <f t="shared" si="1"/>
        <v>43909</v>
      </c>
      <c r="D12" s="55">
        <f t="shared" si="0"/>
        <v>5</v>
      </c>
      <c r="E12" s="55"/>
      <c r="F12" s="55"/>
    </row>
    <row r="13" spans="3:6">
      <c r="C13" s="153">
        <f t="shared" si="1"/>
        <v>43910</v>
      </c>
      <c r="D13" s="55">
        <f t="shared" si="0"/>
        <v>6</v>
      </c>
      <c r="E13" s="55"/>
      <c r="F13" s="55"/>
    </row>
    <row r="14" spans="3:6">
      <c r="C14" s="153">
        <f t="shared" si="1"/>
        <v>43911</v>
      </c>
      <c r="D14" s="55">
        <f t="shared" si="0"/>
        <v>7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2020-03-05T22:10:25Z</dcterms:modified>
</cp:coreProperties>
</file>