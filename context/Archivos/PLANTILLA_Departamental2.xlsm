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C12" i="5" s="1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N14" i="5" s="1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<sst xmlns="http://schemas.openxmlformats.org/spreadsheetml/2006/main" count="1773" uniqueCount="154">
  <si>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</si>
  <si>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</si>
  <si>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</si>
  <si>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</si>
  <si>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</si>
  <si>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</si>
  <si>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</si>
  <si>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</si>
  <si>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</si>
  <si>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</si>
  <si>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</si>
  <si>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</si>
  <si>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</si>
  <si>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</si>
  <si>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</si>
  <si>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</si>
  <si>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</si>
  <si>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</si>
  <si>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</si>
  <si>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</si>
  <si>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</si>
  <si>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</si>
  <si>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</si>
  <si>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</si>
  <si>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</si>
  <si>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</si>
  <si>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</si>
  <si>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</si>
  <si>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</si>
  <si>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</si>
  <si>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</si>
  <si>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</si>
  <si>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</si>
  <si>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</si>
  <si>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</si>
  <si>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</si>
  <si>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</si>
  <si>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</si>
  <si>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</si>
  <si>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</si>
  <si>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</si>
  <si>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</si>
  <si>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</si>
  <si>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</si>
  <si>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</si>
  <si>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</si>
  <si>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</si>
  <si>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</si>
  <si>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</si>
  <si>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</si>
  <si>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</si>
  <si>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</si>
  <si>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</si>
  <si>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</si>
  <si>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</si>
  <si>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</si>
  <si>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</si>
  <si>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</si>
  <si>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</si>
  <si>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</si>
  <si>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</si>
  <si>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</si>
  <si>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</si>
  <si>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</si>
  <si>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</si>
  <si>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</si>
  <si>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</si>
  <si>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</si>
  <si>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</si>
  <si>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</si>
  <si>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</si>
  <si>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</si>
  <si>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</si>
  <si>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</si>
  <si>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</si>
  <si>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</si>
  <si>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</si>
  <si>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</si>
  <si>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</si>
  <si>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</si>
  <si>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</si>
  <si>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</si>
  <si>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</si>
  <si>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</si>
  <si>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</si>
  <si>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</si>
  <si>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</si>
  <si>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</si>
  <si>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</si>
  <si>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</si>
  <si>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</si>
  <si>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</si>
  <si>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</si>
  <si>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</si>
  <si>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</si>
  <si>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</si>
  <si>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</si>
  <si>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</si>
  <si>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</si>
  <si>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</si>
  <si>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</si>
  <si>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</si>
  <si>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</si>
  <si>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</si>
  <si>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</si>
  <si>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</si>
  <si>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</si>
  <si>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</si>
  <si>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</si>
  <si>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</si>
  <si>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</si>
  <si>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</si>
  <si>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</si>
  <si>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</si>
  <si>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</si>
  <si>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</si>
  <si>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</si>
  <si>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</si>
  <si>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</si>
  <si>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</si>
  <si>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</si>
  <si>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</si>
  <si>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</si>
  <si>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</si>
  <si>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</si>
  <si>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</si>
  <si>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</si>
  <si>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</si>
  <si>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</si>
  <si>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</si>
  <si>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</si>
  <si>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</si>
  <si>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</si>
  <si>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</si>
  <si>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</si>
  <si>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</si>
  <si>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</si>
  <si>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</si>
  <si>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</si>
  <si>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</si>
  <si>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</si>
  <si>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</si>
  <si>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</si>
  <si>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</si>
  <si>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</si>
  <si>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9:30</t>
  </si>
  <si>
    <t>12:30</t>
  </si>
  <si>
    <t>CIELO MANCHADO SOBRE MUEBLES COLGANTES- Acceso (OT 1)-Dep</t>
  </si>
  <si>
    <t>CANTO HOJA MOVIL DE VENTANA DAÑADO - Living (OT 1)-Dep</t>
  </si>
  <si>
    <t>TIRADOR DE LA VENTANA SUELTO - Living (OT 1)-Dep</t>
  </si>
  <si>
    <t>LAVAMANOS SIN AIREADOR - Baño (OT 1)-Dep</t>
  </si>
  <si>
    <t>CANTOS DE PUERTAS SIN PINTAR -General  (OT 1)-Dep</t>
  </si>
  <si>
    <t>11:00</t>
  </si>
  <si>
    <t>CANTOS DE venta SIN PINTAR -General  (OT 1)-Dep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</si>
</sst>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N16" sqref="N16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82</v>
      </c>
      <c r="E5" s="212"/>
      <c r="F5" s="151"/>
      <c r="G5" s="151"/>
      <c r="H5" s="205" t="s">
        <v>76</v>
      </c>
      <c r="I5" s="206"/>
      <c r="J5" s="199" t="s">
        <v>120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24</v>
      </c>
      <c r="E6" s="202"/>
      <c r="F6" s="152"/>
      <c r="G6" s="152"/>
      <c r="H6" s="207" t="s">
        <v>5</v>
      </c>
      <c r="I6" s="208"/>
      <c r="J6" s="200">
        <v>43895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96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147</v>
      </c>
      <c r="E11" s="133"/>
      <c r="F11" s="121"/>
      <c r="G11" s="135"/>
      <c r="H11" s="133"/>
      <c r="I11" s="134"/>
      <c r="J11" s="186">
        <v>43900</v>
      </c>
      <c r="K11" s="135"/>
      <c r="L11" s="194">
        <v>0</v>
      </c>
      <c r="M11" s="198" t="s">
        <v>152</v>
      </c>
      <c r="N11" s="169" t="s">
        <v>152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148</v>
      </c>
      <c r="E12" s="133"/>
      <c r="F12" s="121"/>
      <c r="G12" s="135"/>
      <c r="H12" s="133"/>
      <c r="I12" s="134"/>
      <c r="J12" s="186">
        <v>43900</v>
      </c>
      <c r="K12" s="135"/>
      <c r="L12" s="194">
        <v>0</v>
      </c>
      <c r="M12" s="198" t="s">
        <v>145</v>
      </c>
      <c r="N12" s="169" t="s">
        <v>146</v>
      </c>
      <c r="O12" s="119" t="s">
        <v>139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149</v>
      </c>
      <c r="E13" s="133"/>
      <c r="F13" s="121"/>
      <c r="G13" s="135"/>
      <c r="H13" s="133"/>
      <c r="I13" s="132"/>
      <c r="J13" s="186">
        <v>43903</v>
      </c>
      <c r="K13" s="135"/>
      <c r="L13" s="194">
        <v>0</v>
      </c>
      <c r="M13" s="198" t="s">
        <v>145</v>
      </c>
      <c r="N13" s="169" t="s">
        <v>146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150</v>
      </c>
      <c r="E14" s="133"/>
      <c r="F14" s="121"/>
      <c r="G14" s="135"/>
      <c r="H14" s="133"/>
      <c r="I14" s="132"/>
      <c r="J14" s="186">
        <v>43903</v>
      </c>
      <c r="K14" s="135"/>
      <c r="L14" s="194">
        <v>0</v>
      </c>
      <c r="M14" s="198" t="s">
        <v>145</v>
      </c>
      <c r="N14" s="169" t="s">
        <v>146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151</v>
      </c>
      <c r="E15" s="133"/>
      <c r="F15" s="121"/>
      <c r="G15" s="135"/>
      <c r="H15" s="133"/>
      <c r="I15" s="132"/>
      <c r="J15" s="186">
        <v>43901</v>
      </c>
      <c r="K15" s="135"/>
      <c r="L15" s="194">
        <v>0</v>
      </c>
      <c r="M15" s="198" t="s">
        <v>145</v>
      </c>
      <c r="N15" s="169" t="s">
        <v>146</v>
      </c>
      <c r="O15" s="119" t="s">
        <v>144</v>
      </c>
      <c r="P15" s="120"/>
      <c r="Q15" s="1"/>
    </row>
    <row r="16" spans="1:17" ht="49.5" customHeight="1">
      <c r="A16" s="21"/>
      <c r="B16" s="115">
        <f t="shared" si="0"/>
        <v>6</v>
      </c>
      <c r="C16" s="184">
        <v>213</v>
      </c>
      <c r="D16" s="182" t="s">
        <v>153</v>
      </c>
      <c r="E16" s="133"/>
      <c r="F16" s="121"/>
      <c r="G16" s="135"/>
      <c r="H16" s="133"/>
      <c r="I16" s="132"/>
      <c r="J16" s="186">
        <v>43904</v>
      </c>
      <c r="K16" s="135"/>
      <c r="L16" s="194">
        <v>1</v>
      </c>
      <c r="M16" s="198" t="s">
        <v>142</v>
      </c>
      <c r="N16" s="169" t="s">
        <v>141</v>
      </c>
      <c r="O16" s="119" t="s">
        <v>144</v>
      </c>
      <c r="P16" s="120"/>
      <c r="Q16" s="1"/>
    </row>
    <row r="17" spans="1:17" ht="49.5" customHeight="1">
      <c r="A17" s="21"/>
      <c r="B17" s="115" t="str">
        <f t="shared" si="0"/>
        <v/>
      </c>
      <c r="C17" s="184"/>
      <c r="D17" s="182"/>
      <c r="E17" s="133"/>
      <c r="F17" s="121"/>
      <c r="G17" s="135"/>
      <c r="H17" s="133"/>
      <c r="I17" s="132"/>
      <c r="J17" s="186"/>
      <c r="K17" s="135"/>
      <c r="L17" s="194">
        <v>0</v>
      </c>
      <c r="M17" s="198" t="s">
        <v>145</v>
      </c>
      <c r="N17" s="169" t="s">
        <v>146</v>
      </c>
      <c r="O17" s="119" t="s">
        <v>144</v>
      </c>
      <c r="P17" s="120"/>
      <c r="Q17" s="1"/>
    </row>
    <row r="18" spans="1:17" ht="49.5" customHeight="1">
      <c r="A18" s="21"/>
      <c r="B18" s="115" t="str">
        <f t="shared" si="0"/>
        <v/>
      </c>
      <c r="C18" s="185"/>
      <c r="D18" s="183"/>
      <c r="E18" s="133"/>
      <c r="F18" s="121"/>
      <c r="G18" s="135"/>
      <c r="H18" s="133"/>
      <c r="I18" s="132"/>
      <c r="J18" s="187"/>
      <c r="K18" s="135"/>
      <c r="L18" s="194">
        <v>0</v>
      </c>
      <c r="M18" s="198" t="s">
        <v>145</v>
      </c>
      <c r="N18" s="169" t="s">
        <v>146</v>
      </c>
      <c r="O18" s="119" t="s">
        <v>144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35"/>
      <c r="H19" s="133"/>
      <c r="I19" s="125"/>
      <c r="J19" s="186"/>
      <c r="K19" s="135"/>
      <c r="L19" s="194">
        <v>0</v>
      </c>
      <c r="M19" s="198" t="s">
        <v>145</v>
      </c>
      <c r="N19" s="169" t="s">
        <v>146</v>
      </c>
      <c r="O19" s="119" t="s">
        <v>144</v>
      </c>
      <c r="P19" s="120"/>
      <c r="Q19" s="1"/>
    </row>
    <row r="20" spans="1:17" ht="49.5" customHeight="1">
      <c r="A20" s="21"/>
      <c r="B20" s="115" t="str">
        <f t="shared" si="0"/>
        <v/>
      </c>
      <c r="C20" s="185"/>
      <c r="D20" s="183"/>
      <c r="E20" s="133"/>
      <c r="F20" s="121"/>
      <c r="G20" s="135"/>
      <c r="H20" s="133"/>
      <c r="I20" s="125"/>
      <c r="J20" s="187"/>
      <c r="K20" s="135"/>
      <c r="L20" s="194">
        <v>0</v>
      </c>
      <c r="M20" s="198" t="s">
        <v>145</v>
      </c>
      <c r="N20" s="169" t="s">
        <v>146</v>
      </c>
      <c r="O20" s="119" t="s">
        <v>144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35"/>
      <c r="H21" s="133"/>
      <c r="I21" s="125"/>
      <c r="J21" s="186"/>
      <c r="K21" s="135"/>
      <c r="L21" s="194">
        <v>0</v>
      </c>
      <c r="M21" s="198" t="s">
        <v>145</v>
      </c>
      <c r="N21" s="169" t="s">
        <v>146</v>
      </c>
      <c r="O21" s="119" t="s">
        <v>144</v>
      </c>
      <c r="P21" s="120"/>
      <c r="Q21" s="1"/>
    </row>
    <row r="22" spans="1:17" ht="49.5" customHeight="1">
      <c r="A22" s="21"/>
      <c r="B22" s="115" t="str">
        <f t="shared" si="0"/>
        <v/>
      </c>
      <c r="C22" s="185"/>
      <c r="D22" s="183"/>
      <c r="E22" s="133"/>
      <c r="F22" s="121"/>
      <c r="G22" s="135"/>
      <c r="H22" s="133"/>
      <c r="I22" s="125"/>
      <c r="J22" s="187"/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 t="str">
        <f t="shared" si="0"/>
        <v/>
      </c>
      <c r="C23" s="185"/>
      <c r="D23" s="183"/>
      <c r="E23" s="133"/>
      <c r="F23" s="121"/>
      <c r="G23" s="124"/>
      <c r="H23" s="123"/>
      <c r="I23" s="125"/>
      <c r="J23" s="186"/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354" r:id="rId4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4" name="CheckBox100"/>
      </mc:Fallback>
    </mc:AlternateContent>
    <mc:AlternateContent xmlns:mc="http://schemas.openxmlformats.org/markup-compatibility/2006">
      <mc:Choice Requires="x14">
        <control shapeId="1353" r:id="rId6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6" name="CheckBox99"/>
      </mc:Fallback>
    </mc:AlternateContent>
    <mc:AlternateContent xmlns:mc="http://schemas.openxmlformats.org/markup-compatibility/2006">
      <mc:Choice Requires="x14">
        <control shapeId="1352" r:id="rId8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8" name="CheckBox98"/>
      </mc:Fallback>
    </mc:AlternateContent>
    <mc:AlternateContent xmlns:mc="http://schemas.openxmlformats.org/markup-compatibility/2006">
      <mc:Choice Requires="x14">
        <control shapeId="1351" r:id="rId9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9" name="CheckBox97"/>
      </mc:Fallback>
    </mc:AlternateContent>
    <mc:AlternateContent xmlns:mc="http://schemas.openxmlformats.org/markup-compatibility/2006">
      <mc:Choice Requires="x14">
        <control shapeId="1350" r:id="rId10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" name="CheckBox96"/>
      </mc:Fallback>
    </mc:AlternateContent>
    <mc:AlternateContent xmlns:mc="http://schemas.openxmlformats.org/markup-compatibility/2006">
      <mc:Choice Requires="x14">
        <control shapeId="1349" r:id="rId11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1" name="CheckBox95"/>
      </mc:Fallback>
    </mc:AlternateContent>
    <mc:AlternateContent xmlns:mc="http://schemas.openxmlformats.org/markup-compatibility/2006">
      <mc:Choice Requires="x14">
        <control shapeId="1348" r:id="rId12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12" name="CheckBox94"/>
      </mc:Fallback>
    </mc:AlternateContent>
    <mc:AlternateContent xmlns:mc="http://schemas.openxmlformats.org/markup-compatibility/2006">
      <mc:Choice Requires="x14">
        <control shapeId="1347" r:id="rId13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13" name="CheckBox93"/>
      </mc:Fallback>
    </mc:AlternateContent>
    <mc:AlternateContent xmlns:mc="http://schemas.openxmlformats.org/markup-compatibility/2006">
      <mc:Choice Requires="x14">
        <control shapeId="1346" r:id="rId14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14" name="CheckBox92"/>
      </mc:Fallback>
    </mc:AlternateContent>
    <mc:AlternateContent xmlns:mc="http://schemas.openxmlformats.org/markup-compatibility/2006">
      <mc:Choice Requires="x14">
        <control shapeId="1345" r:id="rId15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15" name="CheckBox91"/>
      </mc:Fallback>
    </mc:AlternateContent>
    <mc:AlternateContent xmlns:mc="http://schemas.openxmlformats.org/markup-compatibility/2006">
      <mc:Choice Requires="x14">
        <control shapeId="1344" r:id="rId16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16" name="CheckBox90"/>
      </mc:Fallback>
    </mc:AlternateContent>
    <mc:AlternateContent xmlns:mc="http://schemas.openxmlformats.org/markup-compatibility/2006">
      <mc:Choice Requires="x14">
        <control shapeId="1343" r:id="rId17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17" name="CheckBox89"/>
      </mc:Fallback>
    </mc:AlternateContent>
    <mc:AlternateContent xmlns:mc="http://schemas.openxmlformats.org/markup-compatibility/2006">
      <mc:Choice Requires="x14">
        <control shapeId="1342" r:id="rId18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18" name="CheckBox88"/>
      </mc:Fallback>
    </mc:AlternateContent>
    <mc:AlternateContent xmlns:mc="http://schemas.openxmlformats.org/markup-compatibility/2006">
      <mc:Choice Requires="x14">
        <control shapeId="1341" r:id="rId19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19" name="CheckBox87"/>
      </mc:Fallback>
    </mc:AlternateContent>
    <mc:AlternateContent xmlns:mc="http://schemas.openxmlformats.org/markup-compatibility/2006">
      <mc:Choice Requires="x14">
        <control shapeId="1340" r:id="rId20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20" name="CheckBox86"/>
      </mc:Fallback>
    </mc:AlternateContent>
    <mc:AlternateContent xmlns:mc="http://schemas.openxmlformats.org/markup-compatibility/2006">
      <mc:Choice Requires="x14">
        <control shapeId="1339" r:id="rId21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21" name="CheckBox85"/>
      </mc:Fallback>
    </mc:AlternateContent>
    <mc:AlternateContent xmlns:mc="http://schemas.openxmlformats.org/markup-compatibility/2006">
      <mc:Choice Requires="x14">
        <control shapeId="1338" r:id="rId22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22" name="CheckBox84"/>
      </mc:Fallback>
    </mc:AlternateContent>
    <mc:AlternateContent xmlns:mc="http://schemas.openxmlformats.org/markup-compatibility/2006">
      <mc:Choice Requires="x14">
        <control shapeId="1337" r:id="rId23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23" name="CheckBox83"/>
      </mc:Fallback>
    </mc:AlternateContent>
    <mc:AlternateContent xmlns:mc="http://schemas.openxmlformats.org/markup-compatibility/2006">
      <mc:Choice Requires="x14">
        <control shapeId="1336" r:id="rId24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24" name="CheckBox82"/>
      </mc:Fallback>
    </mc:AlternateContent>
    <mc:AlternateContent xmlns:mc="http://schemas.openxmlformats.org/markup-compatibility/2006">
      <mc:Choice Requires="x14">
        <control shapeId="1335" r:id="rId25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25" name="CheckBox81"/>
      </mc:Fallback>
    </mc:AlternateContent>
    <mc:AlternateContent xmlns:mc="http://schemas.openxmlformats.org/markup-compatibility/2006">
      <mc:Choice Requires="x14">
        <control shapeId="1334" r:id="rId26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26" name="CheckBox80"/>
      </mc:Fallback>
    </mc:AlternateContent>
    <mc:AlternateContent xmlns:mc="http://schemas.openxmlformats.org/markup-compatibility/2006">
      <mc:Choice Requires="x14">
        <control shapeId="1333" r:id="rId27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27" name="CheckBox79"/>
      </mc:Fallback>
    </mc:AlternateContent>
    <mc:AlternateContent xmlns:mc="http://schemas.openxmlformats.org/markup-compatibility/2006">
      <mc:Choice Requires="x14">
        <control shapeId="1332" r:id="rId28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28" name="CheckBox78"/>
      </mc:Fallback>
    </mc:AlternateContent>
    <mc:AlternateContent xmlns:mc="http://schemas.openxmlformats.org/markup-compatibility/2006">
      <mc:Choice Requires="x14">
        <control shapeId="1331" r:id="rId29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29" name="CheckBox77"/>
      </mc:Fallback>
    </mc:AlternateContent>
    <mc:AlternateContent xmlns:mc="http://schemas.openxmlformats.org/markup-compatibility/2006">
      <mc:Choice Requires="x14">
        <control shapeId="1330" r:id="rId30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30" name="CheckBox76"/>
      </mc:Fallback>
    </mc:AlternateContent>
    <mc:AlternateContent xmlns:mc="http://schemas.openxmlformats.org/markup-compatibility/2006">
      <mc:Choice Requires="x14">
        <control shapeId="1329" r:id="rId31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31" name="CheckBox75"/>
      </mc:Fallback>
    </mc:AlternateContent>
    <mc:AlternateContent xmlns:mc="http://schemas.openxmlformats.org/markup-compatibility/2006">
      <mc:Choice Requires="x14">
        <control shapeId="1328" r:id="rId32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32" name="CheckBox74"/>
      </mc:Fallback>
    </mc:AlternateContent>
    <mc:AlternateContent xmlns:mc="http://schemas.openxmlformats.org/markup-compatibility/2006">
      <mc:Choice Requires="x14">
        <control shapeId="1327" r:id="rId33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33" name="CheckBox73"/>
      </mc:Fallback>
    </mc:AlternateContent>
    <mc:AlternateContent xmlns:mc="http://schemas.openxmlformats.org/markup-compatibility/2006">
      <mc:Choice Requires="x14">
        <control shapeId="1326" r:id="rId34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34" name="CheckBox72"/>
      </mc:Fallback>
    </mc:AlternateContent>
    <mc:AlternateContent xmlns:mc="http://schemas.openxmlformats.org/markup-compatibility/2006">
      <mc:Choice Requires="x14">
        <control shapeId="1325" r:id="rId35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35" name="CheckBox71"/>
      </mc:Fallback>
    </mc:AlternateContent>
    <mc:AlternateContent xmlns:mc="http://schemas.openxmlformats.org/markup-compatibility/2006">
      <mc:Choice Requires="x14">
        <control shapeId="1324" r:id="rId36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36" name="CheckBox70"/>
      </mc:Fallback>
    </mc:AlternateContent>
    <mc:AlternateContent xmlns:mc="http://schemas.openxmlformats.org/markup-compatibility/2006">
      <mc:Choice Requires="x14">
        <control shapeId="1323" r:id="rId37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37" name="CheckBox69"/>
      </mc:Fallback>
    </mc:AlternateContent>
    <mc:AlternateContent xmlns:mc="http://schemas.openxmlformats.org/markup-compatibility/2006">
      <mc:Choice Requires="x14">
        <control shapeId="1322" r:id="rId38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38" name="CheckBox68"/>
      </mc:Fallback>
    </mc:AlternateContent>
    <mc:AlternateContent xmlns:mc="http://schemas.openxmlformats.org/markup-compatibility/2006">
      <mc:Choice Requires="x14">
        <control shapeId="1321" r:id="rId39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39" name="CheckBox67"/>
      </mc:Fallback>
    </mc:AlternateContent>
    <mc:AlternateContent xmlns:mc="http://schemas.openxmlformats.org/markup-compatibility/2006">
      <mc:Choice Requires="x14">
        <control shapeId="1320" r:id="rId40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40" name="CheckBox66"/>
      </mc:Fallback>
    </mc:AlternateContent>
    <mc:AlternateContent xmlns:mc="http://schemas.openxmlformats.org/markup-compatibility/2006">
      <mc:Choice Requires="x14">
        <control shapeId="1319" r:id="rId41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41" name="CheckBox65"/>
      </mc:Fallback>
    </mc:AlternateContent>
    <mc:AlternateContent xmlns:mc="http://schemas.openxmlformats.org/markup-compatibility/2006">
      <mc:Choice Requires="x14">
        <control shapeId="1318" r:id="rId42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42" name="CheckBox64"/>
      </mc:Fallback>
    </mc:AlternateContent>
    <mc:AlternateContent xmlns:mc="http://schemas.openxmlformats.org/markup-compatibility/2006">
      <mc:Choice Requires="x14">
        <control shapeId="1317" r:id="rId43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43" name="CheckBox63"/>
      </mc:Fallback>
    </mc:AlternateContent>
    <mc:AlternateContent xmlns:mc="http://schemas.openxmlformats.org/markup-compatibility/2006">
      <mc:Choice Requires="x14">
        <control shapeId="1316" r:id="rId44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44" name="CheckBox62"/>
      </mc:Fallback>
    </mc:AlternateContent>
    <mc:AlternateContent xmlns:mc="http://schemas.openxmlformats.org/markup-compatibility/2006">
      <mc:Choice Requires="x14">
        <control shapeId="1315" r:id="rId45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45" name="CheckBox61"/>
      </mc:Fallback>
    </mc:AlternateContent>
    <mc:AlternateContent xmlns:mc="http://schemas.openxmlformats.org/markup-compatibility/2006">
      <mc:Choice Requires="x14">
        <control shapeId="1314" r:id="rId46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46" name="CheckBox60"/>
      </mc:Fallback>
    </mc:AlternateContent>
    <mc:AlternateContent xmlns:mc="http://schemas.openxmlformats.org/markup-compatibility/2006">
      <mc:Choice Requires="x14">
        <control shapeId="1313" r:id="rId47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47" name="CheckBox59"/>
      </mc:Fallback>
    </mc:AlternateContent>
    <mc:AlternateContent xmlns:mc="http://schemas.openxmlformats.org/markup-compatibility/2006">
      <mc:Choice Requires="x14">
        <control shapeId="1312" r:id="rId48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48" name="CheckBox58"/>
      </mc:Fallback>
    </mc:AlternateContent>
    <mc:AlternateContent xmlns:mc="http://schemas.openxmlformats.org/markup-compatibility/2006">
      <mc:Choice Requires="x14">
        <control shapeId="1311" r:id="rId49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49" name="CheckBox57"/>
      </mc:Fallback>
    </mc:AlternateContent>
    <mc:AlternateContent xmlns:mc="http://schemas.openxmlformats.org/markup-compatibility/2006">
      <mc:Choice Requires="x14">
        <control shapeId="1310" r:id="rId50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50" name="CheckBox56"/>
      </mc:Fallback>
    </mc:AlternateContent>
    <mc:AlternateContent xmlns:mc="http://schemas.openxmlformats.org/markup-compatibility/2006">
      <mc:Choice Requires="x14">
        <control shapeId="1309" r:id="rId51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51" name="CheckBox55"/>
      </mc:Fallback>
    </mc:AlternateContent>
    <mc:AlternateContent xmlns:mc="http://schemas.openxmlformats.org/markup-compatibility/2006">
      <mc:Choice Requires="x14">
        <control shapeId="1308" r:id="rId52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2" name="CheckBox54"/>
      </mc:Fallback>
    </mc:AlternateContent>
    <mc:AlternateContent xmlns:mc="http://schemas.openxmlformats.org/markup-compatibility/2006">
      <mc:Choice Requires="x14">
        <control shapeId="1307" r:id="rId53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3" name="CheckBox53"/>
      </mc:Fallback>
    </mc:AlternateContent>
    <mc:AlternateContent xmlns:mc="http://schemas.openxmlformats.org/markup-compatibility/2006">
      <mc:Choice Requires="x14">
        <control shapeId="1306" r:id="rId54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4" name="CheckBox52"/>
      </mc:Fallback>
    </mc:AlternateContent>
    <mc:AlternateContent xmlns:mc="http://schemas.openxmlformats.org/markup-compatibility/2006">
      <mc:Choice Requires="x14">
        <control shapeId="1305" r:id="rId55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5" name="CheckBox51"/>
      </mc:Fallback>
    </mc:AlternateContent>
    <mc:AlternateContent xmlns:mc="http://schemas.openxmlformats.org/markup-compatibility/2006">
      <mc:Choice Requires="x14">
        <control shapeId="1304" r:id="rId56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6" name="CheckBox50"/>
      </mc:Fallback>
    </mc:AlternateContent>
    <mc:AlternateContent xmlns:mc="http://schemas.openxmlformats.org/markup-compatibility/2006">
      <mc:Choice Requires="x14">
        <control shapeId="1303" r:id="rId57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7" name="CheckBox49"/>
      </mc:Fallback>
    </mc:AlternateContent>
    <mc:AlternateContent xmlns:mc="http://schemas.openxmlformats.org/markup-compatibility/2006">
      <mc:Choice Requires="x14">
        <control shapeId="1302" r:id="rId58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8" name="CheckBox48"/>
      </mc:Fallback>
    </mc:AlternateContent>
    <mc:AlternateContent xmlns:mc="http://schemas.openxmlformats.org/markup-compatibility/2006">
      <mc:Choice Requires="x14">
        <control shapeId="1301" r:id="rId59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9" name="CheckBox47"/>
      </mc:Fallback>
    </mc:AlternateContent>
    <mc:AlternateContent xmlns:mc="http://schemas.openxmlformats.org/markup-compatibility/2006">
      <mc:Choice Requires="x14">
        <control shapeId="1300" r:id="rId60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60" name="CheckBox46"/>
      </mc:Fallback>
    </mc:AlternateContent>
    <mc:AlternateContent xmlns:mc="http://schemas.openxmlformats.org/markup-compatibility/2006">
      <mc:Choice Requires="x14">
        <control shapeId="1299" r:id="rId61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61" name="CheckBox45"/>
      </mc:Fallback>
    </mc:AlternateContent>
    <mc:AlternateContent xmlns:mc="http://schemas.openxmlformats.org/markup-compatibility/2006">
      <mc:Choice Requires="x14">
        <control shapeId="1298" r:id="rId62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62" name="CheckBox44"/>
      </mc:Fallback>
    </mc:AlternateContent>
    <mc:AlternateContent xmlns:mc="http://schemas.openxmlformats.org/markup-compatibility/2006">
      <mc:Choice Requires="x14">
        <control shapeId="1297" r:id="rId63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63" name="CheckBox43"/>
      </mc:Fallback>
    </mc:AlternateContent>
    <mc:AlternateContent xmlns:mc="http://schemas.openxmlformats.org/markup-compatibility/2006">
      <mc:Choice Requires="x14">
        <control shapeId="1296" r:id="rId64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64" name="CheckBox42"/>
      </mc:Fallback>
    </mc:AlternateContent>
    <mc:AlternateContent xmlns:mc="http://schemas.openxmlformats.org/markup-compatibility/2006">
      <mc:Choice Requires="x14">
        <control shapeId="1295" r:id="rId65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65" name="CheckBox41"/>
      </mc:Fallback>
    </mc:AlternateContent>
    <mc:AlternateContent xmlns:mc="http://schemas.openxmlformats.org/markup-compatibility/2006">
      <mc:Choice Requires="x14">
        <control shapeId="1294" r:id="rId66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66" name="CheckBox40"/>
      </mc:Fallback>
    </mc:AlternateContent>
    <mc:AlternateContent xmlns:mc="http://schemas.openxmlformats.org/markup-compatibility/2006">
      <mc:Choice Requires="x14">
        <control shapeId="1293" r:id="rId67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67" name="CheckBox39"/>
      </mc:Fallback>
    </mc:AlternateContent>
    <mc:AlternateContent xmlns:mc="http://schemas.openxmlformats.org/markup-compatibility/2006">
      <mc:Choice Requires="x14">
        <control shapeId="1292" r:id="rId68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68" name="CheckBox38"/>
      </mc:Fallback>
    </mc:AlternateContent>
    <mc:AlternateContent xmlns:mc="http://schemas.openxmlformats.org/markup-compatibility/2006">
      <mc:Choice Requires="x14">
        <control shapeId="1291" r:id="rId69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69" name="CheckBox37"/>
      </mc:Fallback>
    </mc:AlternateContent>
    <mc:AlternateContent xmlns:mc="http://schemas.openxmlformats.org/markup-compatibility/2006">
      <mc:Choice Requires="x14">
        <control shapeId="1290" r:id="rId70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70" name="CheckBox36"/>
      </mc:Fallback>
    </mc:AlternateContent>
    <mc:AlternateContent xmlns:mc="http://schemas.openxmlformats.org/markup-compatibility/2006">
      <mc:Choice Requires="x14">
        <control shapeId="1289" r:id="rId71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71" name="CheckBox35"/>
      </mc:Fallback>
    </mc:AlternateContent>
    <mc:AlternateContent xmlns:mc="http://schemas.openxmlformats.org/markup-compatibility/2006">
      <mc:Choice Requires="x14">
        <control shapeId="1288" r:id="rId72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72" name="CheckBox34"/>
      </mc:Fallback>
    </mc:AlternateContent>
    <mc:AlternateContent xmlns:mc="http://schemas.openxmlformats.org/markup-compatibility/2006">
      <mc:Choice Requires="x14">
        <control shapeId="1287" r:id="rId73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73" name="CheckBox33"/>
      </mc:Fallback>
    </mc:AlternateContent>
    <mc:AlternateContent xmlns:mc="http://schemas.openxmlformats.org/markup-compatibility/2006">
      <mc:Choice Requires="x14">
        <control shapeId="1286" r:id="rId74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74" name="CheckBox32"/>
      </mc:Fallback>
    </mc:AlternateContent>
    <mc:AlternateContent xmlns:mc="http://schemas.openxmlformats.org/markup-compatibility/2006">
      <mc:Choice Requires="x14">
        <control shapeId="1285" r:id="rId75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75" name="CheckBox31"/>
      </mc:Fallback>
    </mc:AlternateContent>
    <mc:AlternateContent xmlns:mc="http://schemas.openxmlformats.org/markup-compatibility/2006">
      <mc:Choice Requires="x14">
        <control shapeId="1284" r:id="rId76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76" name="CheckBox30"/>
      </mc:Fallback>
    </mc:AlternateContent>
    <mc:AlternateContent xmlns:mc="http://schemas.openxmlformats.org/markup-compatibility/2006">
      <mc:Choice Requires="x14">
        <control shapeId="1283" r:id="rId77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77" name="CheckBox29"/>
      </mc:Fallback>
    </mc:AlternateContent>
    <mc:AlternateContent xmlns:mc="http://schemas.openxmlformats.org/markup-compatibility/2006">
      <mc:Choice Requires="x14">
        <control shapeId="1282" r:id="rId78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78" name="CheckBox28"/>
      </mc:Fallback>
    </mc:AlternateContent>
    <mc:AlternateContent xmlns:mc="http://schemas.openxmlformats.org/markup-compatibility/2006">
      <mc:Choice Requires="x14">
        <control shapeId="1281" r:id="rId79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79" name="CheckBox27"/>
      </mc:Fallback>
    </mc:AlternateContent>
    <mc:AlternateContent xmlns:mc="http://schemas.openxmlformats.org/markup-compatibility/2006">
      <mc:Choice Requires="x14">
        <control shapeId="1280" r:id="rId80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80" name="CheckBox26"/>
      </mc:Fallback>
    </mc:AlternateContent>
    <mc:AlternateContent xmlns:mc="http://schemas.openxmlformats.org/markup-compatibility/2006">
      <mc:Choice Requires="x14">
        <control shapeId="1279" r:id="rId81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81" name="CheckBox25"/>
      </mc:Fallback>
    </mc:AlternateContent>
    <mc:AlternateContent xmlns:mc="http://schemas.openxmlformats.org/markup-compatibility/2006">
      <mc:Choice Requires="x14">
        <control shapeId="1278" r:id="rId82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82" name="CheckBox24"/>
      </mc:Fallback>
    </mc:AlternateContent>
    <mc:AlternateContent xmlns:mc="http://schemas.openxmlformats.org/markup-compatibility/2006">
      <mc:Choice Requires="x14">
        <control shapeId="1277" r:id="rId83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83" name="CheckBox23"/>
      </mc:Fallback>
    </mc:AlternateContent>
    <mc:AlternateContent xmlns:mc="http://schemas.openxmlformats.org/markup-compatibility/2006">
      <mc:Choice Requires="x14">
        <control shapeId="1276" r:id="rId84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84" name="CheckBox22"/>
      </mc:Fallback>
    </mc:AlternateContent>
    <mc:AlternateContent xmlns:mc="http://schemas.openxmlformats.org/markup-compatibility/2006">
      <mc:Choice Requires="x14">
        <control shapeId="1275" r:id="rId85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85" name="CheckBox21"/>
      </mc:Fallback>
    </mc:AlternateContent>
    <mc:AlternateContent xmlns:mc="http://schemas.openxmlformats.org/markup-compatibility/2006">
      <mc:Choice Requires="x14">
        <control shapeId="1274" r:id="rId86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86" name="CheckBox20"/>
      </mc:Fallback>
    </mc:AlternateContent>
    <mc:AlternateContent xmlns:mc="http://schemas.openxmlformats.org/markup-compatibility/2006">
      <mc:Choice Requires="x14">
        <control shapeId="1273" r:id="rId87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87" name="CheckBox19"/>
      </mc:Fallback>
    </mc:AlternateContent>
    <mc:AlternateContent xmlns:mc="http://schemas.openxmlformats.org/markup-compatibility/2006">
      <mc:Choice Requires="x14">
        <control shapeId="1272" r:id="rId88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88" name="CheckBox18"/>
      </mc:Fallback>
    </mc:AlternateContent>
    <mc:AlternateContent xmlns:mc="http://schemas.openxmlformats.org/markup-compatibility/2006">
      <mc:Choice Requires="x14">
        <control shapeId="1271" r:id="rId89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89" name="CheckBox17"/>
      </mc:Fallback>
    </mc:AlternateContent>
    <mc:AlternateContent xmlns:mc="http://schemas.openxmlformats.org/markup-compatibility/2006">
      <mc:Choice Requires="x14">
        <control shapeId="1270" r:id="rId90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90" name="CheckBox16"/>
      </mc:Fallback>
    </mc:AlternateContent>
    <mc:AlternateContent xmlns:mc="http://schemas.openxmlformats.org/markup-compatibility/2006">
      <mc:Choice Requires="x14">
        <control shapeId="1269" r:id="rId91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91" name="CheckBox15"/>
      </mc:Fallback>
    </mc:AlternateContent>
    <mc:AlternateContent xmlns:mc="http://schemas.openxmlformats.org/markup-compatibility/2006">
      <mc:Choice Requires="x14">
        <control shapeId="1268" r:id="rId92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92" name="CheckBox14"/>
      </mc:Fallback>
    </mc:AlternateContent>
    <mc:AlternateContent xmlns:mc="http://schemas.openxmlformats.org/markup-compatibility/2006">
      <mc:Choice Requires="x14">
        <control shapeId="1267" r:id="rId93" name="CheckBox13">
          <controlPr defaultSize="0" autoLine="0" r:id="rId5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93" name="CheckBox13"/>
      </mc:Fallback>
    </mc:AlternateContent>
    <mc:AlternateContent xmlns:mc="http://schemas.openxmlformats.org/markup-compatibility/2006">
      <mc:Choice Requires="x14">
        <control shapeId="1266" r:id="rId94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94" name="CheckBox12"/>
      </mc:Fallback>
    </mc:AlternateContent>
    <mc:AlternateContent xmlns:mc="http://schemas.openxmlformats.org/markup-compatibility/2006">
      <mc:Choice Requires="x14">
        <control shapeId="1265" r:id="rId95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95" name="CheckBox11"/>
      </mc:Fallback>
    </mc:AlternateContent>
    <mc:AlternateContent xmlns:mc="http://schemas.openxmlformats.org/markup-compatibility/2006">
      <mc:Choice Requires="x14">
        <control shapeId="1264" r:id="rId96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96" name="CheckBox10"/>
      </mc:Fallback>
    </mc:AlternateContent>
    <mc:AlternateContent xmlns:mc="http://schemas.openxmlformats.org/markup-compatibility/2006">
      <mc:Choice Requires="x14">
        <control shapeId="1263" r:id="rId97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97" name="CheckBox9"/>
      </mc:Fallback>
    </mc:AlternateContent>
    <mc:AlternateContent xmlns:mc="http://schemas.openxmlformats.org/markup-compatibility/2006">
      <mc:Choice Requires="x14">
        <control shapeId="1262" r:id="rId98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98" name="CheckBox8"/>
      </mc:Fallback>
    </mc:AlternateContent>
    <mc:AlternateContent xmlns:mc="http://schemas.openxmlformats.org/markup-compatibility/2006">
      <mc:Choice Requires="x14">
        <control shapeId="1261" r:id="rId99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99" name="CheckBox7"/>
      </mc:Fallback>
    </mc:AlternateContent>
    <mc:AlternateContent xmlns:mc="http://schemas.openxmlformats.org/markup-compatibility/2006">
      <mc:Choice Requires="x14">
        <control shapeId="1260" r:id="rId100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0" name="CheckBox6"/>
      </mc:Fallback>
    </mc:AlternateContent>
    <mc:AlternateContent xmlns:mc="http://schemas.openxmlformats.org/markup-compatibility/2006">
      <mc:Choice Requires="x14">
        <control shapeId="1259" r:id="rId101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1" name="CheckBox5"/>
      </mc:Fallback>
    </mc:AlternateContent>
    <mc:AlternateContent xmlns:mc="http://schemas.openxmlformats.org/markup-compatibility/2006">
      <mc:Choice Requires="x14">
        <control shapeId="1258" r:id="rId102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102" name="CheckBox4"/>
      </mc:Fallback>
    </mc:AlternateContent>
    <mc:AlternateContent xmlns:mc="http://schemas.openxmlformats.org/markup-compatibility/2006">
      <mc:Choice Requires="x14">
        <control shapeId="1253" r:id="rId103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103" name="CheckBox1"/>
      </mc:Fallback>
    </mc:AlternateContent>
    <mc:AlternateContent xmlns:mc="http://schemas.openxmlformats.org/markup-compatibility/2006">
      <mc:Choice Requires="x14">
        <control shapeId="1254" r:id="rId104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104" name="CheckBox2"/>
      </mc:Fallback>
    </mc:AlternateContent>
    <mc:AlternateContent xmlns:mc="http://schemas.openxmlformats.org/markup-compatibility/2006">
      <mc:Choice Requires="x14">
        <control shapeId="1255" r:id="rId105" name="CheckBox3">
          <controlPr defaultSize="0" autoLine="0" r:id="rId7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105" name="CheckBox3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ACCION</v>
      </c>
      <c r="C3" s="144" t="str">
        <f>IF(G3=".","",Formulario!D$6)</f>
        <v>Departamental</v>
      </c>
      <c r="D3" s="144" t="str">
        <f>IF(H3=".","",Formulario!D$7)</f>
        <v>Luis Guerra</v>
      </c>
      <c r="E3" s="144" t="str">
        <f>IF(G3=".","",Formulario!J$5)</f>
        <v>Marisol Figueroa</v>
      </c>
      <c r="F3" s="145">
        <f>IF(G3=".","",Formulario!J$6)</f>
        <v>43895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1)-Dep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43900</v>
      </c>
      <c r="O3" s="155">
        <f>Formulario!L11</f>
        <v>0</v>
      </c>
      <c r="P3" s="180" t="str">
        <f>IF(Formulario!L11=1,"9:00",Formulario!M11)</f>
        <v>11:00</v>
      </c>
      <c r="Q3" s="180" t="str">
        <f>IF(Formulario!L11=1,"18:30",Formulario!N11)</f>
        <v>11:00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ACCION</v>
      </c>
      <c r="C4" s="144" t="str">
        <f>IF(G4=".","",Formulario!D$6)</f>
        <v>Departamental</v>
      </c>
      <c r="D4" s="144" t="str">
        <f>IF(H4=".","",Formulario!D$7)</f>
        <v>Luis Guerra</v>
      </c>
      <c r="E4" s="144" t="str">
        <f>IF(G4=".","",Formulario!J$5)</f>
        <v>Marisol Figueroa</v>
      </c>
      <c r="F4" s="145">
        <f>IF(G4=".","",Formulario!J$6)</f>
        <v>43895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1)-Dep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43900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 xml:space="preserve">Entrega 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ACCION</v>
      </c>
      <c r="C5" s="144" t="str">
        <f>IF(G5=".","",Formulario!D$6)</f>
        <v>Departamental</v>
      </c>
      <c r="D5" s="144" t="str">
        <f>IF(H5=".","",Formulario!D$7)</f>
        <v>Luis Guerra</v>
      </c>
      <c r="E5" s="144" t="str">
        <f>IF(G5=".","",Formulario!J$5)</f>
        <v>Marisol Figueroa</v>
      </c>
      <c r="F5" s="145">
        <f>IF(G5=".","",Formulario!J$6)</f>
        <v>43895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1)-Dep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43903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ACCION</v>
      </c>
      <c r="C6" s="144" t="str">
        <f>IF(G6=".","",Formulario!D$6)</f>
        <v>Departamental</v>
      </c>
      <c r="D6" s="144" t="str">
        <f>IF(H6=".","",Formulario!D$7)</f>
        <v>Luis Guerra</v>
      </c>
      <c r="E6" s="144" t="str">
        <f>IF(G6=".","",Formulario!J$5)</f>
        <v>Marisol Figueroa</v>
      </c>
      <c r="F6" s="145">
        <f>IF(G6=".","",Formulario!J$6)</f>
        <v>43895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1)-Dep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43903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ACCION</v>
      </c>
      <c r="C7" s="144" t="str">
        <f>IF(G7=".","",Formulario!D$6)</f>
        <v>Departamental</v>
      </c>
      <c r="D7" s="144" t="str">
        <f>IF(H7=".","",Formulario!D$7)</f>
        <v>Luis Guerra</v>
      </c>
      <c r="E7" s="144" t="str">
        <f>IF(G7=".","",Formulario!J$5)</f>
        <v>Marisol Figueroa</v>
      </c>
      <c r="F7" s="145">
        <f>IF(G7=".","",Formulario!J$6)</f>
        <v>43895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1)-Dep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43901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ACCION</v>
      </c>
      <c r="C8" s="144" t="str">
        <f>IF(G8=".","",Formulario!D$6)</f>
        <v>Departamental</v>
      </c>
      <c r="D8" s="144" t="str">
        <f>IF(H8=".","",Formulario!D$7)</f>
        <v>Luis Guerra</v>
      </c>
      <c r="E8" s="144" t="str">
        <f>IF(G8=".","",Formulario!J$5)</f>
        <v>Marisol Figueroa</v>
      </c>
      <c r="F8" s="145">
        <f>IF(G8=".","",Formulario!J$6)</f>
        <v>43895</v>
      </c>
      <c r="G8" s="180">
        <f>IF(Formulario!C16&lt;&gt;"",IF(Formulario!C16=" ","Falta Depto",IF(H8=".","Error En Descripción",Formulario!C16)),IF(H8=".",".","Falta Datos"))</f>
        <v>213</v>
      </c>
      <c r="H8" s="144" t="str">
        <f>IF(Formulario!D16&lt;&gt;"",IF(Formulario!D16=" ",".",Formulario!D16),".")</f>
        <v>CANTOS DE venta SIN PINTAR -General  (OT 1)-Dep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43904</v>
      </c>
      <c r="O8" s="155">
        <f>Formulario!L16</f>
        <v>1</v>
      </c>
      <c r="P8" s="180" t="str">
        <f>IF(Formulario!L16=1,"9:00",Formulario!M16)</f>
        <v>9:00</v>
      </c>
      <c r="Q8" s="180" t="str">
        <f>IF(Formulario!L16=1,"18:30",Formulario!N16)</f>
        <v>18:30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 t="str">
        <f>Formulario!B17</f>
        <v/>
      </c>
      <c r="B9" s="144" t="str">
        <f>IF(G9="."," ",Formulario!D$5)</f>
        <v xml:space="preserve"> </v>
      </c>
      <c r="C9" s="144" t="str">
        <f>IF(G9=".","",Formulario!D$6)</f>
        <v/>
      </c>
      <c r="D9" s="144" t="str">
        <f>IF(H9=".","",Formulario!D$7)</f>
        <v/>
      </c>
      <c r="E9" s="144" t="str">
        <f>IF(G9=".","",Formulario!J$5)</f>
        <v/>
      </c>
      <c r="F9" s="145" t="str">
        <f>IF(G9=".","",Formulario!J$6)</f>
        <v/>
      </c>
      <c r="G9" s="180" t="str">
        <f>IF(Formulario!C17&lt;&gt;"",IF(Formulario!C17=" ","Falta Depto",IF(H9=".","Error En Descripción",Formulario!C17)),IF(H9=".",".","Falta Datos"))</f>
        <v>.</v>
      </c>
      <c r="H9" s="144" t="str">
        <f>IF(Formulario!D17&lt;&gt;"",IF(Formulario!D17=" ",".",Formulario!D17),".")</f>
        <v>.</v>
      </c>
      <c r="I9" s="144" t="str">
        <f>IF(Formulario!E17&lt;&gt;"",IF(Formulario!E17=" "," ",Formulario!E17),IF(G9=".",".",""))</f>
        <v>.</v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 t="str">
        <f>IF(Formulario!J17&lt;&gt;"",IF(Formulario!J17=" "," ",Formulario!J17),IF(G9=".",".","Falta Fecha"))</f>
        <v>.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 t="str">
        <f>Formulario!B18</f>
        <v/>
      </c>
      <c r="B10" s="144" t="str">
        <f>IF(G10="."," ",Formulario!D$5)</f>
        <v xml:space="preserve"> </v>
      </c>
      <c r="C10" s="144" t="str">
        <f>IF(G10=".","",Formulario!D$6)</f>
        <v/>
      </c>
      <c r="D10" s="161" t="str">
        <f>IF(H10=".","",Formulario!D$7)</f>
        <v/>
      </c>
      <c r="E10" s="144" t="str">
        <f>IF(G10=".","",Formulario!J$5)</f>
        <v/>
      </c>
      <c r="F10" s="145" t="str">
        <f>IF(G10=".","",Formulario!J$6)</f>
        <v/>
      </c>
      <c r="G10" s="180" t="str">
        <f>IF(Formulario!C18&lt;&gt;"",IF(Formulario!C18=" ","Falta Depto",IF(H10=".","Error En Descripción",Formulario!C18)),IF(H10=".",".","Falta Datos"))</f>
        <v>.</v>
      </c>
      <c r="H10" s="144" t="str">
        <f>IF(Formulario!D18&lt;&gt;"",IF(Formulario!D18=" ",".",Formulario!D18),".")</f>
        <v>.</v>
      </c>
      <c r="I10" s="144" t="str">
        <f>IF(Formulario!E18&lt;&gt;"",IF(Formulario!E18=" "," ",Formulario!E18),IF(G10=".",".",""))</f>
        <v>.</v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 t="str">
        <f>IF(Formulario!J18&lt;&gt;"",IF(Formulario!J18=" "," ",Formulario!J18),IF(G10=".",".","Falta Fecha"))</f>
        <v>.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43900</v>
      </c>
      <c r="D2" s="55">
        <f>WEEKDAY(C2)</f>
        <v>3</v>
      </c>
      <c r="E2" s="55">
        <f>9-D2</f>
        <v>6</v>
      </c>
      <c r="F2" s="55" t="s">
        <v>79</v>
      </c>
    </row>
    <row r="3" spans="3:6">
      <c r="C3" s="153">
        <f>C2+1</f>
        <v>43901</v>
      </c>
      <c r="D3" s="55">
        <f t="shared" ref="D3:D14" si="0">WEEKDAY(C3)</f>
        <v>4</v>
      </c>
      <c r="E3" s="55">
        <f>14-D3</f>
        <v>10</v>
      </c>
      <c r="F3" s="55"/>
    </row>
    <row r="4" spans="3:6">
      <c r="C4" s="153">
        <f t="shared" ref="C4:C14" si="1">C3+1</f>
        <v>43902</v>
      </c>
      <c r="D4" s="55">
        <f t="shared" si="0"/>
        <v>5</v>
      </c>
      <c r="E4" s="55"/>
      <c r="F4" s="55"/>
    </row>
    <row r="5" spans="3:6">
      <c r="C5" s="153">
        <f t="shared" si="1"/>
        <v>43903</v>
      </c>
      <c r="D5" s="55">
        <f t="shared" si="0"/>
        <v>6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43904</v>
      </c>
      <c r="D6" s="55">
        <f t="shared" si="0"/>
        <v>7</v>
      </c>
      <c r="E6" s="55"/>
      <c r="F6" s="55"/>
    </row>
    <row r="7" spans="3:6">
      <c r="C7" s="153">
        <f t="shared" si="1"/>
        <v>43905</v>
      </c>
      <c r="D7" s="55">
        <f t="shared" si="0"/>
        <v>1</v>
      </c>
      <c r="E7" s="55"/>
      <c r="F7" s="55"/>
    </row>
    <row r="8" spans="3:6">
      <c r="C8" s="153">
        <f t="shared" si="1"/>
        <v>43906</v>
      </c>
      <c r="D8" s="55">
        <f t="shared" si="0"/>
        <v>2</v>
      </c>
      <c r="E8" s="55"/>
      <c r="F8" s="55"/>
    </row>
    <row r="9" spans="3:6">
      <c r="C9" s="153">
        <f t="shared" si="1"/>
        <v>43907</v>
      </c>
      <c r="D9" s="55">
        <f t="shared" si="0"/>
        <v>3</v>
      </c>
      <c r="E9" s="55"/>
      <c r="F9" s="55"/>
    </row>
    <row r="10" spans="3:6">
      <c r="C10" s="153">
        <f t="shared" si="1"/>
        <v>43908</v>
      </c>
      <c r="D10" s="55">
        <f t="shared" si="0"/>
        <v>4</v>
      </c>
      <c r="E10" s="55"/>
      <c r="F10" s="55"/>
    </row>
    <row r="11" spans="3:6">
      <c r="C11" s="153">
        <f t="shared" si="1"/>
        <v>43909</v>
      </c>
      <c r="D11" s="55">
        <f t="shared" si="0"/>
        <v>5</v>
      </c>
      <c r="E11" s="55"/>
      <c r="F11" s="55"/>
    </row>
    <row r="12" spans="3:6">
      <c r="C12" s="153">
        <f t="shared" si="1"/>
        <v>43910</v>
      </c>
      <c r="D12" s="55">
        <f t="shared" si="0"/>
        <v>6</v>
      </c>
      <c r="E12" s="55"/>
      <c r="F12" s="55"/>
    </row>
    <row r="13" spans="3:6">
      <c r="C13" s="153">
        <f t="shared" si="1"/>
        <v>43911</v>
      </c>
      <c r="D13" s="55">
        <f t="shared" si="0"/>
        <v>7</v>
      </c>
      <c r="E13" s="55"/>
      <c r="F13" s="55"/>
    </row>
    <row r="14" spans="3:6">
      <c r="C14" s="153">
        <f t="shared" si="1"/>
        <v>43912</v>
      </c>
      <c r="D14" s="55">
        <f t="shared" si="0"/>
        <v>1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2020-03-05T18:30:52Z</dcterms:modified>
</cp:coreProperties>
</file>