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C12" i="5" s="1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N14" i="5" s="1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<sst xmlns="http://schemas.openxmlformats.org/spreadsheetml/2006/main" count="1772" uniqueCount="154">
  <si>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</si>
  <si>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</si>
  <si>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</si>
  <si>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</si>
  <si>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</si>
  <si>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</si>
  <si>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</si>
  <si>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</si>
  <si>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</si>
  <si>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</si>
  <si>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</si>
  <si>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</si>
  <si>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</si>
  <si>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</si>
  <si>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</si>
  <si>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</si>
  <si>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</si>
  <si>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</si>
  <si>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</si>
  <si>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</si>
  <si>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</si>
  <si>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</si>
  <si>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</si>
  <si>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</si>
  <si>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</si>
  <si>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</si>
  <si>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</si>
  <si>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</si>
  <si>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</si>
  <si>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</si>
  <si>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</si>
  <si>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</si>
  <si>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</si>
  <si>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</si>
  <si>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</si>
  <si>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</si>
  <si>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</si>
  <si>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</si>
  <si>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</si>
  <si>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</si>
  <si>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</si>
  <si>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</si>
  <si>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</si>
  <si>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</si>
  <si>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</si>
  <si>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</si>
  <si>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</si>
  <si>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</si>
  <si>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</si>
  <si>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</si>
  <si>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</si>
  <si>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</si>
  <si>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</si>
  <si>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</si>
  <si>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</si>
  <si>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</si>
  <si>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</si>
  <si>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</si>
  <si>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</si>
  <si>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</si>
  <si>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</si>
  <si>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</si>
  <si>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</si>
  <si>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</si>
  <si>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</si>
  <si>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</si>
  <si>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</si>
  <si>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</si>
  <si>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</si>
  <si>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</si>
  <si>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</si>
  <si>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</si>
  <si>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</si>
  <si>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</si>
  <si>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</si>
  <si>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</si>
  <si>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</si>
  <si>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</si>
  <si>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</si>
  <si>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</si>
  <si>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</si>
  <si>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</si>
  <si>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</si>
  <si>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</si>
  <si>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</si>
  <si>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</si>
  <si>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</si>
  <si>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</si>
  <si>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</si>
  <si>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</si>
  <si>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</si>
  <si>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</si>
  <si>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</si>
  <si>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</si>
  <si>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</si>
  <si>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</si>
  <si>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</si>
  <si>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</si>
  <si>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</si>
  <si>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</si>
  <si>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</si>
  <si>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</si>
  <si>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</si>
  <si>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</si>
  <si>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</si>
  <si>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</si>
  <si>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</si>
  <si>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</si>
  <si>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</si>
  <si>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</si>
  <si>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</si>
  <si>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</si>
  <si>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</si>
  <si>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</si>
  <si>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</si>
  <si>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</si>
  <si>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</si>
  <si>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</si>
  <si>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</si>
  <si>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</si>
  <si>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</si>
  <si>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</si>
  <si>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</si>
  <si>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</si>
  <si>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</si>
  <si>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</si>
  <si>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</si>
  <si>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</si>
  <si>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</si>
  <si>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</si>
  <si>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</si>
  <si>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</si>
  <si>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</si>
  <si>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</si>
  <si>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</si>
  <si>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</si>
  <si>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</si>
  <si>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</si>
  <si>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</si>
  <si>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</si>
  <si>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</si>
  <si>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</si>
  <si>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</si>
  <si>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</si>
  <si>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</si>
  <si>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9:30</t>
  </si>
  <si>
    <t>12:30</t>
  </si>
  <si>
    <t>CIELO MANCHADO SOBRE MUEBLES COLGANTES- Acceso (OT 1)- lll</t>
  </si>
  <si>
    <t>CANTO HOJA MOVIL DE VENTANA DAÑADO - Living (OT 1)- iii</t>
  </si>
  <si>
    <t>TIRADOR DE LA VENTANA SUELTO - Living (OT 1)- iiii</t>
  </si>
  <si>
    <t>LAVAMANOS SIN AIREADOR - Baño (OT 1)-iii</t>
  </si>
  <si>
    <t>CANTOS DE PUERTAS SIN PINTAR -General  (OT 1)- iiii</t>
  </si>
  <si>
    <t>15:00</t>
  </si>
  <si>
    <t>16:00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</si>
</sst>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image" Target="../media/image2.emf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H12" sqref="H12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70</v>
      </c>
      <c r="E5" s="212"/>
      <c r="F5" s="151"/>
      <c r="G5" s="151"/>
      <c r="H5" s="205" t="s">
        <v>76</v>
      </c>
      <c r="I5" s="206"/>
      <c r="J5" s="199" t="s">
        <v>105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34</v>
      </c>
      <c r="E6" s="202"/>
      <c r="F6" s="152"/>
      <c r="G6" s="152"/>
      <c r="H6" s="207" t="s">
        <v>5</v>
      </c>
      <c r="I6" s="208"/>
      <c r="J6" s="200">
        <v>43894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101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147</v>
      </c>
      <c r="E11" s="133"/>
      <c r="F11" s="121"/>
      <c r="G11" s="135"/>
      <c r="H11" s="133"/>
      <c r="I11" s="134"/>
      <c r="J11" s="186">
        <v>43900</v>
      </c>
      <c r="K11" s="135"/>
      <c r="L11" s="194">
        <v>0</v>
      </c>
      <c r="M11" s="198" t="s">
        <v>152</v>
      </c>
      <c r="N11" s="169" t="s">
        <v>153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148</v>
      </c>
      <c r="E12" s="133"/>
      <c r="F12" s="121"/>
      <c r="G12" s="135"/>
      <c r="H12" s="133"/>
      <c r="I12" s="134"/>
      <c r="J12" s="186">
        <v>43899</v>
      </c>
      <c r="K12" s="135"/>
      <c r="L12" s="194">
        <v>0</v>
      </c>
      <c r="M12" s="198" t="s">
        <v>145</v>
      </c>
      <c r="N12" s="169" t="s">
        <v>146</v>
      </c>
      <c r="O12" s="119" t="s">
        <v>139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149</v>
      </c>
      <c r="E13" s="133"/>
      <c r="F13" s="121"/>
      <c r="G13" s="135"/>
      <c r="H13" s="133"/>
      <c r="I13" s="132"/>
      <c r="J13" s="186">
        <v>43903</v>
      </c>
      <c r="K13" s="135"/>
      <c r="L13" s="194">
        <v>0</v>
      </c>
      <c r="M13" s="198" t="s">
        <v>145</v>
      </c>
      <c r="N13" s="169" t="s">
        <v>146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150</v>
      </c>
      <c r="E14" s="133"/>
      <c r="F14" s="121"/>
      <c r="G14" s="135"/>
      <c r="H14" s="133"/>
      <c r="I14" s="132"/>
      <c r="J14" s="186">
        <v>43902</v>
      </c>
      <c r="K14" s="135"/>
      <c r="L14" s="194">
        <v>0</v>
      </c>
      <c r="M14" s="198" t="s">
        <v>145</v>
      </c>
      <c r="N14" s="169" t="s">
        <v>146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151</v>
      </c>
      <c r="E15" s="133"/>
      <c r="F15" s="121"/>
      <c r="G15" s="135"/>
      <c r="H15" s="133"/>
      <c r="I15" s="132"/>
      <c r="J15" s="186">
        <v>43901</v>
      </c>
      <c r="K15" s="135"/>
      <c r="L15" s="194">
        <v>0</v>
      </c>
      <c r="M15" s="198" t="s">
        <v>145</v>
      </c>
      <c r="N15" s="169" t="s">
        <v>146</v>
      </c>
      <c r="O15" s="119" t="s">
        <v>144</v>
      </c>
      <c r="P15" s="120"/>
      <c r="Q15" s="1"/>
    </row>
    <row r="16" spans="1:17" ht="49.5" customHeight="1">
      <c r="A16" s="21"/>
      <c r="B16" s="115" t="str">
        <f t="shared" si="0"/>
        <v/>
      </c>
      <c r="C16" s="185"/>
      <c r="D16" s="183"/>
      <c r="E16" s="133"/>
      <c r="F16" s="121"/>
      <c r="G16" s="135"/>
      <c r="H16" s="133"/>
      <c r="I16" s="132"/>
      <c r="J16" s="187"/>
      <c r="K16" s="135"/>
      <c r="L16" s="194">
        <v>0</v>
      </c>
      <c r="M16" s="198" t="s">
        <v>145</v>
      </c>
      <c r="N16" s="169" t="s">
        <v>146</v>
      </c>
      <c r="O16" s="119" t="s">
        <v>144</v>
      </c>
      <c r="P16" s="120"/>
      <c r="Q16" s="1"/>
    </row>
    <row r="17" spans="1:17" ht="49.5" customHeight="1">
      <c r="A17" s="21"/>
      <c r="B17" s="115" t="str">
        <f t="shared" si="0"/>
        <v/>
      </c>
      <c r="C17" s="184"/>
      <c r="D17" s="182"/>
      <c r="E17" s="133"/>
      <c r="F17" s="121"/>
      <c r="G17" s="135"/>
      <c r="H17" s="133"/>
      <c r="I17" s="132"/>
      <c r="J17" s="186"/>
      <c r="K17" s="135"/>
      <c r="L17" s="194">
        <v>0</v>
      </c>
      <c r="M17" s="198" t="s">
        <v>145</v>
      </c>
      <c r="N17" s="169" t="s">
        <v>146</v>
      </c>
      <c r="O17" s="119" t="s">
        <v>144</v>
      </c>
      <c r="P17" s="120"/>
      <c r="Q17" s="1"/>
    </row>
    <row r="18" spans="1:17" ht="49.5" customHeight="1">
      <c r="A18" s="21"/>
      <c r="B18" s="115" t="str">
        <f t="shared" si="0"/>
        <v/>
      </c>
      <c r="C18" s="185"/>
      <c r="D18" s="183"/>
      <c r="E18" s="133"/>
      <c r="F18" s="121"/>
      <c r="G18" s="135"/>
      <c r="H18" s="133"/>
      <c r="I18" s="132"/>
      <c r="J18" s="187"/>
      <c r="K18" s="135"/>
      <c r="L18" s="194">
        <v>0</v>
      </c>
      <c r="M18" s="198" t="s">
        <v>145</v>
      </c>
      <c r="N18" s="169" t="s">
        <v>146</v>
      </c>
      <c r="O18" s="119" t="s">
        <v>144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35"/>
      <c r="H19" s="133"/>
      <c r="I19" s="125"/>
      <c r="J19" s="186"/>
      <c r="K19" s="135"/>
      <c r="L19" s="194">
        <v>0</v>
      </c>
      <c r="M19" s="198" t="s">
        <v>145</v>
      </c>
      <c r="N19" s="169" t="s">
        <v>146</v>
      </c>
      <c r="O19" s="119" t="s">
        <v>144</v>
      </c>
      <c r="P19" s="120"/>
      <c r="Q19" s="1"/>
    </row>
    <row r="20" spans="1:17" ht="49.5" customHeight="1">
      <c r="A20" s="21"/>
      <c r="B20" s="115" t="str">
        <f t="shared" si="0"/>
        <v/>
      </c>
      <c r="C20" s="185"/>
      <c r="D20" s="183"/>
      <c r="E20" s="133"/>
      <c r="F20" s="121"/>
      <c r="G20" s="135"/>
      <c r="H20" s="133"/>
      <c r="I20" s="125"/>
      <c r="J20" s="187"/>
      <c r="K20" s="135"/>
      <c r="L20" s="194">
        <v>0</v>
      </c>
      <c r="M20" s="198" t="s">
        <v>145</v>
      </c>
      <c r="N20" s="169" t="s">
        <v>146</v>
      </c>
      <c r="O20" s="119" t="s">
        <v>144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35"/>
      <c r="H21" s="133"/>
      <c r="I21" s="125"/>
      <c r="J21" s="186"/>
      <c r="K21" s="135"/>
      <c r="L21" s="194">
        <v>0</v>
      </c>
      <c r="M21" s="198" t="s">
        <v>145</v>
      </c>
      <c r="N21" s="169" t="s">
        <v>146</v>
      </c>
      <c r="O21" s="119" t="s">
        <v>144</v>
      </c>
      <c r="P21" s="120"/>
      <c r="Q21" s="1"/>
    </row>
    <row r="22" spans="1:17" ht="49.5" customHeight="1">
      <c r="A22" s="21"/>
      <c r="B22" s="115" t="str">
        <f t="shared" si="0"/>
        <v/>
      </c>
      <c r="C22" s="185"/>
      <c r="D22" s="183"/>
      <c r="E22" s="133"/>
      <c r="F22" s="121"/>
      <c r="G22" s="135"/>
      <c r="H22" s="133"/>
      <c r="I22" s="125"/>
      <c r="J22" s="187"/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 t="str">
        <f t="shared" si="0"/>
        <v/>
      </c>
      <c r="C23" s="185"/>
      <c r="D23" s="183"/>
      <c r="E23" s="133"/>
      <c r="F23" s="121"/>
      <c r="G23" s="124"/>
      <c r="H23" s="123"/>
      <c r="I23" s="125"/>
      <c r="J23" s="186"/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5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7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7" name="CheckBox1"/>
      </mc:Fallback>
    </mc:AlternateContent>
    <mc:AlternateContent xmlns:mc="http://schemas.openxmlformats.org/markup-compatibility/2006">
      <mc:Choice Requires="x14">
        <control shapeId="1258" r:id="rId8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8" name="CheckBox4"/>
      </mc:Fallback>
    </mc:AlternateContent>
    <mc:AlternateContent xmlns:mc="http://schemas.openxmlformats.org/markup-compatibility/2006">
      <mc:Choice Requires="x14">
        <control shapeId="1259" r:id="rId9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9" name="CheckBox5"/>
      </mc:Fallback>
    </mc:AlternateContent>
    <mc:AlternateContent xmlns:mc="http://schemas.openxmlformats.org/markup-compatibility/2006">
      <mc:Choice Requires="x14">
        <control shapeId="1260" r:id="rId10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" name="CheckBox6"/>
      </mc:Fallback>
    </mc:AlternateContent>
    <mc:AlternateContent xmlns:mc="http://schemas.openxmlformats.org/markup-compatibility/2006">
      <mc:Choice Requires="x14">
        <control shapeId="1261" r:id="rId11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1" name="CheckBox7"/>
      </mc:Fallback>
    </mc:AlternateContent>
    <mc:AlternateContent xmlns:mc="http://schemas.openxmlformats.org/markup-compatibility/2006">
      <mc:Choice Requires="x14">
        <control shapeId="1262" r:id="rId12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2" name="CheckBox8"/>
      </mc:Fallback>
    </mc:AlternateContent>
    <mc:AlternateContent xmlns:mc="http://schemas.openxmlformats.org/markup-compatibility/2006">
      <mc:Choice Requires="x14">
        <control shapeId="1263" r:id="rId13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3" name="CheckBox9"/>
      </mc:Fallback>
    </mc:AlternateContent>
    <mc:AlternateContent xmlns:mc="http://schemas.openxmlformats.org/markup-compatibility/2006">
      <mc:Choice Requires="x14">
        <control shapeId="1264" r:id="rId14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4" name="CheckBox10"/>
      </mc:Fallback>
    </mc:AlternateContent>
    <mc:AlternateContent xmlns:mc="http://schemas.openxmlformats.org/markup-compatibility/2006">
      <mc:Choice Requires="x14">
        <control shapeId="1265" r:id="rId15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5" name="CheckBox11"/>
      </mc:Fallback>
    </mc:AlternateContent>
    <mc:AlternateContent xmlns:mc="http://schemas.openxmlformats.org/markup-compatibility/2006">
      <mc:Choice Requires="x14">
        <control shapeId="1266" r:id="rId16" name="CheckBox12">
          <controlPr defaultSize="0" autoLine="0" r:id="rId1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6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1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1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1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1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ABSAL</v>
      </c>
      <c r="C3" s="144" t="str">
        <f>IF(G3=".","",Formulario!D$6)</f>
        <v>Macul Plaza 2</v>
      </c>
      <c r="D3" s="144" t="str">
        <f>IF(H3=".","",Formulario!D$7)</f>
        <v>Rodrigo Osorio</v>
      </c>
      <c r="E3" s="144" t="str">
        <f>IF(G3=".","",Formulario!J$5)</f>
        <v>Claudio Escobar</v>
      </c>
      <c r="F3" s="145">
        <f>IF(G3=".","",Formulario!J$6)</f>
        <v>43894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1)- lll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43900</v>
      </c>
      <c r="O3" s="155">
        <f>Formulario!L11</f>
        <v>0</v>
      </c>
      <c r="P3" s="180" t="str">
        <f>IF(Formulario!L11=1,"9:00",Formulario!M11)</f>
        <v>15:00</v>
      </c>
      <c r="Q3" s="180" t="str">
        <f>IF(Formulario!L11=1,"18:30",Formulario!N11)</f>
        <v>16:00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ABSAL</v>
      </c>
      <c r="C4" s="144" t="str">
        <f>IF(G4=".","",Formulario!D$6)</f>
        <v>Macul Plaza 2</v>
      </c>
      <c r="D4" s="144" t="str">
        <f>IF(H4=".","",Formulario!D$7)</f>
        <v>Rodrigo Osorio</v>
      </c>
      <c r="E4" s="144" t="str">
        <f>IF(G4=".","",Formulario!J$5)</f>
        <v>Claudio Escobar</v>
      </c>
      <c r="F4" s="145">
        <f>IF(G4=".","",Formulario!J$6)</f>
        <v>43894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1)- iii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43899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 xml:space="preserve">Entrega 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ABSAL</v>
      </c>
      <c r="C5" s="144" t="str">
        <f>IF(G5=".","",Formulario!D$6)</f>
        <v>Macul Plaza 2</v>
      </c>
      <c r="D5" s="144" t="str">
        <f>IF(H5=".","",Formulario!D$7)</f>
        <v>Rodrigo Osorio</v>
      </c>
      <c r="E5" s="144" t="str">
        <f>IF(G5=".","",Formulario!J$5)</f>
        <v>Claudio Escobar</v>
      </c>
      <c r="F5" s="145">
        <f>IF(G5=".","",Formulario!J$6)</f>
        <v>43894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1)- iiii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43903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ABSAL</v>
      </c>
      <c r="C6" s="144" t="str">
        <f>IF(G6=".","",Formulario!D$6)</f>
        <v>Macul Plaza 2</v>
      </c>
      <c r="D6" s="144" t="str">
        <f>IF(H6=".","",Formulario!D$7)</f>
        <v>Rodrigo Osorio</v>
      </c>
      <c r="E6" s="144" t="str">
        <f>IF(G6=".","",Formulario!J$5)</f>
        <v>Claudio Escobar</v>
      </c>
      <c r="F6" s="145">
        <f>IF(G6=".","",Formulario!J$6)</f>
        <v>43894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1)-iii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43902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ABSAL</v>
      </c>
      <c r="C7" s="144" t="str">
        <f>IF(G7=".","",Formulario!D$6)</f>
        <v>Macul Plaza 2</v>
      </c>
      <c r="D7" s="144" t="str">
        <f>IF(H7=".","",Formulario!D$7)</f>
        <v>Rodrigo Osorio</v>
      </c>
      <c r="E7" s="144" t="str">
        <f>IF(G7=".","",Formulario!J$5)</f>
        <v>Claudio Escobar</v>
      </c>
      <c r="F7" s="145">
        <f>IF(G7=".","",Formulario!J$6)</f>
        <v>43894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1)- iiii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43901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 t="str">
        <f>Formulario!B16</f>
        <v/>
      </c>
      <c r="B8" s="144" t="str">
        <f>IF(G8="."," ",Formulario!D$5)</f>
        <v xml:space="preserve"> </v>
      </c>
      <c r="C8" s="144" t="str">
        <f>IF(G8=".","",Formulario!D$6)</f>
        <v/>
      </c>
      <c r="D8" s="144" t="str">
        <f>IF(H8=".","",Formulario!D$7)</f>
        <v/>
      </c>
      <c r="E8" s="144" t="str">
        <f>IF(G8=".","",Formulario!J$5)</f>
        <v/>
      </c>
      <c r="F8" s="145" t="str">
        <f>IF(G8=".","",Formulario!J$6)</f>
        <v/>
      </c>
      <c r="G8" s="180" t="str">
        <f>IF(Formulario!C16&lt;&gt;"",IF(Formulario!C16=" ","Falta Depto",IF(H8=".","Error En Descripción",Formulario!C16)),IF(H8=".",".","Falta Datos"))</f>
        <v>.</v>
      </c>
      <c r="H8" s="144" t="str">
        <f>IF(Formulario!D16&lt;&gt;"",IF(Formulario!D16=" ",".",Formulario!D16),".")</f>
        <v>.</v>
      </c>
      <c r="I8" s="144" t="str">
        <f>IF(Formulario!E16&lt;&gt;"",IF(Formulario!E16=" "," ",Formulario!E16),IF(G8=".",".",""))</f>
        <v>.</v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 t="str">
        <f>IF(Formulario!J16&lt;&gt;"",IF(Formulario!J16=" "," ",Formulario!J16),IF(G8=".",".","Falta Fecha"))</f>
        <v>.</v>
      </c>
      <c r="O8" s="155">
        <f>Formulario!L16</f>
        <v>0</v>
      </c>
      <c r="P8" s="180" t="str">
        <f>IF(Formulario!L16=1,"9:00",Formulario!M16)</f>
        <v>9:30</v>
      </c>
      <c r="Q8" s="180" t="str">
        <f>IF(Formulario!L16=1,"18:30",Formulario!N16)</f>
        <v>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 t="str">
        <f>Formulario!B17</f>
        <v/>
      </c>
      <c r="B9" s="144" t="str">
        <f>IF(G9="."," ",Formulario!D$5)</f>
        <v xml:space="preserve"> </v>
      </c>
      <c r="C9" s="144" t="str">
        <f>IF(G9=".","",Formulario!D$6)</f>
        <v/>
      </c>
      <c r="D9" s="144" t="str">
        <f>IF(H9=".","",Formulario!D$7)</f>
        <v/>
      </c>
      <c r="E9" s="144" t="str">
        <f>IF(G9=".","",Formulario!J$5)</f>
        <v/>
      </c>
      <c r="F9" s="145" t="str">
        <f>IF(G9=".","",Formulario!J$6)</f>
        <v/>
      </c>
      <c r="G9" s="180" t="str">
        <f>IF(Formulario!C17&lt;&gt;"",IF(Formulario!C17=" ","Falta Depto",IF(H9=".","Error En Descripción",Formulario!C17)),IF(H9=".",".","Falta Datos"))</f>
        <v>.</v>
      </c>
      <c r="H9" s="144" t="str">
        <f>IF(Formulario!D17&lt;&gt;"",IF(Formulario!D17=" ",".",Formulario!D17),".")</f>
        <v>.</v>
      </c>
      <c r="I9" s="144" t="str">
        <f>IF(Formulario!E17&lt;&gt;"",IF(Formulario!E17=" "," ",Formulario!E17),IF(G9=".",".",""))</f>
        <v>.</v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 t="str">
        <f>IF(Formulario!J17&lt;&gt;"",IF(Formulario!J17=" "," ",Formulario!J17),IF(G9=".",".","Falta Fecha"))</f>
        <v>.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 t="str">
        <f>Formulario!B18</f>
        <v/>
      </c>
      <c r="B10" s="144" t="str">
        <f>IF(G10="."," ",Formulario!D$5)</f>
        <v xml:space="preserve"> </v>
      </c>
      <c r="C10" s="144" t="str">
        <f>IF(G10=".","",Formulario!D$6)</f>
        <v/>
      </c>
      <c r="D10" s="161" t="str">
        <f>IF(H10=".","",Formulario!D$7)</f>
        <v/>
      </c>
      <c r="E10" s="144" t="str">
        <f>IF(G10=".","",Formulario!J$5)</f>
        <v/>
      </c>
      <c r="F10" s="145" t="str">
        <f>IF(G10=".","",Formulario!J$6)</f>
        <v/>
      </c>
      <c r="G10" s="180" t="str">
        <f>IF(Formulario!C18&lt;&gt;"",IF(Formulario!C18=" ","Falta Depto",IF(H10=".","Error En Descripción",Formulario!C18)),IF(H10=".",".","Falta Datos"))</f>
        <v>.</v>
      </c>
      <c r="H10" s="144" t="str">
        <f>IF(Formulario!D18&lt;&gt;"",IF(Formulario!D18=" ",".",Formulario!D18),".")</f>
        <v>.</v>
      </c>
      <c r="I10" s="144" t="str">
        <f>IF(Formulario!E18&lt;&gt;"",IF(Formulario!E18=" "," ",Formulario!E18),IF(G10=".",".",""))</f>
        <v>.</v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 t="str">
        <f>IF(Formulario!J18&lt;&gt;"",IF(Formulario!J18=" "," ",Formulario!J18),IF(G10=".",".","Falta Fecha"))</f>
        <v>.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43900</v>
      </c>
      <c r="D2" s="55">
        <f>WEEKDAY(C2)</f>
        <v>3</v>
      </c>
      <c r="E2" s="55">
        <f>9-D2</f>
        <v>6</v>
      </c>
      <c r="F2" s="55" t="s">
        <v>79</v>
      </c>
    </row>
    <row r="3" spans="3:6">
      <c r="C3" s="153">
        <f>C2+1</f>
        <v>43901</v>
      </c>
      <c r="D3" s="55">
        <f t="shared" ref="D3:D14" si="0">WEEKDAY(C3)</f>
        <v>4</v>
      </c>
      <c r="E3" s="55">
        <f>14-D3</f>
        <v>10</v>
      </c>
      <c r="F3" s="55"/>
    </row>
    <row r="4" spans="3:6">
      <c r="C4" s="153">
        <f t="shared" ref="C4:C14" si="1">C3+1</f>
        <v>43902</v>
      </c>
      <c r="D4" s="55">
        <f t="shared" si="0"/>
        <v>5</v>
      </c>
      <c r="E4" s="55"/>
      <c r="F4" s="55"/>
    </row>
    <row r="5" spans="3:6">
      <c r="C5" s="153">
        <f t="shared" si="1"/>
        <v>43903</v>
      </c>
      <c r="D5" s="55">
        <f t="shared" si="0"/>
        <v>6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43904</v>
      </c>
      <c r="D6" s="55">
        <f t="shared" si="0"/>
        <v>7</v>
      </c>
      <c r="E6" s="55"/>
      <c r="F6" s="55"/>
    </row>
    <row r="7" spans="3:6">
      <c r="C7" s="153">
        <f t="shared" si="1"/>
        <v>43905</v>
      </c>
      <c r="D7" s="55">
        <f t="shared" si="0"/>
        <v>1</v>
      </c>
      <c r="E7" s="55"/>
      <c r="F7" s="55"/>
    </row>
    <row r="8" spans="3:6">
      <c r="C8" s="153">
        <f t="shared" si="1"/>
        <v>43906</v>
      </c>
      <c r="D8" s="55">
        <f t="shared" si="0"/>
        <v>2</v>
      </c>
      <c r="E8" s="55"/>
      <c r="F8" s="55"/>
    </row>
    <row r="9" spans="3:6">
      <c r="C9" s="153">
        <f t="shared" si="1"/>
        <v>43907</v>
      </c>
      <c r="D9" s="55">
        <f t="shared" si="0"/>
        <v>3</v>
      </c>
      <c r="E9" s="55"/>
      <c r="F9" s="55"/>
    </row>
    <row r="10" spans="3:6">
      <c r="C10" s="153">
        <f t="shared" si="1"/>
        <v>43908</v>
      </c>
      <c r="D10" s="55">
        <f t="shared" si="0"/>
        <v>4</v>
      </c>
      <c r="E10" s="55"/>
      <c r="F10" s="55"/>
    </row>
    <row r="11" spans="3:6">
      <c r="C11" s="153">
        <f t="shared" si="1"/>
        <v>43909</v>
      </c>
      <c r="D11" s="55">
        <f t="shared" si="0"/>
        <v>5</v>
      </c>
      <c r="E11" s="55"/>
      <c r="F11" s="55"/>
    </row>
    <row r="12" spans="3:6">
      <c r="C12" s="153">
        <f t="shared" si="1"/>
        <v>43910</v>
      </c>
      <c r="D12" s="55">
        <f t="shared" si="0"/>
        <v>6</v>
      </c>
      <c r="E12" s="55"/>
      <c r="F12" s="55"/>
    </row>
    <row r="13" spans="3:6">
      <c r="C13" s="153">
        <f t="shared" si="1"/>
        <v>43911</v>
      </c>
      <c r="D13" s="55">
        <f t="shared" si="0"/>
        <v>7</v>
      </c>
      <c r="E13" s="55"/>
      <c r="F13" s="55"/>
    </row>
    <row r="14" spans="3:6">
      <c r="C14" s="153">
        <f t="shared" si="1"/>
        <v>43912</v>
      </c>
      <c r="D14" s="55">
        <f t="shared" si="0"/>
        <v>1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2020-03-04T15:19:55Z</dcterms:modified>
</cp:coreProperties>
</file>