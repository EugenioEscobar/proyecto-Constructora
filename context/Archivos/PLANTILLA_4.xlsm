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Proyectos_UPC\Pruebas\"/>
    </mc:Choice>
  </mc:AlternateContent>
  <bookViews>
    <workbookView xWindow="0" yWindow="300" windowWidth="20490" windowHeight="7455" tabRatio="824" activeTab="1"/>
  </bookViews>
  <sheets>
    <sheet name="Formulario" sheetId="1" r:id="rId1"/>
    <sheet name="CargaDatos" sheetId="5" r:id="rId2"/>
    <sheet name="Calculode dias" sheetId="6" r:id="rId3"/>
    <sheet name="Registro de proyectos" sheetId="4" r:id="rId4"/>
    <sheet name="Tablas" sheetId="7" r:id="rId5"/>
    <sheet name="Proyecto" sheetId="2" state="hidden" r:id="rId6"/>
    <sheet name="Estado" sheetId="3" state="hidden" r:id="rId7"/>
  </sheets>
  <definedNames>
    <definedName name="_xlnm._FilterDatabase" localSheetId="0" hidden="1">Formulario!$B$10:$O$110</definedName>
    <definedName name="_xlnm.Print_Area" localSheetId="0">Formulario!$B$11:$E$23</definedName>
    <definedName name="estado">Tabla1[Estado]</definedName>
    <definedName name="inmobiliaria">OFFSET(Tablas!$B$2,0,0,COUNTA(Tablas!$B:$B)-1)</definedName>
    <definedName name="proyecto">TablaProyecto[Nombre Obra]</definedName>
    <definedName name="SupervisorCons">OFFSET(Tablas!$D$2,0,0,COUNTA(Tablas!$D:$D)-1)</definedName>
    <definedName name="SupervisorInm">OFFSET(Tablas!$F$2,0,0,COUNTA(Tablas!$F:$F)-1)</definedName>
  </definedNames>
  <calcPr calcId="152511"/>
</workbook>
</file>

<file path=xl/calcChain.xml><?xml version="1.0" encoding="utf-8"?>
<calcChain xmlns="http://schemas.openxmlformats.org/spreadsheetml/2006/main">
  <c r="J12" i="1" l="1"/>
  <c r="P3" i="5" l="1"/>
  <c r="Q3" i="5"/>
  <c r="Q5" i="5"/>
  <c r="Q6" i="5"/>
  <c r="Q7" i="5"/>
  <c r="Q8" i="5"/>
  <c r="Q9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406" i="5"/>
  <c r="Q407" i="5"/>
  <c r="Q408" i="5"/>
  <c r="Q409" i="5"/>
  <c r="Q410" i="5"/>
  <c r="Q411" i="5"/>
  <c r="Q412" i="5"/>
  <c r="Q413" i="5"/>
  <c r="Q414" i="5"/>
  <c r="Q415" i="5"/>
  <c r="Q416" i="5"/>
  <c r="Q417" i="5"/>
  <c r="Q418" i="5"/>
  <c r="Q419" i="5"/>
  <c r="Q420" i="5"/>
  <c r="Q421" i="5"/>
  <c r="Q422" i="5"/>
  <c r="Q423" i="5"/>
  <c r="Q424" i="5"/>
  <c r="Q425" i="5"/>
  <c r="Q426" i="5"/>
  <c r="Q427" i="5"/>
  <c r="Q428" i="5"/>
  <c r="Q429" i="5"/>
  <c r="Q430" i="5"/>
  <c r="Q431" i="5"/>
  <c r="Q432" i="5"/>
  <c r="Q433" i="5"/>
  <c r="Q434" i="5"/>
  <c r="Q435" i="5"/>
  <c r="Q436" i="5"/>
  <c r="Q437" i="5"/>
  <c r="Q438" i="5"/>
  <c r="Q439" i="5"/>
  <c r="Q440" i="5"/>
  <c r="Q441" i="5"/>
  <c r="Q442" i="5"/>
  <c r="Q443" i="5"/>
  <c r="Q444" i="5"/>
  <c r="Q445" i="5"/>
  <c r="Q446" i="5"/>
  <c r="Q447" i="5"/>
  <c r="Q448" i="5"/>
  <c r="Q449" i="5"/>
  <c r="Q450" i="5"/>
  <c r="Q451" i="5"/>
  <c r="Q452" i="5"/>
  <c r="Q453" i="5"/>
  <c r="Q454" i="5"/>
  <c r="Q455" i="5"/>
  <c r="Q456" i="5"/>
  <c r="Q457" i="5"/>
  <c r="Q458" i="5"/>
  <c r="Q459" i="5"/>
  <c r="Q460" i="5"/>
  <c r="Q461" i="5"/>
  <c r="Q462" i="5"/>
  <c r="Q463" i="5"/>
  <c r="Q464" i="5"/>
  <c r="Q465" i="5"/>
  <c r="Q466" i="5"/>
  <c r="Q467" i="5"/>
  <c r="Q468" i="5"/>
  <c r="Q469" i="5"/>
  <c r="Q470" i="5"/>
  <c r="Q471" i="5"/>
  <c r="Q472" i="5"/>
  <c r="Q473" i="5"/>
  <c r="Q474" i="5"/>
  <c r="Q475" i="5"/>
  <c r="Q476" i="5"/>
  <c r="Q477" i="5"/>
  <c r="Q478" i="5"/>
  <c r="Q479" i="5"/>
  <c r="Q480" i="5"/>
  <c r="Q481" i="5"/>
  <c r="Q482" i="5"/>
  <c r="Q483" i="5"/>
  <c r="Q484" i="5"/>
  <c r="Q485" i="5"/>
  <c r="Q486" i="5"/>
  <c r="Q487" i="5"/>
  <c r="Q488" i="5"/>
  <c r="Q489" i="5"/>
  <c r="Q490" i="5"/>
  <c r="Q491" i="5"/>
  <c r="Q492" i="5"/>
  <c r="Q493" i="5"/>
  <c r="Q494" i="5"/>
  <c r="Q495" i="5"/>
  <c r="Q496" i="5"/>
  <c r="Q497" i="5"/>
  <c r="Q498" i="5"/>
  <c r="Q499" i="5"/>
  <c r="Q500" i="5"/>
  <c r="Q501" i="5"/>
  <c r="Q502" i="5"/>
  <c r="Q503" i="5"/>
  <c r="Q504" i="5"/>
  <c r="Q505" i="5"/>
  <c r="Q506" i="5"/>
  <c r="Q507" i="5"/>
  <c r="Q508" i="5"/>
  <c r="Q509" i="5"/>
  <c r="Q510" i="5"/>
  <c r="Q511" i="5"/>
  <c r="Q512" i="5"/>
  <c r="Q513" i="5"/>
  <c r="Q514" i="5"/>
  <c r="Q515" i="5"/>
  <c r="Q516" i="5"/>
  <c r="Q517" i="5"/>
  <c r="Q518" i="5"/>
  <c r="Q519" i="5"/>
  <c r="Q520" i="5"/>
  <c r="Q521" i="5"/>
  <c r="Q522" i="5"/>
  <c r="Q523" i="5"/>
  <c r="Q524" i="5"/>
  <c r="Q525" i="5"/>
  <c r="Q526" i="5"/>
  <c r="Q527" i="5"/>
  <c r="Q528" i="5"/>
  <c r="Q529" i="5"/>
  <c r="Q530" i="5"/>
  <c r="Q531" i="5"/>
  <c r="Q532" i="5"/>
  <c r="Q533" i="5"/>
  <c r="Q534" i="5"/>
  <c r="Q535" i="5"/>
  <c r="Q536" i="5"/>
  <c r="Q537" i="5"/>
  <c r="Q538" i="5"/>
  <c r="Q539" i="5"/>
  <c r="Q540" i="5"/>
  <c r="Q541" i="5"/>
  <c r="Q542" i="5"/>
  <c r="Q543" i="5"/>
  <c r="Q544" i="5"/>
  <c r="Q545" i="5"/>
  <c r="Q546" i="5"/>
  <c r="Q547" i="5"/>
  <c r="Q548" i="5"/>
  <c r="Q549" i="5"/>
  <c r="Q550" i="5"/>
  <c r="Q551" i="5"/>
  <c r="Q552" i="5"/>
  <c r="Q553" i="5"/>
  <c r="Q554" i="5"/>
  <c r="Q555" i="5"/>
  <c r="Q556" i="5"/>
  <c r="Q557" i="5"/>
  <c r="Q558" i="5"/>
  <c r="Q559" i="5"/>
  <c r="Q560" i="5"/>
  <c r="Q561" i="5"/>
  <c r="Q562" i="5"/>
  <c r="Q563" i="5"/>
  <c r="Q564" i="5"/>
  <c r="Q565" i="5"/>
  <c r="Q566" i="5"/>
  <c r="Q567" i="5"/>
  <c r="Q568" i="5"/>
  <c r="Q569" i="5"/>
  <c r="Q570" i="5"/>
  <c r="Q571" i="5"/>
  <c r="Q572" i="5"/>
  <c r="Q573" i="5"/>
  <c r="Q574" i="5"/>
  <c r="Q575" i="5"/>
  <c r="Q576" i="5"/>
  <c r="Q577" i="5"/>
  <c r="Q578" i="5"/>
  <c r="Q579" i="5"/>
  <c r="Q580" i="5"/>
  <c r="Q581" i="5"/>
  <c r="Q582" i="5"/>
  <c r="Q583" i="5"/>
  <c r="Q584" i="5"/>
  <c r="Q585" i="5"/>
  <c r="Q586" i="5"/>
  <c r="Q587" i="5"/>
  <c r="Q588" i="5"/>
  <c r="Q589" i="5"/>
  <c r="Q590" i="5"/>
  <c r="Q591" i="5"/>
  <c r="Q592" i="5"/>
  <c r="Q593" i="5"/>
  <c r="Q594" i="5"/>
  <c r="Q595" i="5"/>
  <c r="Q596" i="5"/>
  <c r="Q597" i="5"/>
  <c r="Q598" i="5"/>
  <c r="Q599" i="5"/>
  <c r="Q600" i="5"/>
  <c r="Q601" i="5"/>
  <c r="Q602" i="5"/>
  <c r="Q603" i="5"/>
  <c r="Q604" i="5"/>
  <c r="Q605" i="5"/>
  <c r="Q606" i="5"/>
  <c r="Q607" i="5"/>
  <c r="Q608" i="5"/>
  <c r="Q609" i="5"/>
  <c r="Q610" i="5"/>
  <c r="Q611" i="5"/>
  <c r="Q612" i="5"/>
  <c r="Q613" i="5"/>
  <c r="Q614" i="5"/>
  <c r="Q615" i="5"/>
  <c r="Q616" i="5"/>
  <c r="Q617" i="5"/>
  <c r="Q618" i="5"/>
  <c r="Q619" i="5"/>
  <c r="Q620" i="5"/>
  <c r="Q621" i="5"/>
  <c r="Q622" i="5"/>
  <c r="Q623" i="5"/>
  <c r="Q624" i="5"/>
  <c r="Q625" i="5"/>
  <c r="Q626" i="5"/>
  <c r="Q627" i="5"/>
  <c r="Q628" i="5"/>
  <c r="Q629" i="5"/>
  <c r="Q630" i="5"/>
  <c r="Q631" i="5"/>
  <c r="Q632" i="5"/>
  <c r="Q633" i="5"/>
  <c r="Q634" i="5"/>
  <c r="Q635" i="5"/>
  <c r="Q636" i="5"/>
  <c r="Q637" i="5"/>
  <c r="Q638" i="5"/>
  <c r="Q639" i="5"/>
  <c r="Q640" i="5"/>
  <c r="Q641" i="5"/>
  <c r="Q642" i="5"/>
  <c r="Q643" i="5"/>
  <c r="Q644" i="5"/>
  <c r="Q645" i="5"/>
  <c r="Q646" i="5"/>
  <c r="Q647" i="5"/>
  <c r="Q648" i="5"/>
  <c r="Q649" i="5"/>
  <c r="Q650" i="5"/>
  <c r="Q651" i="5"/>
  <c r="Q652" i="5"/>
  <c r="Q653" i="5"/>
  <c r="Q654" i="5"/>
  <c r="Q655" i="5"/>
  <c r="Q656" i="5"/>
  <c r="Q657" i="5"/>
  <c r="Q658" i="5"/>
  <c r="Q659" i="5"/>
  <c r="Q660" i="5"/>
  <c r="Q661" i="5"/>
  <c r="Q662" i="5"/>
  <c r="Q663" i="5"/>
  <c r="Q664" i="5"/>
  <c r="Q665" i="5"/>
  <c r="Q666" i="5"/>
  <c r="Q667" i="5"/>
  <c r="Q668" i="5"/>
  <c r="Q669" i="5"/>
  <c r="Q670" i="5"/>
  <c r="Q671" i="5"/>
  <c r="Q672" i="5"/>
  <c r="Q673" i="5"/>
  <c r="Q674" i="5"/>
  <c r="Q675" i="5"/>
  <c r="Q676" i="5"/>
  <c r="Q677" i="5"/>
  <c r="Q678" i="5"/>
  <c r="Q679" i="5"/>
  <c r="Q680" i="5"/>
  <c r="Q681" i="5"/>
  <c r="Q682" i="5"/>
  <c r="Q683" i="5"/>
  <c r="Q684" i="5"/>
  <c r="Q685" i="5"/>
  <c r="Q686" i="5"/>
  <c r="Q687" i="5"/>
  <c r="Q688" i="5"/>
  <c r="Q689" i="5"/>
  <c r="Q690" i="5"/>
  <c r="Q691" i="5"/>
  <c r="Q692" i="5"/>
  <c r="Q693" i="5"/>
  <c r="Q694" i="5"/>
  <c r="Q695" i="5"/>
  <c r="Q696" i="5"/>
  <c r="Q697" i="5"/>
  <c r="Q698" i="5"/>
  <c r="Q699" i="5"/>
  <c r="Q700" i="5"/>
  <c r="Q701" i="5"/>
  <c r="Q702" i="5"/>
  <c r="Q703" i="5"/>
  <c r="Q704" i="5"/>
  <c r="Q705" i="5"/>
  <c r="Q706" i="5"/>
  <c r="Q707" i="5"/>
  <c r="Q708" i="5"/>
  <c r="Q709" i="5"/>
  <c r="Q710" i="5"/>
  <c r="Q711" i="5"/>
  <c r="Q712" i="5"/>
  <c r="Q713" i="5"/>
  <c r="Q714" i="5"/>
  <c r="Q715" i="5"/>
  <c r="Q716" i="5"/>
  <c r="Q717" i="5"/>
  <c r="Q718" i="5"/>
  <c r="Q719" i="5"/>
  <c r="Q720" i="5"/>
  <c r="Q721" i="5"/>
  <c r="Q722" i="5"/>
  <c r="Q723" i="5"/>
  <c r="Q724" i="5"/>
  <c r="Q725" i="5"/>
  <c r="Q726" i="5"/>
  <c r="Q727" i="5"/>
  <c r="Q728" i="5"/>
  <c r="Q729" i="5"/>
  <c r="Q730" i="5"/>
  <c r="Q731" i="5"/>
  <c r="Q732" i="5"/>
  <c r="Q733" i="5"/>
  <c r="Q734" i="5"/>
  <c r="Q735" i="5"/>
  <c r="Q736" i="5"/>
  <c r="Q737" i="5"/>
  <c r="Q738" i="5"/>
  <c r="Q739" i="5"/>
  <c r="Q740" i="5"/>
  <c r="Q741" i="5"/>
  <c r="Q742" i="5"/>
  <c r="Q743" i="5"/>
  <c r="Q744" i="5"/>
  <c r="Q745" i="5"/>
  <c r="Q746" i="5"/>
  <c r="Q747" i="5"/>
  <c r="Q748" i="5"/>
  <c r="Q749" i="5"/>
  <c r="Q750" i="5"/>
  <c r="Q751" i="5"/>
  <c r="Q752" i="5"/>
  <c r="Q753" i="5"/>
  <c r="Q754" i="5"/>
  <c r="Q755" i="5"/>
  <c r="Q756" i="5"/>
  <c r="Q757" i="5"/>
  <c r="Q758" i="5"/>
  <c r="Q759" i="5"/>
  <c r="Q760" i="5"/>
  <c r="Q761" i="5"/>
  <c r="Q762" i="5"/>
  <c r="Q763" i="5"/>
  <c r="Q764" i="5"/>
  <c r="Q765" i="5"/>
  <c r="Q766" i="5"/>
  <c r="Q767" i="5"/>
  <c r="Q768" i="5"/>
  <c r="Q769" i="5"/>
  <c r="Q770" i="5"/>
  <c r="Q771" i="5"/>
  <c r="Q772" i="5"/>
  <c r="Q773" i="5"/>
  <c r="Q774" i="5"/>
  <c r="Q775" i="5"/>
  <c r="Q776" i="5"/>
  <c r="Q777" i="5"/>
  <c r="Q778" i="5"/>
  <c r="Q779" i="5"/>
  <c r="Q780" i="5"/>
  <c r="Q781" i="5"/>
  <c r="Q782" i="5"/>
  <c r="Q783" i="5"/>
  <c r="Q784" i="5"/>
  <c r="Q785" i="5"/>
  <c r="Q786" i="5"/>
  <c r="Q787" i="5"/>
  <c r="Q788" i="5"/>
  <c r="Q789" i="5"/>
  <c r="Q790" i="5"/>
  <c r="Q791" i="5"/>
  <c r="Q792" i="5"/>
  <c r="Q793" i="5"/>
  <c r="Q794" i="5"/>
  <c r="Q795" i="5"/>
  <c r="Q796" i="5"/>
  <c r="Q797" i="5"/>
  <c r="Q798" i="5"/>
  <c r="Q799" i="5"/>
  <c r="Q800" i="5"/>
  <c r="Q801" i="5"/>
  <c r="Q802" i="5"/>
  <c r="Q803" i="5"/>
  <c r="Q804" i="5"/>
  <c r="Q805" i="5"/>
  <c r="Q806" i="5"/>
  <c r="Q807" i="5"/>
  <c r="Q808" i="5"/>
  <c r="Q809" i="5"/>
  <c r="Q810" i="5"/>
  <c r="Q811" i="5"/>
  <c r="Q812" i="5"/>
  <c r="Q813" i="5"/>
  <c r="Q814" i="5"/>
  <c r="Q815" i="5"/>
  <c r="Q816" i="5"/>
  <c r="Q817" i="5"/>
  <c r="Q818" i="5"/>
  <c r="Q819" i="5"/>
  <c r="Q820" i="5"/>
  <c r="Q821" i="5"/>
  <c r="Q822" i="5"/>
  <c r="Q823" i="5"/>
  <c r="Q824" i="5"/>
  <c r="Q825" i="5"/>
  <c r="Q826" i="5"/>
  <c r="Q827" i="5"/>
  <c r="Q828" i="5"/>
  <c r="Q829" i="5"/>
  <c r="Q830" i="5"/>
  <c r="Q831" i="5"/>
  <c r="Q832" i="5"/>
  <c r="Q833" i="5"/>
  <c r="Q834" i="5"/>
  <c r="Q835" i="5"/>
  <c r="Q836" i="5"/>
  <c r="Q837" i="5"/>
  <c r="Q838" i="5"/>
  <c r="Q839" i="5"/>
  <c r="Q840" i="5"/>
  <c r="Q841" i="5"/>
  <c r="Q842" i="5"/>
  <c r="Q843" i="5"/>
  <c r="Q844" i="5"/>
  <c r="Q845" i="5"/>
  <c r="Q846" i="5"/>
  <c r="Q847" i="5"/>
  <c r="Q848" i="5"/>
  <c r="Q849" i="5"/>
  <c r="Q850" i="5"/>
  <c r="Q851" i="5"/>
  <c r="Q852" i="5"/>
  <c r="Q853" i="5"/>
  <c r="Q854" i="5"/>
  <c r="Q855" i="5"/>
  <c r="Q856" i="5"/>
  <c r="Q857" i="5"/>
  <c r="Q858" i="5"/>
  <c r="Q859" i="5"/>
  <c r="Q860" i="5"/>
  <c r="Q861" i="5"/>
  <c r="Q862" i="5"/>
  <c r="Q863" i="5"/>
  <c r="Q864" i="5"/>
  <c r="Q865" i="5"/>
  <c r="Q866" i="5"/>
  <c r="Q867" i="5"/>
  <c r="Q868" i="5"/>
  <c r="Q869" i="5"/>
  <c r="Q870" i="5"/>
  <c r="Q871" i="5"/>
  <c r="Q872" i="5"/>
  <c r="Q873" i="5"/>
  <c r="Q874" i="5"/>
  <c r="Q875" i="5"/>
  <c r="Q876" i="5"/>
  <c r="Q877" i="5"/>
  <c r="Q878" i="5"/>
  <c r="Q879" i="5"/>
  <c r="Q880" i="5"/>
  <c r="Q881" i="5"/>
  <c r="Q882" i="5"/>
  <c r="Q883" i="5"/>
  <c r="Q884" i="5"/>
  <c r="Q885" i="5"/>
  <c r="Q886" i="5"/>
  <c r="Q887" i="5"/>
  <c r="Q888" i="5"/>
  <c r="Q889" i="5"/>
  <c r="Q890" i="5"/>
  <c r="Q891" i="5"/>
  <c r="Q892" i="5"/>
  <c r="Q893" i="5"/>
  <c r="Q894" i="5"/>
  <c r="Q895" i="5"/>
  <c r="Q896" i="5"/>
  <c r="Q897" i="5"/>
  <c r="Q898" i="5"/>
  <c r="Q899" i="5"/>
  <c r="Q900" i="5"/>
  <c r="Q901" i="5"/>
  <c r="Q902" i="5"/>
  <c r="Q903" i="5"/>
  <c r="Q904" i="5"/>
  <c r="Q905" i="5"/>
  <c r="Q906" i="5"/>
  <c r="Q907" i="5"/>
  <c r="Q908" i="5"/>
  <c r="Q909" i="5"/>
  <c r="Q910" i="5"/>
  <c r="Q911" i="5"/>
  <c r="Q912" i="5"/>
  <c r="Q913" i="5"/>
  <c r="Q914" i="5"/>
  <c r="Q915" i="5"/>
  <c r="Q916" i="5"/>
  <c r="Q917" i="5"/>
  <c r="Q918" i="5"/>
  <c r="Q919" i="5"/>
  <c r="Q920" i="5"/>
  <c r="Q921" i="5"/>
  <c r="Q922" i="5"/>
  <c r="Q923" i="5"/>
  <c r="Q924" i="5"/>
  <c r="Q925" i="5"/>
  <c r="Q926" i="5"/>
  <c r="Q927" i="5"/>
  <c r="Q928" i="5"/>
  <c r="Q929" i="5"/>
  <c r="Q930" i="5"/>
  <c r="Q931" i="5"/>
  <c r="Q932" i="5"/>
  <c r="Q933" i="5"/>
  <c r="Q934" i="5"/>
  <c r="Q935" i="5"/>
  <c r="Q936" i="5"/>
  <c r="Q937" i="5"/>
  <c r="Q938" i="5"/>
  <c r="Q939" i="5"/>
  <c r="Q940" i="5"/>
  <c r="Q941" i="5"/>
  <c r="Q942" i="5"/>
  <c r="Q943" i="5"/>
  <c r="Q944" i="5"/>
  <c r="Q945" i="5"/>
  <c r="Q946" i="5"/>
  <c r="Q947" i="5"/>
  <c r="Q948" i="5"/>
  <c r="Q949" i="5"/>
  <c r="Q950" i="5"/>
  <c r="Q951" i="5"/>
  <c r="Q952" i="5"/>
  <c r="Q953" i="5"/>
  <c r="Q954" i="5"/>
  <c r="Q955" i="5"/>
  <c r="Q956" i="5"/>
  <c r="Q957" i="5"/>
  <c r="Q958" i="5"/>
  <c r="Q959" i="5"/>
  <c r="Q960" i="5"/>
  <c r="Q961" i="5"/>
  <c r="Q962" i="5"/>
  <c r="Q963" i="5"/>
  <c r="Q964" i="5"/>
  <c r="Q965" i="5"/>
  <c r="Q966" i="5"/>
  <c r="Q967" i="5"/>
  <c r="Q968" i="5"/>
  <c r="Q969" i="5"/>
  <c r="Q970" i="5"/>
  <c r="Q971" i="5"/>
  <c r="Q972" i="5"/>
  <c r="Q973" i="5"/>
  <c r="Q974" i="5"/>
  <c r="Q975" i="5"/>
  <c r="Q976" i="5"/>
  <c r="Q977" i="5"/>
  <c r="Q978" i="5"/>
  <c r="Q979" i="5"/>
  <c r="Q980" i="5"/>
  <c r="Q981" i="5"/>
  <c r="Q982" i="5"/>
  <c r="Q983" i="5"/>
  <c r="Q984" i="5"/>
  <c r="Q985" i="5"/>
  <c r="Q986" i="5"/>
  <c r="Q987" i="5"/>
  <c r="Q988" i="5"/>
  <c r="Q989" i="5"/>
  <c r="Q990" i="5"/>
  <c r="Q991" i="5"/>
  <c r="Q992" i="5"/>
  <c r="Q993" i="5"/>
  <c r="Q994" i="5"/>
  <c r="Q995" i="5"/>
  <c r="Q996" i="5"/>
  <c r="Q997" i="5"/>
  <c r="Q998" i="5"/>
  <c r="Q999" i="5"/>
  <c r="Q1000" i="5"/>
  <c r="P5" i="5"/>
  <c r="P6" i="5"/>
  <c r="P7" i="5"/>
  <c r="P8" i="5"/>
  <c r="P9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2" i="5"/>
  <c r="P133" i="5"/>
  <c r="P134" i="5"/>
  <c r="P135" i="5"/>
  <c r="P136" i="5"/>
  <c r="P137" i="5"/>
  <c r="P138" i="5"/>
  <c r="P139" i="5"/>
  <c r="P140" i="5"/>
  <c r="P141" i="5"/>
  <c r="P142" i="5"/>
  <c r="P143" i="5"/>
  <c r="P144" i="5"/>
  <c r="P145" i="5"/>
  <c r="P146" i="5"/>
  <c r="P147" i="5"/>
  <c r="P148" i="5"/>
  <c r="P149" i="5"/>
  <c r="P150" i="5"/>
  <c r="P151" i="5"/>
  <c r="P152" i="5"/>
  <c r="P153" i="5"/>
  <c r="P154" i="5"/>
  <c r="P155" i="5"/>
  <c r="P156" i="5"/>
  <c r="P157" i="5"/>
  <c r="P158" i="5"/>
  <c r="P159" i="5"/>
  <c r="P160" i="5"/>
  <c r="P161" i="5"/>
  <c r="P162" i="5"/>
  <c r="P163" i="5"/>
  <c r="P164" i="5"/>
  <c r="P165" i="5"/>
  <c r="P166" i="5"/>
  <c r="P167" i="5"/>
  <c r="P168" i="5"/>
  <c r="P169" i="5"/>
  <c r="P170" i="5"/>
  <c r="P171" i="5"/>
  <c r="P172" i="5"/>
  <c r="P173" i="5"/>
  <c r="P174" i="5"/>
  <c r="P175" i="5"/>
  <c r="P176" i="5"/>
  <c r="P177" i="5"/>
  <c r="P178" i="5"/>
  <c r="P179" i="5"/>
  <c r="P180" i="5"/>
  <c r="P181" i="5"/>
  <c r="P182" i="5"/>
  <c r="P183" i="5"/>
  <c r="P184" i="5"/>
  <c r="P185" i="5"/>
  <c r="P186" i="5"/>
  <c r="P187" i="5"/>
  <c r="P188" i="5"/>
  <c r="P189" i="5"/>
  <c r="P190" i="5"/>
  <c r="P191" i="5"/>
  <c r="P192" i="5"/>
  <c r="P193" i="5"/>
  <c r="P194" i="5"/>
  <c r="P195" i="5"/>
  <c r="P196" i="5"/>
  <c r="P197" i="5"/>
  <c r="P198" i="5"/>
  <c r="P199" i="5"/>
  <c r="P200" i="5"/>
  <c r="P201" i="5"/>
  <c r="P202" i="5"/>
  <c r="P203" i="5"/>
  <c r="P204" i="5"/>
  <c r="P205" i="5"/>
  <c r="P206" i="5"/>
  <c r="P207" i="5"/>
  <c r="P208" i="5"/>
  <c r="P209" i="5"/>
  <c r="P210" i="5"/>
  <c r="P211" i="5"/>
  <c r="P212" i="5"/>
  <c r="P213" i="5"/>
  <c r="P214" i="5"/>
  <c r="P215" i="5"/>
  <c r="P216" i="5"/>
  <c r="P217" i="5"/>
  <c r="P218" i="5"/>
  <c r="P219" i="5"/>
  <c r="P220" i="5"/>
  <c r="P221" i="5"/>
  <c r="P222" i="5"/>
  <c r="P223" i="5"/>
  <c r="P224" i="5"/>
  <c r="P225" i="5"/>
  <c r="P226" i="5"/>
  <c r="P227" i="5"/>
  <c r="P228" i="5"/>
  <c r="P229" i="5"/>
  <c r="P230" i="5"/>
  <c r="P231" i="5"/>
  <c r="P232" i="5"/>
  <c r="P233" i="5"/>
  <c r="P234" i="5"/>
  <c r="P235" i="5"/>
  <c r="P236" i="5"/>
  <c r="P237" i="5"/>
  <c r="P238" i="5"/>
  <c r="P239" i="5"/>
  <c r="P240" i="5"/>
  <c r="P241" i="5"/>
  <c r="P242" i="5"/>
  <c r="P243" i="5"/>
  <c r="P244" i="5"/>
  <c r="P245" i="5"/>
  <c r="P246" i="5"/>
  <c r="P247" i="5"/>
  <c r="P248" i="5"/>
  <c r="P249" i="5"/>
  <c r="P250" i="5"/>
  <c r="P251" i="5"/>
  <c r="P252" i="5"/>
  <c r="P253" i="5"/>
  <c r="P254" i="5"/>
  <c r="P255" i="5"/>
  <c r="P256" i="5"/>
  <c r="P257" i="5"/>
  <c r="P258" i="5"/>
  <c r="P259" i="5"/>
  <c r="P260" i="5"/>
  <c r="P261" i="5"/>
  <c r="P262" i="5"/>
  <c r="P263" i="5"/>
  <c r="P264" i="5"/>
  <c r="P265" i="5"/>
  <c r="P266" i="5"/>
  <c r="P267" i="5"/>
  <c r="P268" i="5"/>
  <c r="P269" i="5"/>
  <c r="P270" i="5"/>
  <c r="P271" i="5"/>
  <c r="P272" i="5"/>
  <c r="P273" i="5"/>
  <c r="P274" i="5"/>
  <c r="P275" i="5"/>
  <c r="P276" i="5"/>
  <c r="P277" i="5"/>
  <c r="P278" i="5"/>
  <c r="P279" i="5"/>
  <c r="P280" i="5"/>
  <c r="P281" i="5"/>
  <c r="P282" i="5"/>
  <c r="P283" i="5"/>
  <c r="P284" i="5"/>
  <c r="P285" i="5"/>
  <c r="P286" i="5"/>
  <c r="P287" i="5"/>
  <c r="P288" i="5"/>
  <c r="P289" i="5"/>
  <c r="P290" i="5"/>
  <c r="P291" i="5"/>
  <c r="P292" i="5"/>
  <c r="P293" i="5"/>
  <c r="P294" i="5"/>
  <c r="P295" i="5"/>
  <c r="P296" i="5"/>
  <c r="P297" i="5"/>
  <c r="P298" i="5"/>
  <c r="P299" i="5"/>
  <c r="P300" i="5"/>
  <c r="P301" i="5"/>
  <c r="P302" i="5"/>
  <c r="P303" i="5"/>
  <c r="P304" i="5"/>
  <c r="P305" i="5"/>
  <c r="P306" i="5"/>
  <c r="P307" i="5"/>
  <c r="P308" i="5"/>
  <c r="P309" i="5"/>
  <c r="P310" i="5"/>
  <c r="P311" i="5"/>
  <c r="P312" i="5"/>
  <c r="P313" i="5"/>
  <c r="P314" i="5"/>
  <c r="P315" i="5"/>
  <c r="P316" i="5"/>
  <c r="P317" i="5"/>
  <c r="P318" i="5"/>
  <c r="P319" i="5"/>
  <c r="P320" i="5"/>
  <c r="P321" i="5"/>
  <c r="P322" i="5"/>
  <c r="P323" i="5"/>
  <c r="P324" i="5"/>
  <c r="P325" i="5"/>
  <c r="P326" i="5"/>
  <c r="P327" i="5"/>
  <c r="P328" i="5"/>
  <c r="P329" i="5"/>
  <c r="P330" i="5"/>
  <c r="P331" i="5"/>
  <c r="P332" i="5"/>
  <c r="P333" i="5"/>
  <c r="P334" i="5"/>
  <c r="P335" i="5"/>
  <c r="P336" i="5"/>
  <c r="P337" i="5"/>
  <c r="P338" i="5"/>
  <c r="P339" i="5"/>
  <c r="P340" i="5"/>
  <c r="P341" i="5"/>
  <c r="P342" i="5"/>
  <c r="P343" i="5"/>
  <c r="P344" i="5"/>
  <c r="P345" i="5"/>
  <c r="P346" i="5"/>
  <c r="P347" i="5"/>
  <c r="P348" i="5"/>
  <c r="P349" i="5"/>
  <c r="P350" i="5"/>
  <c r="P351" i="5"/>
  <c r="P352" i="5"/>
  <c r="P353" i="5"/>
  <c r="P354" i="5"/>
  <c r="P355" i="5"/>
  <c r="P356" i="5"/>
  <c r="P357" i="5"/>
  <c r="P358" i="5"/>
  <c r="P359" i="5"/>
  <c r="P360" i="5"/>
  <c r="P361" i="5"/>
  <c r="P362" i="5"/>
  <c r="P363" i="5"/>
  <c r="P364" i="5"/>
  <c r="P365" i="5"/>
  <c r="P366" i="5"/>
  <c r="P367" i="5"/>
  <c r="P368" i="5"/>
  <c r="P369" i="5"/>
  <c r="P370" i="5"/>
  <c r="P371" i="5"/>
  <c r="P372" i="5"/>
  <c r="P373" i="5"/>
  <c r="P374" i="5"/>
  <c r="P375" i="5"/>
  <c r="P376" i="5"/>
  <c r="P377" i="5"/>
  <c r="P378" i="5"/>
  <c r="P379" i="5"/>
  <c r="P380" i="5"/>
  <c r="P381" i="5"/>
  <c r="P382" i="5"/>
  <c r="P383" i="5"/>
  <c r="P384" i="5"/>
  <c r="P385" i="5"/>
  <c r="P386" i="5"/>
  <c r="P387" i="5"/>
  <c r="P388" i="5"/>
  <c r="P389" i="5"/>
  <c r="P390" i="5"/>
  <c r="P391" i="5"/>
  <c r="P392" i="5"/>
  <c r="P393" i="5"/>
  <c r="P394" i="5"/>
  <c r="P395" i="5"/>
  <c r="P396" i="5"/>
  <c r="P397" i="5"/>
  <c r="P398" i="5"/>
  <c r="P399" i="5"/>
  <c r="P400" i="5"/>
  <c r="P401" i="5"/>
  <c r="P402" i="5"/>
  <c r="P403" i="5"/>
  <c r="P404" i="5"/>
  <c r="P405" i="5"/>
  <c r="P406" i="5"/>
  <c r="P407" i="5"/>
  <c r="P408" i="5"/>
  <c r="P409" i="5"/>
  <c r="P410" i="5"/>
  <c r="P411" i="5"/>
  <c r="P412" i="5"/>
  <c r="P413" i="5"/>
  <c r="P414" i="5"/>
  <c r="P415" i="5"/>
  <c r="P416" i="5"/>
  <c r="P417" i="5"/>
  <c r="P418" i="5"/>
  <c r="P419" i="5"/>
  <c r="P420" i="5"/>
  <c r="P421" i="5"/>
  <c r="P422" i="5"/>
  <c r="P423" i="5"/>
  <c r="P424" i="5"/>
  <c r="P425" i="5"/>
  <c r="P426" i="5"/>
  <c r="P427" i="5"/>
  <c r="P428" i="5"/>
  <c r="P429" i="5"/>
  <c r="P430" i="5"/>
  <c r="P431" i="5"/>
  <c r="P432" i="5"/>
  <c r="P433" i="5"/>
  <c r="P434" i="5"/>
  <c r="P435" i="5"/>
  <c r="P436" i="5"/>
  <c r="P437" i="5"/>
  <c r="P438" i="5"/>
  <c r="P439" i="5"/>
  <c r="P440" i="5"/>
  <c r="P441" i="5"/>
  <c r="P442" i="5"/>
  <c r="P443" i="5"/>
  <c r="P444" i="5"/>
  <c r="P445" i="5"/>
  <c r="P446" i="5"/>
  <c r="P447" i="5"/>
  <c r="P448" i="5"/>
  <c r="P449" i="5"/>
  <c r="P450" i="5"/>
  <c r="P451" i="5"/>
  <c r="P452" i="5"/>
  <c r="P453" i="5"/>
  <c r="P454" i="5"/>
  <c r="P455" i="5"/>
  <c r="P456" i="5"/>
  <c r="P457" i="5"/>
  <c r="P458" i="5"/>
  <c r="P459" i="5"/>
  <c r="P460" i="5"/>
  <c r="P461" i="5"/>
  <c r="P462" i="5"/>
  <c r="P463" i="5"/>
  <c r="P464" i="5"/>
  <c r="P465" i="5"/>
  <c r="P466" i="5"/>
  <c r="P467" i="5"/>
  <c r="P468" i="5"/>
  <c r="P469" i="5"/>
  <c r="P470" i="5"/>
  <c r="P471" i="5"/>
  <c r="P472" i="5"/>
  <c r="P473" i="5"/>
  <c r="P474" i="5"/>
  <c r="P475" i="5"/>
  <c r="P476" i="5"/>
  <c r="P477" i="5"/>
  <c r="P478" i="5"/>
  <c r="P479" i="5"/>
  <c r="P480" i="5"/>
  <c r="P481" i="5"/>
  <c r="P482" i="5"/>
  <c r="P483" i="5"/>
  <c r="P484" i="5"/>
  <c r="P485" i="5"/>
  <c r="P486" i="5"/>
  <c r="P487" i="5"/>
  <c r="P488" i="5"/>
  <c r="P489" i="5"/>
  <c r="P490" i="5"/>
  <c r="P491" i="5"/>
  <c r="P492" i="5"/>
  <c r="P493" i="5"/>
  <c r="P494" i="5"/>
  <c r="P495" i="5"/>
  <c r="P496" i="5"/>
  <c r="P497" i="5"/>
  <c r="P498" i="5"/>
  <c r="P499" i="5"/>
  <c r="P500" i="5"/>
  <c r="P501" i="5"/>
  <c r="P502" i="5"/>
  <c r="P503" i="5"/>
  <c r="P504" i="5"/>
  <c r="P505" i="5"/>
  <c r="P506" i="5"/>
  <c r="P507" i="5"/>
  <c r="P508" i="5"/>
  <c r="P509" i="5"/>
  <c r="P510" i="5"/>
  <c r="P511" i="5"/>
  <c r="P512" i="5"/>
  <c r="P513" i="5"/>
  <c r="P514" i="5"/>
  <c r="P515" i="5"/>
  <c r="P516" i="5"/>
  <c r="P517" i="5"/>
  <c r="P518" i="5"/>
  <c r="P519" i="5"/>
  <c r="P520" i="5"/>
  <c r="P521" i="5"/>
  <c r="P522" i="5"/>
  <c r="P523" i="5"/>
  <c r="P524" i="5"/>
  <c r="P525" i="5"/>
  <c r="P526" i="5"/>
  <c r="P527" i="5"/>
  <c r="P528" i="5"/>
  <c r="P529" i="5"/>
  <c r="P530" i="5"/>
  <c r="P531" i="5"/>
  <c r="P532" i="5"/>
  <c r="P533" i="5"/>
  <c r="P534" i="5"/>
  <c r="P535" i="5"/>
  <c r="P536" i="5"/>
  <c r="P537" i="5"/>
  <c r="P538" i="5"/>
  <c r="P539" i="5"/>
  <c r="P540" i="5"/>
  <c r="P541" i="5"/>
  <c r="P542" i="5"/>
  <c r="P543" i="5"/>
  <c r="P544" i="5"/>
  <c r="P545" i="5"/>
  <c r="P546" i="5"/>
  <c r="P547" i="5"/>
  <c r="P548" i="5"/>
  <c r="P549" i="5"/>
  <c r="P550" i="5"/>
  <c r="P551" i="5"/>
  <c r="P552" i="5"/>
  <c r="P553" i="5"/>
  <c r="P554" i="5"/>
  <c r="P555" i="5"/>
  <c r="P556" i="5"/>
  <c r="P557" i="5"/>
  <c r="P558" i="5"/>
  <c r="P559" i="5"/>
  <c r="P560" i="5"/>
  <c r="P561" i="5"/>
  <c r="P562" i="5"/>
  <c r="P563" i="5"/>
  <c r="P564" i="5"/>
  <c r="P565" i="5"/>
  <c r="P566" i="5"/>
  <c r="P567" i="5"/>
  <c r="P568" i="5"/>
  <c r="P569" i="5"/>
  <c r="P570" i="5"/>
  <c r="P571" i="5"/>
  <c r="P572" i="5"/>
  <c r="P573" i="5"/>
  <c r="P574" i="5"/>
  <c r="P575" i="5"/>
  <c r="P576" i="5"/>
  <c r="P577" i="5"/>
  <c r="P578" i="5"/>
  <c r="P579" i="5"/>
  <c r="P580" i="5"/>
  <c r="P581" i="5"/>
  <c r="P582" i="5"/>
  <c r="P583" i="5"/>
  <c r="P584" i="5"/>
  <c r="P585" i="5"/>
  <c r="P586" i="5"/>
  <c r="P587" i="5"/>
  <c r="P588" i="5"/>
  <c r="P589" i="5"/>
  <c r="P590" i="5"/>
  <c r="P591" i="5"/>
  <c r="P592" i="5"/>
  <c r="P593" i="5"/>
  <c r="P594" i="5"/>
  <c r="P595" i="5"/>
  <c r="P596" i="5"/>
  <c r="P597" i="5"/>
  <c r="P598" i="5"/>
  <c r="P599" i="5"/>
  <c r="P600" i="5"/>
  <c r="P601" i="5"/>
  <c r="P602" i="5"/>
  <c r="P603" i="5"/>
  <c r="P604" i="5"/>
  <c r="P605" i="5"/>
  <c r="P606" i="5"/>
  <c r="P607" i="5"/>
  <c r="P608" i="5"/>
  <c r="P609" i="5"/>
  <c r="P610" i="5"/>
  <c r="P611" i="5"/>
  <c r="P612" i="5"/>
  <c r="P613" i="5"/>
  <c r="P614" i="5"/>
  <c r="P615" i="5"/>
  <c r="P616" i="5"/>
  <c r="P617" i="5"/>
  <c r="P618" i="5"/>
  <c r="P619" i="5"/>
  <c r="P620" i="5"/>
  <c r="P621" i="5"/>
  <c r="P622" i="5"/>
  <c r="P623" i="5"/>
  <c r="P624" i="5"/>
  <c r="P625" i="5"/>
  <c r="P626" i="5"/>
  <c r="P627" i="5"/>
  <c r="P628" i="5"/>
  <c r="P629" i="5"/>
  <c r="P630" i="5"/>
  <c r="P631" i="5"/>
  <c r="P632" i="5"/>
  <c r="P633" i="5"/>
  <c r="P634" i="5"/>
  <c r="P635" i="5"/>
  <c r="P636" i="5"/>
  <c r="P637" i="5"/>
  <c r="P638" i="5"/>
  <c r="P639" i="5"/>
  <c r="P640" i="5"/>
  <c r="P641" i="5"/>
  <c r="P642" i="5"/>
  <c r="P643" i="5"/>
  <c r="P644" i="5"/>
  <c r="P645" i="5"/>
  <c r="P646" i="5"/>
  <c r="P647" i="5"/>
  <c r="P648" i="5"/>
  <c r="P649" i="5"/>
  <c r="P650" i="5"/>
  <c r="P651" i="5"/>
  <c r="P652" i="5"/>
  <c r="P653" i="5"/>
  <c r="P654" i="5"/>
  <c r="P655" i="5"/>
  <c r="P656" i="5"/>
  <c r="P657" i="5"/>
  <c r="P658" i="5"/>
  <c r="P659" i="5"/>
  <c r="P660" i="5"/>
  <c r="P661" i="5"/>
  <c r="P662" i="5"/>
  <c r="P663" i="5"/>
  <c r="P664" i="5"/>
  <c r="P665" i="5"/>
  <c r="P666" i="5"/>
  <c r="P667" i="5"/>
  <c r="P668" i="5"/>
  <c r="P669" i="5"/>
  <c r="P670" i="5"/>
  <c r="P671" i="5"/>
  <c r="P672" i="5"/>
  <c r="P673" i="5"/>
  <c r="P674" i="5"/>
  <c r="P675" i="5"/>
  <c r="P676" i="5"/>
  <c r="P677" i="5"/>
  <c r="P678" i="5"/>
  <c r="P679" i="5"/>
  <c r="P680" i="5"/>
  <c r="P681" i="5"/>
  <c r="P682" i="5"/>
  <c r="P683" i="5"/>
  <c r="P684" i="5"/>
  <c r="P685" i="5"/>
  <c r="P686" i="5"/>
  <c r="P687" i="5"/>
  <c r="P688" i="5"/>
  <c r="P689" i="5"/>
  <c r="P690" i="5"/>
  <c r="P691" i="5"/>
  <c r="P692" i="5"/>
  <c r="P693" i="5"/>
  <c r="P694" i="5"/>
  <c r="P695" i="5"/>
  <c r="P696" i="5"/>
  <c r="P697" i="5"/>
  <c r="P698" i="5"/>
  <c r="P699" i="5"/>
  <c r="P700" i="5"/>
  <c r="P701" i="5"/>
  <c r="P702" i="5"/>
  <c r="P703" i="5"/>
  <c r="P704" i="5"/>
  <c r="P705" i="5"/>
  <c r="P706" i="5"/>
  <c r="P707" i="5"/>
  <c r="P708" i="5"/>
  <c r="P709" i="5"/>
  <c r="P710" i="5"/>
  <c r="P711" i="5"/>
  <c r="P712" i="5"/>
  <c r="P713" i="5"/>
  <c r="P714" i="5"/>
  <c r="P715" i="5"/>
  <c r="P716" i="5"/>
  <c r="P717" i="5"/>
  <c r="P718" i="5"/>
  <c r="P719" i="5"/>
  <c r="P720" i="5"/>
  <c r="P721" i="5"/>
  <c r="P722" i="5"/>
  <c r="P723" i="5"/>
  <c r="P724" i="5"/>
  <c r="P725" i="5"/>
  <c r="P726" i="5"/>
  <c r="P727" i="5"/>
  <c r="P728" i="5"/>
  <c r="P729" i="5"/>
  <c r="P730" i="5"/>
  <c r="P731" i="5"/>
  <c r="P732" i="5"/>
  <c r="P733" i="5"/>
  <c r="P734" i="5"/>
  <c r="P735" i="5"/>
  <c r="P736" i="5"/>
  <c r="P737" i="5"/>
  <c r="P738" i="5"/>
  <c r="P739" i="5"/>
  <c r="P740" i="5"/>
  <c r="P741" i="5"/>
  <c r="P742" i="5"/>
  <c r="P743" i="5"/>
  <c r="P744" i="5"/>
  <c r="P745" i="5"/>
  <c r="P746" i="5"/>
  <c r="P747" i="5"/>
  <c r="P748" i="5"/>
  <c r="P749" i="5"/>
  <c r="P750" i="5"/>
  <c r="P751" i="5"/>
  <c r="P752" i="5"/>
  <c r="P753" i="5"/>
  <c r="P754" i="5"/>
  <c r="P755" i="5"/>
  <c r="P756" i="5"/>
  <c r="P757" i="5"/>
  <c r="P758" i="5"/>
  <c r="P759" i="5"/>
  <c r="P760" i="5"/>
  <c r="P761" i="5"/>
  <c r="P762" i="5"/>
  <c r="P763" i="5"/>
  <c r="P764" i="5"/>
  <c r="P765" i="5"/>
  <c r="P766" i="5"/>
  <c r="P767" i="5"/>
  <c r="P768" i="5"/>
  <c r="P769" i="5"/>
  <c r="P770" i="5"/>
  <c r="P771" i="5"/>
  <c r="P772" i="5"/>
  <c r="P773" i="5"/>
  <c r="P774" i="5"/>
  <c r="P775" i="5"/>
  <c r="P776" i="5"/>
  <c r="P777" i="5"/>
  <c r="P778" i="5"/>
  <c r="P779" i="5"/>
  <c r="P780" i="5"/>
  <c r="P781" i="5"/>
  <c r="P782" i="5"/>
  <c r="P783" i="5"/>
  <c r="P784" i="5"/>
  <c r="P785" i="5"/>
  <c r="P786" i="5"/>
  <c r="P787" i="5"/>
  <c r="P788" i="5"/>
  <c r="P789" i="5"/>
  <c r="P790" i="5"/>
  <c r="P791" i="5"/>
  <c r="P792" i="5"/>
  <c r="P793" i="5"/>
  <c r="P794" i="5"/>
  <c r="P795" i="5"/>
  <c r="P796" i="5"/>
  <c r="P797" i="5"/>
  <c r="P798" i="5"/>
  <c r="P799" i="5"/>
  <c r="P800" i="5"/>
  <c r="P801" i="5"/>
  <c r="P802" i="5"/>
  <c r="P803" i="5"/>
  <c r="P804" i="5"/>
  <c r="P805" i="5"/>
  <c r="P806" i="5"/>
  <c r="P807" i="5"/>
  <c r="P808" i="5"/>
  <c r="P809" i="5"/>
  <c r="P810" i="5"/>
  <c r="P811" i="5"/>
  <c r="P812" i="5"/>
  <c r="P813" i="5"/>
  <c r="P814" i="5"/>
  <c r="P815" i="5"/>
  <c r="P816" i="5"/>
  <c r="P817" i="5"/>
  <c r="P818" i="5"/>
  <c r="P819" i="5"/>
  <c r="P820" i="5"/>
  <c r="P821" i="5"/>
  <c r="P822" i="5"/>
  <c r="P823" i="5"/>
  <c r="P824" i="5"/>
  <c r="P825" i="5"/>
  <c r="P826" i="5"/>
  <c r="P827" i="5"/>
  <c r="P828" i="5"/>
  <c r="P829" i="5"/>
  <c r="P830" i="5"/>
  <c r="P831" i="5"/>
  <c r="P832" i="5"/>
  <c r="P833" i="5"/>
  <c r="P834" i="5"/>
  <c r="P835" i="5"/>
  <c r="P836" i="5"/>
  <c r="P837" i="5"/>
  <c r="P838" i="5"/>
  <c r="P839" i="5"/>
  <c r="P840" i="5"/>
  <c r="P841" i="5"/>
  <c r="P842" i="5"/>
  <c r="P843" i="5"/>
  <c r="P844" i="5"/>
  <c r="P845" i="5"/>
  <c r="P846" i="5"/>
  <c r="P847" i="5"/>
  <c r="P848" i="5"/>
  <c r="P849" i="5"/>
  <c r="P850" i="5"/>
  <c r="P851" i="5"/>
  <c r="P852" i="5"/>
  <c r="P853" i="5"/>
  <c r="P854" i="5"/>
  <c r="P855" i="5"/>
  <c r="P856" i="5"/>
  <c r="P857" i="5"/>
  <c r="P858" i="5"/>
  <c r="P859" i="5"/>
  <c r="P860" i="5"/>
  <c r="P861" i="5"/>
  <c r="P862" i="5"/>
  <c r="P863" i="5"/>
  <c r="P864" i="5"/>
  <c r="P865" i="5"/>
  <c r="P866" i="5"/>
  <c r="P867" i="5"/>
  <c r="P868" i="5"/>
  <c r="P869" i="5"/>
  <c r="P870" i="5"/>
  <c r="P871" i="5"/>
  <c r="P872" i="5"/>
  <c r="P873" i="5"/>
  <c r="P874" i="5"/>
  <c r="P875" i="5"/>
  <c r="P876" i="5"/>
  <c r="P877" i="5"/>
  <c r="P878" i="5"/>
  <c r="P879" i="5"/>
  <c r="P880" i="5"/>
  <c r="P881" i="5"/>
  <c r="P882" i="5"/>
  <c r="P883" i="5"/>
  <c r="P884" i="5"/>
  <c r="P885" i="5"/>
  <c r="P886" i="5"/>
  <c r="P887" i="5"/>
  <c r="P888" i="5"/>
  <c r="P889" i="5"/>
  <c r="P890" i="5"/>
  <c r="P891" i="5"/>
  <c r="P892" i="5"/>
  <c r="P893" i="5"/>
  <c r="P894" i="5"/>
  <c r="P895" i="5"/>
  <c r="P896" i="5"/>
  <c r="P897" i="5"/>
  <c r="P898" i="5"/>
  <c r="P899" i="5"/>
  <c r="P900" i="5"/>
  <c r="P901" i="5"/>
  <c r="P902" i="5"/>
  <c r="P903" i="5"/>
  <c r="P904" i="5"/>
  <c r="P905" i="5"/>
  <c r="P906" i="5"/>
  <c r="P907" i="5"/>
  <c r="P908" i="5"/>
  <c r="P909" i="5"/>
  <c r="P910" i="5"/>
  <c r="P911" i="5"/>
  <c r="P912" i="5"/>
  <c r="P913" i="5"/>
  <c r="P914" i="5"/>
  <c r="P915" i="5"/>
  <c r="P916" i="5"/>
  <c r="P917" i="5"/>
  <c r="P918" i="5"/>
  <c r="P919" i="5"/>
  <c r="P920" i="5"/>
  <c r="P921" i="5"/>
  <c r="P922" i="5"/>
  <c r="P923" i="5"/>
  <c r="P924" i="5"/>
  <c r="P925" i="5"/>
  <c r="P926" i="5"/>
  <c r="P927" i="5"/>
  <c r="P928" i="5"/>
  <c r="P929" i="5"/>
  <c r="P930" i="5"/>
  <c r="P931" i="5"/>
  <c r="P932" i="5"/>
  <c r="P933" i="5"/>
  <c r="P934" i="5"/>
  <c r="P935" i="5"/>
  <c r="P936" i="5"/>
  <c r="P937" i="5"/>
  <c r="P938" i="5"/>
  <c r="P939" i="5"/>
  <c r="P940" i="5"/>
  <c r="P941" i="5"/>
  <c r="P942" i="5"/>
  <c r="P943" i="5"/>
  <c r="P944" i="5"/>
  <c r="P945" i="5"/>
  <c r="P946" i="5"/>
  <c r="P947" i="5"/>
  <c r="P948" i="5"/>
  <c r="P949" i="5"/>
  <c r="P950" i="5"/>
  <c r="P951" i="5"/>
  <c r="P952" i="5"/>
  <c r="P953" i="5"/>
  <c r="P954" i="5"/>
  <c r="P955" i="5"/>
  <c r="P956" i="5"/>
  <c r="P957" i="5"/>
  <c r="P958" i="5"/>
  <c r="P959" i="5"/>
  <c r="P960" i="5"/>
  <c r="P961" i="5"/>
  <c r="P962" i="5"/>
  <c r="P963" i="5"/>
  <c r="P964" i="5"/>
  <c r="P965" i="5"/>
  <c r="P966" i="5"/>
  <c r="P967" i="5"/>
  <c r="P968" i="5"/>
  <c r="P969" i="5"/>
  <c r="P970" i="5"/>
  <c r="P971" i="5"/>
  <c r="P972" i="5"/>
  <c r="P973" i="5"/>
  <c r="P974" i="5"/>
  <c r="P975" i="5"/>
  <c r="P976" i="5"/>
  <c r="P977" i="5"/>
  <c r="P978" i="5"/>
  <c r="P979" i="5"/>
  <c r="P980" i="5"/>
  <c r="P981" i="5"/>
  <c r="P982" i="5"/>
  <c r="P983" i="5"/>
  <c r="P984" i="5"/>
  <c r="P985" i="5"/>
  <c r="P986" i="5"/>
  <c r="P987" i="5"/>
  <c r="P988" i="5"/>
  <c r="P989" i="5"/>
  <c r="P990" i="5"/>
  <c r="P991" i="5"/>
  <c r="P992" i="5"/>
  <c r="P993" i="5"/>
  <c r="P994" i="5"/>
  <c r="P995" i="5"/>
  <c r="P996" i="5"/>
  <c r="P997" i="5"/>
  <c r="P998" i="5"/>
  <c r="P999" i="5"/>
  <c r="P1000" i="5"/>
  <c r="O3" i="5"/>
  <c r="O4" i="5" l="1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O39" i="5"/>
  <c r="O40" i="5"/>
  <c r="O41" i="5"/>
  <c r="O42" i="5"/>
  <c r="O43" i="5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O113" i="5"/>
  <c r="O114" i="5"/>
  <c r="O115" i="5"/>
  <c r="O116" i="5"/>
  <c r="O117" i="5"/>
  <c r="O118" i="5"/>
  <c r="O119" i="5"/>
  <c r="O120" i="5"/>
  <c r="O121" i="5"/>
  <c r="O122" i="5"/>
  <c r="O123" i="5"/>
  <c r="O124" i="5"/>
  <c r="O125" i="5"/>
  <c r="O126" i="5"/>
  <c r="O127" i="5"/>
  <c r="O128" i="5"/>
  <c r="O129" i="5"/>
  <c r="O130" i="5"/>
  <c r="O131" i="5"/>
  <c r="O132" i="5"/>
  <c r="O133" i="5"/>
  <c r="O134" i="5"/>
  <c r="O135" i="5"/>
  <c r="O136" i="5"/>
  <c r="O137" i="5"/>
  <c r="O138" i="5"/>
  <c r="O139" i="5"/>
  <c r="O140" i="5"/>
  <c r="O141" i="5"/>
  <c r="O142" i="5"/>
  <c r="O143" i="5"/>
  <c r="O144" i="5"/>
  <c r="O145" i="5"/>
  <c r="O146" i="5"/>
  <c r="O147" i="5"/>
  <c r="O148" i="5"/>
  <c r="O149" i="5"/>
  <c r="O150" i="5"/>
  <c r="O151" i="5"/>
  <c r="O152" i="5"/>
  <c r="O153" i="5"/>
  <c r="O154" i="5"/>
  <c r="O155" i="5"/>
  <c r="O156" i="5"/>
  <c r="O157" i="5"/>
  <c r="O158" i="5"/>
  <c r="O159" i="5"/>
  <c r="O160" i="5"/>
  <c r="O161" i="5"/>
  <c r="O162" i="5"/>
  <c r="O163" i="5"/>
  <c r="O164" i="5"/>
  <c r="O165" i="5"/>
  <c r="O166" i="5"/>
  <c r="O167" i="5"/>
  <c r="O168" i="5"/>
  <c r="O169" i="5"/>
  <c r="O170" i="5"/>
  <c r="O171" i="5"/>
  <c r="O172" i="5"/>
  <c r="O173" i="5"/>
  <c r="O174" i="5"/>
  <c r="O175" i="5"/>
  <c r="O176" i="5"/>
  <c r="O177" i="5"/>
  <c r="O178" i="5"/>
  <c r="O179" i="5"/>
  <c r="O180" i="5"/>
  <c r="O181" i="5"/>
  <c r="O182" i="5"/>
  <c r="O183" i="5"/>
  <c r="O184" i="5"/>
  <c r="O185" i="5"/>
  <c r="O186" i="5"/>
  <c r="O187" i="5"/>
  <c r="O188" i="5"/>
  <c r="O189" i="5"/>
  <c r="O190" i="5"/>
  <c r="O191" i="5"/>
  <c r="O192" i="5"/>
  <c r="O193" i="5"/>
  <c r="O194" i="5"/>
  <c r="O195" i="5"/>
  <c r="O196" i="5"/>
  <c r="O197" i="5"/>
  <c r="O198" i="5"/>
  <c r="O199" i="5"/>
  <c r="O200" i="5"/>
  <c r="O201" i="5"/>
  <c r="O202" i="5"/>
  <c r="O203" i="5"/>
  <c r="O204" i="5"/>
  <c r="O205" i="5"/>
  <c r="O206" i="5"/>
  <c r="O207" i="5"/>
  <c r="O208" i="5"/>
  <c r="O209" i="5"/>
  <c r="O210" i="5"/>
  <c r="O211" i="5"/>
  <c r="O212" i="5"/>
  <c r="O213" i="5"/>
  <c r="O214" i="5"/>
  <c r="O215" i="5"/>
  <c r="O216" i="5"/>
  <c r="O217" i="5"/>
  <c r="O218" i="5"/>
  <c r="O219" i="5"/>
  <c r="O220" i="5"/>
  <c r="O221" i="5"/>
  <c r="O222" i="5"/>
  <c r="O223" i="5"/>
  <c r="O224" i="5"/>
  <c r="O225" i="5"/>
  <c r="O226" i="5"/>
  <c r="O227" i="5"/>
  <c r="O228" i="5"/>
  <c r="O229" i="5"/>
  <c r="O230" i="5"/>
  <c r="O231" i="5"/>
  <c r="O232" i="5"/>
  <c r="O233" i="5"/>
  <c r="O234" i="5"/>
  <c r="O235" i="5"/>
  <c r="O236" i="5"/>
  <c r="O237" i="5"/>
  <c r="O238" i="5"/>
  <c r="O239" i="5"/>
  <c r="O240" i="5"/>
  <c r="O241" i="5"/>
  <c r="O242" i="5"/>
  <c r="O243" i="5"/>
  <c r="O244" i="5"/>
  <c r="O245" i="5"/>
  <c r="O246" i="5"/>
  <c r="O247" i="5"/>
  <c r="O248" i="5"/>
  <c r="O249" i="5"/>
  <c r="O250" i="5"/>
  <c r="O251" i="5"/>
  <c r="O252" i="5"/>
  <c r="O253" i="5"/>
  <c r="O254" i="5"/>
  <c r="O255" i="5"/>
  <c r="O256" i="5"/>
  <c r="O257" i="5"/>
  <c r="O258" i="5"/>
  <c r="O259" i="5"/>
  <c r="O260" i="5"/>
  <c r="O261" i="5"/>
  <c r="O262" i="5"/>
  <c r="O263" i="5"/>
  <c r="O264" i="5"/>
  <c r="O265" i="5"/>
  <c r="O266" i="5"/>
  <c r="O267" i="5"/>
  <c r="O268" i="5"/>
  <c r="O269" i="5"/>
  <c r="O270" i="5"/>
  <c r="O271" i="5"/>
  <c r="O272" i="5"/>
  <c r="O273" i="5"/>
  <c r="O274" i="5"/>
  <c r="O275" i="5"/>
  <c r="O276" i="5"/>
  <c r="O277" i="5"/>
  <c r="O278" i="5"/>
  <c r="O279" i="5"/>
  <c r="O280" i="5"/>
  <c r="O281" i="5"/>
  <c r="O282" i="5"/>
  <c r="O283" i="5"/>
  <c r="O284" i="5"/>
  <c r="O285" i="5"/>
  <c r="O286" i="5"/>
  <c r="O287" i="5"/>
  <c r="O288" i="5"/>
  <c r="O289" i="5"/>
  <c r="O290" i="5"/>
  <c r="O291" i="5"/>
  <c r="O292" i="5"/>
  <c r="O293" i="5"/>
  <c r="O294" i="5"/>
  <c r="O295" i="5"/>
  <c r="O296" i="5"/>
  <c r="O297" i="5"/>
  <c r="O298" i="5"/>
  <c r="O299" i="5"/>
  <c r="O300" i="5"/>
  <c r="O301" i="5"/>
  <c r="O302" i="5"/>
  <c r="O303" i="5"/>
  <c r="O304" i="5"/>
  <c r="O305" i="5"/>
  <c r="O306" i="5"/>
  <c r="O307" i="5"/>
  <c r="O308" i="5"/>
  <c r="O309" i="5"/>
  <c r="O310" i="5"/>
  <c r="O311" i="5"/>
  <c r="O312" i="5"/>
  <c r="O313" i="5"/>
  <c r="O314" i="5"/>
  <c r="O315" i="5"/>
  <c r="O316" i="5"/>
  <c r="O317" i="5"/>
  <c r="O318" i="5"/>
  <c r="O319" i="5"/>
  <c r="O320" i="5"/>
  <c r="O321" i="5"/>
  <c r="O322" i="5"/>
  <c r="O323" i="5"/>
  <c r="O324" i="5"/>
  <c r="O325" i="5"/>
  <c r="O326" i="5"/>
  <c r="O327" i="5"/>
  <c r="O328" i="5"/>
  <c r="O329" i="5"/>
  <c r="O330" i="5"/>
  <c r="O331" i="5"/>
  <c r="O332" i="5"/>
  <c r="O333" i="5"/>
  <c r="O334" i="5"/>
  <c r="O335" i="5"/>
  <c r="O336" i="5"/>
  <c r="O337" i="5"/>
  <c r="O338" i="5"/>
  <c r="O339" i="5"/>
  <c r="O340" i="5"/>
  <c r="O341" i="5"/>
  <c r="O342" i="5"/>
  <c r="O343" i="5"/>
  <c r="O344" i="5"/>
  <c r="O345" i="5"/>
  <c r="O346" i="5"/>
  <c r="O347" i="5"/>
  <c r="O348" i="5"/>
  <c r="O349" i="5"/>
  <c r="O350" i="5"/>
  <c r="O351" i="5"/>
  <c r="O352" i="5"/>
  <c r="O353" i="5"/>
  <c r="O354" i="5"/>
  <c r="O355" i="5"/>
  <c r="O356" i="5"/>
  <c r="O357" i="5"/>
  <c r="O358" i="5"/>
  <c r="O359" i="5"/>
  <c r="O360" i="5"/>
  <c r="O361" i="5"/>
  <c r="O362" i="5"/>
  <c r="O363" i="5"/>
  <c r="O364" i="5"/>
  <c r="O365" i="5"/>
  <c r="O366" i="5"/>
  <c r="O367" i="5"/>
  <c r="O368" i="5"/>
  <c r="O369" i="5"/>
  <c r="O370" i="5"/>
  <c r="O371" i="5"/>
  <c r="O372" i="5"/>
  <c r="O373" i="5"/>
  <c r="O374" i="5"/>
  <c r="O375" i="5"/>
  <c r="O376" i="5"/>
  <c r="O377" i="5"/>
  <c r="O378" i="5"/>
  <c r="O379" i="5"/>
  <c r="O380" i="5"/>
  <c r="O381" i="5"/>
  <c r="O382" i="5"/>
  <c r="O383" i="5"/>
  <c r="O384" i="5"/>
  <c r="O385" i="5"/>
  <c r="O386" i="5"/>
  <c r="O387" i="5"/>
  <c r="O388" i="5"/>
  <c r="O389" i="5"/>
  <c r="O390" i="5"/>
  <c r="O391" i="5"/>
  <c r="O392" i="5"/>
  <c r="O393" i="5"/>
  <c r="O394" i="5"/>
  <c r="O395" i="5"/>
  <c r="O396" i="5"/>
  <c r="O397" i="5"/>
  <c r="O398" i="5"/>
  <c r="O399" i="5"/>
  <c r="O400" i="5"/>
  <c r="O401" i="5"/>
  <c r="O402" i="5"/>
  <c r="O403" i="5"/>
  <c r="O404" i="5"/>
  <c r="O405" i="5"/>
  <c r="O406" i="5"/>
  <c r="O407" i="5"/>
  <c r="O408" i="5"/>
  <c r="O409" i="5"/>
  <c r="O410" i="5"/>
  <c r="O411" i="5"/>
  <c r="O412" i="5"/>
  <c r="O413" i="5"/>
  <c r="O414" i="5"/>
  <c r="O415" i="5"/>
  <c r="O416" i="5"/>
  <c r="O417" i="5"/>
  <c r="O418" i="5"/>
  <c r="O419" i="5"/>
  <c r="O420" i="5"/>
  <c r="O421" i="5"/>
  <c r="O422" i="5"/>
  <c r="O423" i="5"/>
  <c r="O424" i="5"/>
  <c r="O425" i="5"/>
  <c r="O426" i="5"/>
  <c r="O427" i="5"/>
  <c r="O428" i="5"/>
  <c r="O429" i="5"/>
  <c r="O430" i="5"/>
  <c r="O431" i="5"/>
  <c r="O432" i="5"/>
  <c r="O433" i="5"/>
  <c r="O434" i="5"/>
  <c r="O435" i="5"/>
  <c r="O436" i="5"/>
  <c r="O437" i="5"/>
  <c r="O438" i="5"/>
  <c r="O439" i="5"/>
  <c r="O440" i="5"/>
  <c r="O441" i="5"/>
  <c r="O442" i="5"/>
  <c r="O443" i="5"/>
  <c r="O444" i="5"/>
  <c r="O445" i="5"/>
  <c r="O446" i="5"/>
  <c r="O447" i="5"/>
  <c r="O448" i="5"/>
  <c r="O449" i="5"/>
  <c r="O450" i="5"/>
  <c r="O451" i="5"/>
  <c r="O452" i="5"/>
  <c r="O453" i="5"/>
  <c r="O454" i="5"/>
  <c r="O455" i="5"/>
  <c r="O456" i="5"/>
  <c r="O457" i="5"/>
  <c r="O458" i="5"/>
  <c r="O459" i="5"/>
  <c r="O460" i="5"/>
  <c r="O461" i="5"/>
  <c r="O462" i="5"/>
  <c r="O463" i="5"/>
  <c r="O464" i="5"/>
  <c r="O465" i="5"/>
  <c r="O466" i="5"/>
  <c r="O467" i="5"/>
  <c r="O468" i="5"/>
  <c r="O469" i="5"/>
  <c r="O470" i="5"/>
  <c r="O471" i="5"/>
  <c r="O472" i="5"/>
  <c r="O473" i="5"/>
  <c r="O474" i="5"/>
  <c r="O475" i="5"/>
  <c r="O476" i="5"/>
  <c r="O477" i="5"/>
  <c r="O478" i="5"/>
  <c r="O479" i="5"/>
  <c r="O480" i="5"/>
  <c r="O481" i="5"/>
  <c r="O482" i="5"/>
  <c r="O483" i="5"/>
  <c r="O484" i="5"/>
  <c r="O485" i="5"/>
  <c r="O486" i="5"/>
  <c r="O487" i="5"/>
  <c r="O488" i="5"/>
  <c r="O489" i="5"/>
  <c r="O490" i="5"/>
  <c r="O491" i="5"/>
  <c r="O492" i="5"/>
  <c r="O493" i="5"/>
  <c r="O494" i="5"/>
  <c r="O495" i="5"/>
  <c r="O496" i="5"/>
  <c r="O497" i="5"/>
  <c r="O498" i="5"/>
  <c r="O499" i="5"/>
  <c r="O500" i="5"/>
  <c r="O501" i="5"/>
  <c r="O502" i="5"/>
  <c r="O503" i="5"/>
  <c r="O504" i="5"/>
  <c r="O505" i="5"/>
  <c r="O506" i="5"/>
  <c r="O507" i="5"/>
  <c r="O508" i="5"/>
  <c r="O509" i="5"/>
  <c r="O510" i="5"/>
  <c r="O511" i="5"/>
  <c r="O512" i="5"/>
  <c r="O513" i="5"/>
  <c r="O514" i="5"/>
  <c r="O515" i="5"/>
  <c r="O516" i="5"/>
  <c r="O517" i="5"/>
  <c r="O518" i="5"/>
  <c r="O519" i="5"/>
  <c r="O520" i="5"/>
  <c r="O521" i="5"/>
  <c r="O522" i="5"/>
  <c r="O523" i="5"/>
  <c r="O524" i="5"/>
  <c r="O525" i="5"/>
  <c r="O526" i="5"/>
  <c r="O527" i="5"/>
  <c r="O528" i="5"/>
  <c r="O529" i="5"/>
  <c r="O530" i="5"/>
  <c r="O531" i="5"/>
  <c r="O532" i="5"/>
  <c r="O533" i="5"/>
  <c r="O534" i="5"/>
  <c r="O535" i="5"/>
  <c r="O536" i="5"/>
  <c r="O537" i="5"/>
  <c r="O538" i="5"/>
  <c r="O539" i="5"/>
  <c r="O540" i="5"/>
  <c r="O541" i="5"/>
  <c r="O542" i="5"/>
  <c r="O543" i="5"/>
  <c r="O544" i="5"/>
  <c r="O545" i="5"/>
  <c r="O546" i="5"/>
  <c r="O547" i="5"/>
  <c r="O548" i="5"/>
  <c r="O549" i="5"/>
  <c r="O550" i="5"/>
  <c r="O551" i="5"/>
  <c r="O552" i="5"/>
  <c r="O553" i="5"/>
  <c r="O554" i="5"/>
  <c r="O555" i="5"/>
  <c r="O556" i="5"/>
  <c r="O557" i="5"/>
  <c r="O558" i="5"/>
  <c r="O559" i="5"/>
  <c r="O560" i="5"/>
  <c r="O561" i="5"/>
  <c r="O562" i="5"/>
  <c r="O563" i="5"/>
  <c r="O564" i="5"/>
  <c r="O565" i="5"/>
  <c r="O566" i="5"/>
  <c r="O567" i="5"/>
  <c r="O568" i="5"/>
  <c r="O569" i="5"/>
  <c r="O570" i="5"/>
  <c r="O571" i="5"/>
  <c r="O572" i="5"/>
  <c r="O573" i="5"/>
  <c r="O574" i="5"/>
  <c r="O575" i="5"/>
  <c r="O576" i="5"/>
  <c r="O577" i="5"/>
  <c r="O578" i="5"/>
  <c r="O579" i="5"/>
  <c r="O580" i="5"/>
  <c r="O581" i="5"/>
  <c r="O582" i="5"/>
  <c r="O583" i="5"/>
  <c r="O584" i="5"/>
  <c r="O585" i="5"/>
  <c r="O586" i="5"/>
  <c r="O587" i="5"/>
  <c r="O588" i="5"/>
  <c r="O589" i="5"/>
  <c r="O590" i="5"/>
  <c r="O591" i="5"/>
  <c r="O592" i="5"/>
  <c r="O593" i="5"/>
  <c r="O594" i="5"/>
  <c r="O595" i="5"/>
  <c r="O596" i="5"/>
  <c r="O597" i="5"/>
  <c r="O598" i="5"/>
  <c r="O599" i="5"/>
  <c r="O600" i="5"/>
  <c r="O601" i="5"/>
  <c r="O602" i="5"/>
  <c r="O603" i="5"/>
  <c r="O604" i="5"/>
  <c r="O605" i="5"/>
  <c r="O606" i="5"/>
  <c r="O607" i="5"/>
  <c r="O608" i="5"/>
  <c r="O609" i="5"/>
  <c r="O610" i="5"/>
  <c r="O611" i="5"/>
  <c r="O612" i="5"/>
  <c r="O613" i="5"/>
  <c r="O614" i="5"/>
  <c r="O615" i="5"/>
  <c r="O616" i="5"/>
  <c r="O617" i="5"/>
  <c r="O618" i="5"/>
  <c r="O619" i="5"/>
  <c r="O620" i="5"/>
  <c r="O621" i="5"/>
  <c r="O622" i="5"/>
  <c r="O623" i="5"/>
  <c r="O624" i="5"/>
  <c r="O625" i="5"/>
  <c r="O626" i="5"/>
  <c r="O627" i="5"/>
  <c r="O628" i="5"/>
  <c r="O629" i="5"/>
  <c r="O630" i="5"/>
  <c r="O631" i="5"/>
  <c r="O632" i="5"/>
  <c r="O633" i="5"/>
  <c r="O634" i="5"/>
  <c r="O635" i="5"/>
  <c r="O636" i="5"/>
  <c r="O637" i="5"/>
  <c r="O638" i="5"/>
  <c r="O639" i="5"/>
  <c r="O640" i="5"/>
  <c r="O641" i="5"/>
  <c r="O642" i="5"/>
  <c r="O643" i="5"/>
  <c r="O644" i="5"/>
  <c r="O645" i="5"/>
  <c r="O646" i="5"/>
  <c r="O647" i="5"/>
  <c r="O648" i="5"/>
  <c r="O649" i="5"/>
  <c r="O650" i="5"/>
  <c r="O651" i="5"/>
  <c r="O652" i="5"/>
  <c r="O653" i="5"/>
  <c r="O654" i="5"/>
  <c r="O655" i="5"/>
  <c r="O656" i="5"/>
  <c r="O657" i="5"/>
  <c r="O658" i="5"/>
  <c r="O659" i="5"/>
  <c r="O660" i="5"/>
  <c r="O661" i="5"/>
  <c r="O662" i="5"/>
  <c r="O663" i="5"/>
  <c r="O664" i="5"/>
  <c r="O665" i="5"/>
  <c r="O666" i="5"/>
  <c r="O667" i="5"/>
  <c r="O668" i="5"/>
  <c r="O669" i="5"/>
  <c r="O670" i="5"/>
  <c r="O671" i="5"/>
  <c r="O672" i="5"/>
  <c r="O673" i="5"/>
  <c r="O674" i="5"/>
  <c r="O675" i="5"/>
  <c r="O676" i="5"/>
  <c r="O677" i="5"/>
  <c r="O678" i="5"/>
  <c r="O679" i="5"/>
  <c r="O680" i="5"/>
  <c r="O681" i="5"/>
  <c r="O682" i="5"/>
  <c r="O683" i="5"/>
  <c r="O684" i="5"/>
  <c r="O685" i="5"/>
  <c r="O686" i="5"/>
  <c r="O687" i="5"/>
  <c r="O688" i="5"/>
  <c r="O689" i="5"/>
  <c r="O690" i="5"/>
  <c r="O691" i="5"/>
  <c r="O692" i="5"/>
  <c r="O693" i="5"/>
  <c r="O694" i="5"/>
  <c r="O695" i="5"/>
  <c r="O696" i="5"/>
  <c r="O697" i="5"/>
  <c r="O698" i="5"/>
  <c r="O699" i="5"/>
  <c r="O700" i="5"/>
  <c r="O701" i="5"/>
  <c r="O702" i="5"/>
  <c r="O703" i="5"/>
  <c r="O704" i="5"/>
  <c r="O705" i="5"/>
  <c r="O706" i="5"/>
  <c r="O707" i="5"/>
  <c r="O708" i="5"/>
  <c r="O709" i="5"/>
  <c r="O710" i="5"/>
  <c r="O711" i="5"/>
  <c r="O712" i="5"/>
  <c r="O713" i="5"/>
  <c r="O714" i="5"/>
  <c r="O715" i="5"/>
  <c r="O716" i="5"/>
  <c r="O717" i="5"/>
  <c r="O718" i="5"/>
  <c r="O719" i="5"/>
  <c r="O720" i="5"/>
  <c r="O721" i="5"/>
  <c r="O722" i="5"/>
  <c r="O723" i="5"/>
  <c r="O724" i="5"/>
  <c r="O725" i="5"/>
  <c r="O726" i="5"/>
  <c r="O727" i="5"/>
  <c r="O728" i="5"/>
  <c r="O729" i="5"/>
  <c r="O730" i="5"/>
  <c r="O731" i="5"/>
  <c r="O732" i="5"/>
  <c r="O733" i="5"/>
  <c r="O734" i="5"/>
  <c r="O735" i="5"/>
  <c r="O736" i="5"/>
  <c r="O737" i="5"/>
  <c r="O738" i="5"/>
  <c r="O739" i="5"/>
  <c r="O740" i="5"/>
  <c r="O741" i="5"/>
  <c r="O742" i="5"/>
  <c r="O743" i="5"/>
  <c r="O744" i="5"/>
  <c r="O745" i="5"/>
  <c r="O746" i="5"/>
  <c r="O747" i="5"/>
  <c r="O748" i="5"/>
  <c r="O749" i="5"/>
  <c r="O750" i="5"/>
  <c r="O751" i="5"/>
  <c r="O752" i="5"/>
  <c r="O753" i="5"/>
  <c r="O754" i="5"/>
  <c r="O755" i="5"/>
  <c r="O756" i="5"/>
  <c r="O757" i="5"/>
  <c r="O758" i="5"/>
  <c r="O759" i="5"/>
  <c r="O760" i="5"/>
  <c r="O761" i="5"/>
  <c r="O762" i="5"/>
  <c r="O763" i="5"/>
  <c r="O764" i="5"/>
  <c r="O765" i="5"/>
  <c r="O766" i="5"/>
  <c r="O767" i="5"/>
  <c r="O768" i="5"/>
  <c r="O769" i="5"/>
  <c r="O770" i="5"/>
  <c r="O771" i="5"/>
  <c r="O772" i="5"/>
  <c r="O773" i="5"/>
  <c r="O774" i="5"/>
  <c r="O775" i="5"/>
  <c r="O776" i="5"/>
  <c r="O777" i="5"/>
  <c r="O778" i="5"/>
  <c r="O779" i="5"/>
  <c r="O780" i="5"/>
  <c r="O781" i="5"/>
  <c r="O782" i="5"/>
  <c r="O783" i="5"/>
  <c r="O784" i="5"/>
  <c r="O785" i="5"/>
  <c r="O786" i="5"/>
  <c r="O787" i="5"/>
  <c r="O788" i="5"/>
  <c r="O789" i="5"/>
  <c r="O790" i="5"/>
  <c r="O791" i="5"/>
  <c r="O792" i="5"/>
  <c r="O793" i="5"/>
  <c r="O794" i="5"/>
  <c r="O795" i="5"/>
  <c r="O796" i="5"/>
  <c r="O797" i="5"/>
  <c r="O798" i="5"/>
  <c r="O799" i="5"/>
  <c r="O800" i="5"/>
  <c r="O801" i="5"/>
  <c r="O802" i="5"/>
  <c r="O803" i="5"/>
  <c r="O804" i="5"/>
  <c r="O805" i="5"/>
  <c r="O806" i="5"/>
  <c r="O807" i="5"/>
  <c r="O808" i="5"/>
  <c r="O809" i="5"/>
  <c r="O810" i="5"/>
  <c r="O811" i="5"/>
  <c r="O812" i="5"/>
  <c r="O813" i="5"/>
  <c r="O814" i="5"/>
  <c r="O815" i="5"/>
  <c r="O816" i="5"/>
  <c r="O817" i="5"/>
  <c r="O818" i="5"/>
  <c r="O819" i="5"/>
  <c r="O820" i="5"/>
  <c r="O821" i="5"/>
  <c r="O822" i="5"/>
  <c r="O823" i="5"/>
  <c r="O824" i="5"/>
  <c r="O825" i="5"/>
  <c r="O826" i="5"/>
  <c r="O827" i="5"/>
  <c r="O828" i="5"/>
  <c r="O829" i="5"/>
  <c r="O830" i="5"/>
  <c r="O831" i="5"/>
  <c r="O832" i="5"/>
  <c r="O833" i="5"/>
  <c r="O834" i="5"/>
  <c r="O835" i="5"/>
  <c r="O836" i="5"/>
  <c r="O837" i="5"/>
  <c r="O838" i="5"/>
  <c r="O839" i="5"/>
  <c r="O840" i="5"/>
  <c r="O841" i="5"/>
  <c r="O842" i="5"/>
  <c r="O843" i="5"/>
  <c r="O844" i="5"/>
  <c r="O845" i="5"/>
  <c r="O846" i="5"/>
  <c r="O847" i="5"/>
  <c r="O848" i="5"/>
  <c r="O849" i="5"/>
  <c r="O850" i="5"/>
  <c r="O851" i="5"/>
  <c r="O852" i="5"/>
  <c r="O853" i="5"/>
  <c r="O854" i="5"/>
  <c r="O855" i="5"/>
  <c r="O856" i="5"/>
  <c r="O857" i="5"/>
  <c r="O858" i="5"/>
  <c r="O859" i="5"/>
  <c r="O860" i="5"/>
  <c r="O861" i="5"/>
  <c r="O862" i="5"/>
  <c r="O863" i="5"/>
  <c r="O864" i="5"/>
  <c r="O865" i="5"/>
  <c r="O866" i="5"/>
  <c r="O867" i="5"/>
  <c r="O868" i="5"/>
  <c r="O869" i="5"/>
  <c r="O870" i="5"/>
  <c r="O871" i="5"/>
  <c r="O872" i="5"/>
  <c r="O873" i="5"/>
  <c r="O874" i="5"/>
  <c r="O875" i="5"/>
  <c r="O876" i="5"/>
  <c r="O877" i="5"/>
  <c r="O878" i="5"/>
  <c r="O879" i="5"/>
  <c r="O880" i="5"/>
  <c r="O881" i="5"/>
  <c r="O882" i="5"/>
  <c r="O883" i="5"/>
  <c r="O884" i="5"/>
  <c r="O885" i="5"/>
  <c r="O886" i="5"/>
  <c r="O887" i="5"/>
  <c r="O888" i="5"/>
  <c r="O889" i="5"/>
  <c r="O890" i="5"/>
  <c r="O891" i="5"/>
  <c r="O892" i="5"/>
  <c r="O893" i="5"/>
  <c r="O894" i="5"/>
  <c r="O895" i="5"/>
  <c r="O896" i="5"/>
  <c r="O897" i="5"/>
  <c r="O898" i="5"/>
  <c r="O899" i="5"/>
  <c r="O900" i="5"/>
  <c r="O901" i="5"/>
  <c r="O902" i="5"/>
  <c r="O903" i="5"/>
  <c r="O904" i="5"/>
  <c r="O905" i="5"/>
  <c r="O906" i="5"/>
  <c r="O907" i="5"/>
  <c r="O908" i="5"/>
  <c r="O909" i="5"/>
  <c r="O910" i="5"/>
  <c r="O911" i="5"/>
  <c r="O912" i="5"/>
  <c r="O913" i="5"/>
  <c r="O914" i="5"/>
  <c r="O915" i="5"/>
  <c r="O916" i="5"/>
  <c r="O917" i="5"/>
  <c r="O918" i="5"/>
  <c r="O919" i="5"/>
  <c r="O920" i="5"/>
  <c r="O921" i="5"/>
  <c r="O922" i="5"/>
  <c r="O923" i="5"/>
  <c r="O924" i="5"/>
  <c r="O925" i="5"/>
  <c r="O926" i="5"/>
  <c r="O927" i="5"/>
  <c r="O928" i="5"/>
  <c r="O929" i="5"/>
  <c r="O930" i="5"/>
  <c r="O931" i="5"/>
  <c r="O932" i="5"/>
  <c r="O933" i="5"/>
  <c r="O934" i="5"/>
  <c r="O935" i="5"/>
  <c r="O936" i="5"/>
  <c r="O937" i="5"/>
  <c r="O938" i="5"/>
  <c r="O939" i="5"/>
  <c r="O940" i="5"/>
  <c r="O941" i="5"/>
  <c r="O942" i="5"/>
  <c r="O943" i="5"/>
  <c r="O944" i="5"/>
  <c r="O945" i="5"/>
  <c r="O946" i="5"/>
  <c r="O947" i="5"/>
  <c r="O948" i="5"/>
  <c r="O949" i="5"/>
  <c r="O950" i="5"/>
  <c r="O951" i="5"/>
  <c r="O952" i="5"/>
  <c r="O953" i="5"/>
  <c r="O954" i="5"/>
  <c r="O955" i="5"/>
  <c r="O956" i="5"/>
  <c r="O957" i="5"/>
  <c r="O958" i="5"/>
  <c r="O959" i="5"/>
  <c r="O960" i="5"/>
  <c r="O961" i="5"/>
  <c r="O962" i="5"/>
  <c r="O963" i="5"/>
  <c r="O964" i="5"/>
  <c r="O965" i="5"/>
  <c r="O966" i="5"/>
  <c r="O967" i="5"/>
  <c r="O968" i="5"/>
  <c r="O969" i="5"/>
  <c r="O970" i="5"/>
  <c r="O971" i="5"/>
  <c r="O972" i="5"/>
  <c r="O973" i="5"/>
  <c r="O974" i="5"/>
  <c r="O975" i="5"/>
  <c r="O976" i="5"/>
  <c r="O977" i="5"/>
  <c r="O978" i="5"/>
  <c r="O979" i="5"/>
  <c r="O980" i="5"/>
  <c r="O981" i="5"/>
  <c r="O982" i="5"/>
  <c r="O983" i="5"/>
  <c r="O984" i="5"/>
  <c r="O985" i="5"/>
  <c r="O986" i="5"/>
  <c r="O987" i="5"/>
  <c r="O988" i="5"/>
  <c r="O989" i="5"/>
  <c r="O990" i="5"/>
  <c r="O991" i="5"/>
  <c r="O992" i="5"/>
  <c r="O993" i="5"/>
  <c r="O994" i="5"/>
  <c r="O995" i="5"/>
  <c r="O996" i="5"/>
  <c r="O997" i="5"/>
  <c r="O998" i="5"/>
  <c r="O999" i="5"/>
  <c r="O1000" i="5"/>
  <c r="Q10" i="5" l="1"/>
  <c r="P10" i="5"/>
  <c r="P4" i="5"/>
  <c r="Q4" i="5"/>
  <c r="A1000" i="5"/>
  <c r="A999" i="5"/>
  <c r="A998" i="5"/>
  <c r="A997" i="5"/>
  <c r="A996" i="5"/>
  <c r="A995" i="5"/>
  <c r="A994" i="5"/>
  <c r="A993" i="5"/>
  <c r="A992" i="5"/>
  <c r="A991" i="5"/>
  <c r="A990" i="5"/>
  <c r="A989" i="5"/>
  <c r="A988" i="5"/>
  <c r="A987" i="5"/>
  <c r="A986" i="5"/>
  <c r="A985" i="5"/>
  <c r="A984" i="5"/>
  <c r="A983" i="5"/>
  <c r="A982" i="5"/>
  <c r="A981" i="5"/>
  <c r="A980" i="5"/>
  <c r="A979" i="5"/>
  <c r="A978" i="5"/>
  <c r="A977" i="5"/>
  <c r="A976" i="5"/>
  <c r="A975" i="5"/>
  <c r="A974" i="5"/>
  <c r="A973" i="5"/>
  <c r="A972" i="5"/>
  <c r="A971" i="5"/>
  <c r="A970" i="5"/>
  <c r="A969" i="5"/>
  <c r="A968" i="5"/>
  <c r="A967" i="5"/>
  <c r="A966" i="5"/>
  <c r="A965" i="5"/>
  <c r="A964" i="5"/>
  <c r="A963" i="5"/>
  <c r="A962" i="5"/>
  <c r="A961" i="5"/>
  <c r="A960" i="5"/>
  <c r="A959" i="5"/>
  <c r="A958" i="5"/>
  <c r="A957" i="5"/>
  <c r="A956" i="5"/>
  <c r="A955" i="5"/>
  <c r="A954" i="5"/>
  <c r="A953" i="5"/>
  <c r="A952" i="5"/>
  <c r="A951" i="5"/>
  <c r="A950" i="5"/>
  <c r="A949" i="5"/>
  <c r="A948" i="5"/>
  <c r="A947" i="5"/>
  <c r="A946" i="5"/>
  <c r="A945" i="5"/>
  <c r="A944" i="5"/>
  <c r="A943" i="5"/>
  <c r="A942" i="5"/>
  <c r="A941" i="5"/>
  <c r="A940" i="5"/>
  <c r="A939" i="5"/>
  <c r="A938" i="5"/>
  <c r="A937" i="5"/>
  <c r="A936" i="5"/>
  <c r="A935" i="5"/>
  <c r="A934" i="5"/>
  <c r="A933" i="5"/>
  <c r="A932" i="5"/>
  <c r="A931" i="5"/>
  <c r="A930" i="5"/>
  <c r="A929" i="5"/>
  <c r="A928" i="5"/>
  <c r="A927" i="5"/>
  <c r="A926" i="5"/>
  <c r="A925" i="5"/>
  <c r="A924" i="5"/>
  <c r="A923" i="5"/>
  <c r="A922" i="5"/>
  <c r="A921" i="5"/>
  <c r="A920" i="5"/>
  <c r="A919" i="5"/>
  <c r="A918" i="5"/>
  <c r="A917" i="5"/>
  <c r="A916" i="5"/>
  <c r="A915" i="5"/>
  <c r="A914" i="5"/>
  <c r="A913" i="5"/>
  <c r="A912" i="5"/>
  <c r="A911" i="5"/>
  <c r="A910" i="5"/>
  <c r="A909" i="5"/>
  <c r="A908" i="5"/>
  <c r="A907" i="5"/>
  <c r="A906" i="5"/>
  <c r="A905" i="5"/>
  <c r="A904" i="5"/>
  <c r="A903" i="5"/>
  <c r="A902" i="5"/>
  <c r="A901" i="5"/>
  <c r="A900" i="5"/>
  <c r="A899" i="5"/>
  <c r="A898" i="5"/>
  <c r="A897" i="5"/>
  <c r="A896" i="5"/>
  <c r="A895" i="5"/>
  <c r="A894" i="5"/>
  <c r="A893" i="5"/>
  <c r="A892" i="5"/>
  <c r="A891" i="5"/>
  <c r="A890" i="5"/>
  <c r="A889" i="5"/>
  <c r="A888" i="5"/>
  <c r="A887" i="5"/>
  <c r="A886" i="5"/>
  <c r="A885" i="5"/>
  <c r="A884" i="5"/>
  <c r="A883" i="5"/>
  <c r="A882" i="5"/>
  <c r="A881" i="5"/>
  <c r="A880" i="5"/>
  <c r="A879" i="5"/>
  <c r="A878" i="5"/>
  <c r="A877" i="5"/>
  <c r="A876" i="5"/>
  <c r="A875" i="5"/>
  <c r="A874" i="5"/>
  <c r="A873" i="5"/>
  <c r="A872" i="5"/>
  <c r="A871" i="5"/>
  <c r="A870" i="5"/>
  <c r="A869" i="5"/>
  <c r="A868" i="5"/>
  <c r="A867" i="5"/>
  <c r="A866" i="5"/>
  <c r="A865" i="5"/>
  <c r="A864" i="5"/>
  <c r="A863" i="5"/>
  <c r="A862" i="5"/>
  <c r="A861" i="5"/>
  <c r="A860" i="5"/>
  <c r="A859" i="5"/>
  <c r="A858" i="5"/>
  <c r="A857" i="5"/>
  <c r="A856" i="5"/>
  <c r="A855" i="5"/>
  <c r="A854" i="5"/>
  <c r="A853" i="5"/>
  <c r="A852" i="5"/>
  <c r="A851" i="5"/>
  <c r="A850" i="5"/>
  <c r="A849" i="5"/>
  <c r="A848" i="5"/>
  <c r="A847" i="5"/>
  <c r="A846" i="5"/>
  <c r="A845" i="5"/>
  <c r="A844" i="5"/>
  <c r="A843" i="5"/>
  <c r="A842" i="5"/>
  <c r="A841" i="5"/>
  <c r="A840" i="5"/>
  <c r="A839" i="5"/>
  <c r="A838" i="5"/>
  <c r="A837" i="5"/>
  <c r="A836" i="5"/>
  <c r="A835" i="5"/>
  <c r="A834" i="5"/>
  <c r="A833" i="5"/>
  <c r="A832" i="5"/>
  <c r="A831" i="5"/>
  <c r="A830" i="5"/>
  <c r="A829" i="5"/>
  <c r="A828" i="5"/>
  <c r="A827" i="5"/>
  <c r="A826" i="5"/>
  <c r="A825" i="5"/>
  <c r="A824" i="5"/>
  <c r="A823" i="5"/>
  <c r="A822" i="5"/>
  <c r="A821" i="5"/>
  <c r="A820" i="5"/>
  <c r="A819" i="5"/>
  <c r="A818" i="5"/>
  <c r="A817" i="5"/>
  <c r="A816" i="5"/>
  <c r="A815" i="5"/>
  <c r="A814" i="5"/>
  <c r="A813" i="5"/>
  <c r="A812" i="5"/>
  <c r="A811" i="5"/>
  <c r="A810" i="5"/>
  <c r="A809" i="5"/>
  <c r="A808" i="5"/>
  <c r="A807" i="5"/>
  <c r="A806" i="5"/>
  <c r="A805" i="5"/>
  <c r="A804" i="5"/>
  <c r="A803" i="5"/>
  <c r="A802" i="5"/>
  <c r="A801" i="5"/>
  <c r="A800" i="5"/>
  <c r="A799" i="5"/>
  <c r="A798" i="5"/>
  <c r="A797" i="5"/>
  <c r="A796" i="5"/>
  <c r="A795" i="5"/>
  <c r="A794" i="5"/>
  <c r="A793" i="5"/>
  <c r="A792" i="5"/>
  <c r="A791" i="5"/>
  <c r="A790" i="5"/>
  <c r="A789" i="5"/>
  <c r="A788" i="5"/>
  <c r="A787" i="5"/>
  <c r="A786" i="5"/>
  <c r="A785" i="5"/>
  <c r="A784" i="5"/>
  <c r="A783" i="5"/>
  <c r="A782" i="5"/>
  <c r="A781" i="5"/>
  <c r="A780" i="5"/>
  <c r="A779" i="5"/>
  <c r="A778" i="5"/>
  <c r="A777" i="5"/>
  <c r="A776" i="5"/>
  <c r="A775" i="5"/>
  <c r="A774" i="5"/>
  <c r="A773" i="5"/>
  <c r="A772" i="5"/>
  <c r="A771" i="5"/>
  <c r="A770" i="5"/>
  <c r="A769" i="5"/>
  <c r="A768" i="5"/>
  <c r="A767" i="5"/>
  <c r="A766" i="5"/>
  <c r="A765" i="5"/>
  <c r="A764" i="5"/>
  <c r="A763" i="5"/>
  <c r="A762" i="5"/>
  <c r="A761" i="5"/>
  <c r="A760" i="5"/>
  <c r="A759" i="5"/>
  <c r="A758" i="5"/>
  <c r="A757" i="5"/>
  <c r="A756" i="5"/>
  <c r="A755" i="5"/>
  <c r="A754" i="5"/>
  <c r="A753" i="5"/>
  <c r="A752" i="5"/>
  <c r="A751" i="5"/>
  <c r="A750" i="5"/>
  <c r="A749" i="5"/>
  <c r="A748" i="5"/>
  <c r="A747" i="5"/>
  <c r="A746" i="5"/>
  <c r="A745" i="5"/>
  <c r="A744" i="5"/>
  <c r="A743" i="5"/>
  <c r="A742" i="5"/>
  <c r="A741" i="5"/>
  <c r="A740" i="5"/>
  <c r="A739" i="5"/>
  <c r="A738" i="5"/>
  <c r="A737" i="5"/>
  <c r="A736" i="5"/>
  <c r="A735" i="5"/>
  <c r="A734" i="5"/>
  <c r="A733" i="5"/>
  <c r="A732" i="5"/>
  <c r="A731" i="5"/>
  <c r="A730" i="5"/>
  <c r="A729" i="5"/>
  <c r="A728" i="5"/>
  <c r="A727" i="5"/>
  <c r="A726" i="5"/>
  <c r="A725" i="5"/>
  <c r="A724" i="5"/>
  <c r="A723" i="5"/>
  <c r="A722" i="5"/>
  <c r="A721" i="5"/>
  <c r="A720" i="5"/>
  <c r="A719" i="5"/>
  <c r="A718" i="5"/>
  <c r="A717" i="5"/>
  <c r="A716" i="5"/>
  <c r="A715" i="5"/>
  <c r="A714" i="5"/>
  <c r="A713" i="5"/>
  <c r="A712" i="5"/>
  <c r="A711" i="5"/>
  <c r="A710" i="5"/>
  <c r="A709" i="5"/>
  <c r="A708" i="5"/>
  <c r="A707" i="5"/>
  <c r="A706" i="5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3" i="5"/>
  <c r="C2" i="6" l="1"/>
  <c r="C3" i="6" s="1"/>
  <c r="C4" i="6" s="1"/>
  <c r="R16" i="5"/>
  <c r="R17" i="5"/>
  <c r="R18" i="5"/>
  <c r="R19" i="5"/>
  <c r="R20" i="5"/>
  <c r="R21" i="5"/>
  <c r="R22" i="5"/>
  <c r="R23" i="5"/>
  <c r="R24" i="5"/>
  <c r="R25" i="5"/>
  <c r="R26" i="5"/>
  <c r="R27" i="5"/>
  <c r="R28" i="5"/>
  <c r="R29" i="5"/>
  <c r="R30" i="5"/>
  <c r="R31" i="5"/>
  <c r="R32" i="5"/>
  <c r="R33" i="5"/>
  <c r="R34" i="5"/>
  <c r="R35" i="5"/>
  <c r="R36" i="5"/>
  <c r="R37" i="5"/>
  <c r="R38" i="5"/>
  <c r="R39" i="5"/>
  <c r="R40" i="5"/>
  <c r="R41" i="5"/>
  <c r="R42" i="5"/>
  <c r="R43" i="5"/>
  <c r="R44" i="5"/>
  <c r="R45" i="5"/>
  <c r="R46" i="5"/>
  <c r="R47" i="5"/>
  <c r="R48" i="5"/>
  <c r="R49" i="5"/>
  <c r="R50" i="5"/>
  <c r="R51" i="5"/>
  <c r="R52" i="5"/>
  <c r="R53" i="5"/>
  <c r="R54" i="5"/>
  <c r="R55" i="5"/>
  <c r="R56" i="5"/>
  <c r="R57" i="5"/>
  <c r="R58" i="5"/>
  <c r="R59" i="5"/>
  <c r="R60" i="5"/>
  <c r="R61" i="5"/>
  <c r="R62" i="5"/>
  <c r="R63" i="5"/>
  <c r="R64" i="5"/>
  <c r="R65" i="5"/>
  <c r="R66" i="5"/>
  <c r="R67" i="5"/>
  <c r="R68" i="5"/>
  <c r="R69" i="5"/>
  <c r="R70" i="5"/>
  <c r="R71" i="5"/>
  <c r="R72" i="5"/>
  <c r="R73" i="5"/>
  <c r="R74" i="5"/>
  <c r="R75" i="5"/>
  <c r="R76" i="5"/>
  <c r="R77" i="5"/>
  <c r="R78" i="5"/>
  <c r="R79" i="5"/>
  <c r="R80" i="5"/>
  <c r="R81" i="5"/>
  <c r="R82" i="5"/>
  <c r="R83" i="5"/>
  <c r="R84" i="5"/>
  <c r="R85" i="5"/>
  <c r="R86" i="5"/>
  <c r="R87" i="5"/>
  <c r="R88" i="5"/>
  <c r="R89" i="5"/>
  <c r="R90" i="5"/>
  <c r="R91" i="5"/>
  <c r="R92" i="5"/>
  <c r="R93" i="5"/>
  <c r="R94" i="5"/>
  <c r="R95" i="5"/>
  <c r="R96" i="5"/>
  <c r="R97" i="5"/>
  <c r="R98" i="5"/>
  <c r="R99" i="5"/>
  <c r="R100" i="5"/>
  <c r="R101" i="5"/>
  <c r="R102" i="5"/>
  <c r="R103" i="5"/>
  <c r="R104" i="5"/>
  <c r="R105" i="5"/>
  <c r="R106" i="5"/>
  <c r="R107" i="5"/>
  <c r="R108" i="5"/>
  <c r="R109" i="5"/>
  <c r="R110" i="5"/>
  <c r="R111" i="5"/>
  <c r="R112" i="5"/>
  <c r="R113" i="5"/>
  <c r="R114" i="5"/>
  <c r="R115" i="5"/>
  <c r="R116" i="5"/>
  <c r="R117" i="5"/>
  <c r="R118" i="5"/>
  <c r="R119" i="5"/>
  <c r="R120" i="5"/>
  <c r="R121" i="5"/>
  <c r="R122" i="5"/>
  <c r="R123" i="5"/>
  <c r="R124" i="5"/>
  <c r="R125" i="5"/>
  <c r="R126" i="5"/>
  <c r="R127" i="5"/>
  <c r="R128" i="5"/>
  <c r="R129" i="5"/>
  <c r="R130" i="5"/>
  <c r="R131" i="5"/>
  <c r="R132" i="5"/>
  <c r="R133" i="5"/>
  <c r="R134" i="5"/>
  <c r="R135" i="5"/>
  <c r="R136" i="5"/>
  <c r="R137" i="5"/>
  <c r="R138" i="5"/>
  <c r="R139" i="5"/>
  <c r="R140" i="5"/>
  <c r="R141" i="5"/>
  <c r="R142" i="5"/>
  <c r="R143" i="5"/>
  <c r="R144" i="5"/>
  <c r="R145" i="5"/>
  <c r="R146" i="5"/>
  <c r="R147" i="5"/>
  <c r="R148" i="5"/>
  <c r="R149" i="5"/>
  <c r="R150" i="5"/>
  <c r="R151" i="5"/>
  <c r="R152" i="5"/>
  <c r="R153" i="5"/>
  <c r="R154" i="5"/>
  <c r="R155" i="5"/>
  <c r="R156" i="5"/>
  <c r="R157" i="5"/>
  <c r="R158" i="5"/>
  <c r="R159" i="5"/>
  <c r="R160" i="5"/>
  <c r="R161" i="5"/>
  <c r="R162" i="5"/>
  <c r="R163" i="5"/>
  <c r="R164" i="5"/>
  <c r="R165" i="5"/>
  <c r="R166" i="5"/>
  <c r="R167" i="5"/>
  <c r="R168" i="5"/>
  <c r="R169" i="5"/>
  <c r="R170" i="5"/>
  <c r="R171" i="5"/>
  <c r="R172" i="5"/>
  <c r="R173" i="5"/>
  <c r="R174" i="5"/>
  <c r="R175" i="5"/>
  <c r="R176" i="5"/>
  <c r="R177" i="5"/>
  <c r="R178" i="5"/>
  <c r="R179" i="5"/>
  <c r="R180" i="5"/>
  <c r="R181" i="5"/>
  <c r="R182" i="5"/>
  <c r="R183" i="5"/>
  <c r="R184" i="5"/>
  <c r="R185" i="5"/>
  <c r="R186" i="5"/>
  <c r="R187" i="5"/>
  <c r="R188" i="5"/>
  <c r="R189" i="5"/>
  <c r="R190" i="5"/>
  <c r="R191" i="5"/>
  <c r="R192" i="5"/>
  <c r="R193" i="5"/>
  <c r="R194" i="5"/>
  <c r="R195" i="5"/>
  <c r="R196" i="5"/>
  <c r="R197" i="5"/>
  <c r="R198" i="5"/>
  <c r="R199" i="5"/>
  <c r="R200" i="5"/>
  <c r="R201" i="5"/>
  <c r="R202" i="5"/>
  <c r="R203" i="5"/>
  <c r="R204" i="5"/>
  <c r="R205" i="5"/>
  <c r="R206" i="5"/>
  <c r="R207" i="5"/>
  <c r="R208" i="5"/>
  <c r="R209" i="5"/>
  <c r="R210" i="5"/>
  <c r="R211" i="5"/>
  <c r="R212" i="5"/>
  <c r="R213" i="5"/>
  <c r="R214" i="5"/>
  <c r="R215" i="5"/>
  <c r="R216" i="5"/>
  <c r="R217" i="5"/>
  <c r="R218" i="5"/>
  <c r="R219" i="5"/>
  <c r="R220" i="5"/>
  <c r="R221" i="5"/>
  <c r="R222" i="5"/>
  <c r="R223" i="5"/>
  <c r="R224" i="5"/>
  <c r="R225" i="5"/>
  <c r="R226" i="5"/>
  <c r="R227" i="5"/>
  <c r="R228" i="5"/>
  <c r="R229" i="5"/>
  <c r="R230" i="5"/>
  <c r="R231" i="5"/>
  <c r="R232" i="5"/>
  <c r="R233" i="5"/>
  <c r="R234" i="5"/>
  <c r="R235" i="5"/>
  <c r="R236" i="5"/>
  <c r="R237" i="5"/>
  <c r="R238" i="5"/>
  <c r="R239" i="5"/>
  <c r="R240" i="5"/>
  <c r="R241" i="5"/>
  <c r="R242" i="5"/>
  <c r="R243" i="5"/>
  <c r="R244" i="5"/>
  <c r="R245" i="5"/>
  <c r="R246" i="5"/>
  <c r="R247" i="5"/>
  <c r="R248" i="5"/>
  <c r="R249" i="5"/>
  <c r="R250" i="5"/>
  <c r="R251" i="5"/>
  <c r="R252" i="5"/>
  <c r="R253" i="5"/>
  <c r="R254" i="5"/>
  <c r="R255" i="5"/>
  <c r="R256" i="5"/>
  <c r="R257" i="5"/>
  <c r="R258" i="5"/>
  <c r="R259" i="5"/>
  <c r="R260" i="5"/>
  <c r="R261" i="5"/>
  <c r="R262" i="5"/>
  <c r="R263" i="5"/>
  <c r="R264" i="5"/>
  <c r="R265" i="5"/>
  <c r="R266" i="5"/>
  <c r="R267" i="5"/>
  <c r="R268" i="5"/>
  <c r="R269" i="5"/>
  <c r="R270" i="5"/>
  <c r="R271" i="5"/>
  <c r="R272" i="5"/>
  <c r="R273" i="5"/>
  <c r="R274" i="5"/>
  <c r="R275" i="5"/>
  <c r="R276" i="5"/>
  <c r="R277" i="5"/>
  <c r="R278" i="5"/>
  <c r="R279" i="5"/>
  <c r="R280" i="5"/>
  <c r="R281" i="5"/>
  <c r="R282" i="5"/>
  <c r="R283" i="5"/>
  <c r="R284" i="5"/>
  <c r="R285" i="5"/>
  <c r="R286" i="5"/>
  <c r="R287" i="5"/>
  <c r="R288" i="5"/>
  <c r="R289" i="5"/>
  <c r="R290" i="5"/>
  <c r="R291" i="5"/>
  <c r="R292" i="5"/>
  <c r="R293" i="5"/>
  <c r="R294" i="5"/>
  <c r="R295" i="5"/>
  <c r="R296" i="5"/>
  <c r="R297" i="5"/>
  <c r="R298" i="5"/>
  <c r="R299" i="5"/>
  <c r="R300" i="5"/>
  <c r="R301" i="5"/>
  <c r="R302" i="5"/>
  <c r="R303" i="5"/>
  <c r="R304" i="5"/>
  <c r="R305" i="5"/>
  <c r="R306" i="5"/>
  <c r="R307" i="5"/>
  <c r="R308" i="5"/>
  <c r="R309" i="5"/>
  <c r="R310" i="5"/>
  <c r="R311" i="5"/>
  <c r="R312" i="5"/>
  <c r="R313" i="5"/>
  <c r="R314" i="5"/>
  <c r="R315" i="5"/>
  <c r="R316" i="5"/>
  <c r="R317" i="5"/>
  <c r="R318" i="5"/>
  <c r="R319" i="5"/>
  <c r="R320" i="5"/>
  <c r="R321" i="5"/>
  <c r="R322" i="5"/>
  <c r="R323" i="5"/>
  <c r="R324" i="5"/>
  <c r="R325" i="5"/>
  <c r="R326" i="5"/>
  <c r="R327" i="5"/>
  <c r="R328" i="5"/>
  <c r="R329" i="5"/>
  <c r="R330" i="5"/>
  <c r="R331" i="5"/>
  <c r="R332" i="5"/>
  <c r="R333" i="5"/>
  <c r="R334" i="5"/>
  <c r="R335" i="5"/>
  <c r="R336" i="5"/>
  <c r="R337" i="5"/>
  <c r="R338" i="5"/>
  <c r="R339" i="5"/>
  <c r="R340" i="5"/>
  <c r="R341" i="5"/>
  <c r="R342" i="5"/>
  <c r="R343" i="5"/>
  <c r="R344" i="5"/>
  <c r="R345" i="5"/>
  <c r="R346" i="5"/>
  <c r="R347" i="5"/>
  <c r="R348" i="5"/>
  <c r="R349" i="5"/>
  <c r="R350" i="5"/>
  <c r="R351" i="5"/>
  <c r="R352" i="5"/>
  <c r="R353" i="5"/>
  <c r="R354" i="5"/>
  <c r="R355" i="5"/>
  <c r="R356" i="5"/>
  <c r="R357" i="5"/>
  <c r="R358" i="5"/>
  <c r="R359" i="5"/>
  <c r="R360" i="5"/>
  <c r="R361" i="5"/>
  <c r="R362" i="5"/>
  <c r="R363" i="5"/>
  <c r="R364" i="5"/>
  <c r="R365" i="5"/>
  <c r="R366" i="5"/>
  <c r="R367" i="5"/>
  <c r="R368" i="5"/>
  <c r="R369" i="5"/>
  <c r="R370" i="5"/>
  <c r="R371" i="5"/>
  <c r="R372" i="5"/>
  <c r="R373" i="5"/>
  <c r="R374" i="5"/>
  <c r="R375" i="5"/>
  <c r="R376" i="5"/>
  <c r="R377" i="5"/>
  <c r="R378" i="5"/>
  <c r="R379" i="5"/>
  <c r="R380" i="5"/>
  <c r="R381" i="5"/>
  <c r="R382" i="5"/>
  <c r="R383" i="5"/>
  <c r="R384" i="5"/>
  <c r="R385" i="5"/>
  <c r="R386" i="5"/>
  <c r="R387" i="5"/>
  <c r="R388" i="5"/>
  <c r="R389" i="5"/>
  <c r="R390" i="5"/>
  <c r="R391" i="5"/>
  <c r="R392" i="5"/>
  <c r="R393" i="5"/>
  <c r="R394" i="5"/>
  <c r="R395" i="5"/>
  <c r="R396" i="5"/>
  <c r="R397" i="5"/>
  <c r="R398" i="5"/>
  <c r="R399" i="5"/>
  <c r="R400" i="5"/>
  <c r="R401" i="5"/>
  <c r="R402" i="5"/>
  <c r="R403" i="5"/>
  <c r="R404" i="5"/>
  <c r="R405" i="5"/>
  <c r="R406" i="5"/>
  <c r="R407" i="5"/>
  <c r="R408" i="5"/>
  <c r="R409" i="5"/>
  <c r="R410" i="5"/>
  <c r="R411" i="5"/>
  <c r="R412" i="5"/>
  <c r="R413" i="5"/>
  <c r="R414" i="5"/>
  <c r="R415" i="5"/>
  <c r="R416" i="5"/>
  <c r="R417" i="5"/>
  <c r="R418" i="5"/>
  <c r="R419" i="5"/>
  <c r="R420" i="5"/>
  <c r="R421" i="5"/>
  <c r="R422" i="5"/>
  <c r="R423" i="5"/>
  <c r="R424" i="5"/>
  <c r="R425" i="5"/>
  <c r="R426" i="5"/>
  <c r="R427" i="5"/>
  <c r="R428" i="5"/>
  <c r="R429" i="5"/>
  <c r="R430" i="5"/>
  <c r="R431" i="5"/>
  <c r="R432" i="5"/>
  <c r="R433" i="5"/>
  <c r="R434" i="5"/>
  <c r="R435" i="5"/>
  <c r="R436" i="5"/>
  <c r="R437" i="5"/>
  <c r="R438" i="5"/>
  <c r="R439" i="5"/>
  <c r="R440" i="5"/>
  <c r="R441" i="5"/>
  <c r="R442" i="5"/>
  <c r="R443" i="5"/>
  <c r="R444" i="5"/>
  <c r="R445" i="5"/>
  <c r="R446" i="5"/>
  <c r="R447" i="5"/>
  <c r="R448" i="5"/>
  <c r="R449" i="5"/>
  <c r="R450" i="5"/>
  <c r="R451" i="5"/>
  <c r="R452" i="5"/>
  <c r="R453" i="5"/>
  <c r="R454" i="5"/>
  <c r="R455" i="5"/>
  <c r="R456" i="5"/>
  <c r="R457" i="5"/>
  <c r="R458" i="5"/>
  <c r="R459" i="5"/>
  <c r="R460" i="5"/>
  <c r="R461" i="5"/>
  <c r="R462" i="5"/>
  <c r="R463" i="5"/>
  <c r="R464" i="5"/>
  <c r="R465" i="5"/>
  <c r="R466" i="5"/>
  <c r="R467" i="5"/>
  <c r="R468" i="5"/>
  <c r="R469" i="5"/>
  <c r="R470" i="5"/>
  <c r="R471" i="5"/>
  <c r="R472" i="5"/>
  <c r="R473" i="5"/>
  <c r="R474" i="5"/>
  <c r="R475" i="5"/>
  <c r="R476" i="5"/>
  <c r="R477" i="5"/>
  <c r="R478" i="5"/>
  <c r="R479" i="5"/>
  <c r="R480" i="5"/>
  <c r="R481" i="5"/>
  <c r="R482" i="5"/>
  <c r="R483" i="5"/>
  <c r="R484" i="5"/>
  <c r="R485" i="5"/>
  <c r="R486" i="5"/>
  <c r="R487" i="5"/>
  <c r="R488" i="5"/>
  <c r="R489" i="5"/>
  <c r="R490" i="5"/>
  <c r="R491" i="5"/>
  <c r="R492" i="5"/>
  <c r="R493" i="5"/>
  <c r="R494" i="5"/>
  <c r="R495" i="5"/>
  <c r="R496" i="5"/>
  <c r="R497" i="5"/>
  <c r="R498" i="5"/>
  <c r="R499" i="5"/>
  <c r="R500" i="5"/>
  <c r="R501" i="5"/>
  <c r="R502" i="5"/>
  <c r="R503" i="5"/>
  <c r="R504" i="5"/>
  <c r="R505" i="5"/>
  <c r="R506" i="5"/>
  <c r="R507" i="5"/>
  <c r="R508" i="5"/>
  <c r="R509" i="5"/>
  <c r="R510" i="5"/>
  <c r="R511" i="5"/>
  <c r="R512" i="5"/>
  <c r="R513" i="5"/>
  <c r="R514" i="5"/>
  <c r="R515" i="5"/>
  <c r="R516" i="5"/>
  <c r="R517" i="5"/>
  <c r="R518" i="5"/>
  <c r="R519" i="5"/>
  <c r="R520" i="5"/>
  <c r="R521" i="5"/>
  <c r="R522" i="5"/>
  <c r="R523" i="5"/>
  <c r="R524" i="5"/>
  <c r="R525" i="5"/>
  <c r="R526" i="5"/>
  <c r="R527" i="5"/>
  <c r="R528" i="5"/>
  <c r="R529" i="5"/>
  <c r="R530" i="5"/>
  <c r="R531" i="5"/>
  <c r="R532" i="5"/>
  <c r="R533" i="5"/>
  <c r="R534" i="5"/>
  <c r="R535" i="5"/>
  <c r="R536" i="5"/>
  <c r="R537" i="5"/>
  <c r="R538" i="5"/>
  <c r="R539" i="5"/>
  <c r="R540" i="5"/>
  <c r="R541" i="5"/>
  <c r="R542" i="5"/>
  <c r="R543" i="5"/>
  <c r="R544" i="5"/>
  <c r="R545" i="5"/>
  <c r="R546" i="5"/>
  <c r="R547" i="5"/>
  <c r="R548" i="5"/>
  <c r="R549" i="5"/>
  <c r="R550" i="5"/>
  <c r="R551" i="5"/>
  <c r="R552" i="5"/>
  <c r="R553" i="5"/>
  <c r="R554" i="5"/>
  <c r="R555" i="5"/>
  <c r="R556" i="5"/>
  <c r="R557" i="5"/>
  <c r="R558" i="5"/>
  <c r="R559" i="5"/>
  <c r="R560" i="5"/>
  <c r="R561" i="5"/>
  <c r="R562" i="5"/>
  <c r="R563" i="5"/>
  <c r="R564" i="5"/>
  <c r="R565" i="5"/>
  <c r="R566" i="5"/>
  <c r="R567" i="5"/>
  <c r="R568" i="5"/>
  <c r="R569" i="5"/>
  <c r="R570" i="5"/>
  <c r="R571" i="5"/>
  <c r="R572" i="5"/>
  <c r="R573" i="5"/>
  <c r="R574" i="5"/>
  <c r="R575" i="5"/>
  <c r="R576" i="5"/>
  <c r="R577" i="5"/>
  <c r="R578" i="5"/>
  <c r="R579" i="5"/>
  <c r="R580" i="5"/>
  <c r="R581" i="5"/>
  <c r="R582" i="5"/>
  <c r="R583" i="5"/>
  <c r="R584" i="5"/>
  <c r="R585" i="5"/>
  <c r="R586" i="5"/>
  <c r="R587" i="5"/>
  <c r="R588" i="5"/>
  <c r="R589" i="5"/>
  <c r="R590" i="5"/>
  <c r="R591" i="5"/>
  <c r="R592" i="5"/>
  <c r="R593" i="5"/>
  <c r="R594" i="5"/>
  <c r="R595" i="5"/>
  <c r="R596" i="5"/>
  <c r="R597" i="5"/>
  <c r="R598" i="5"/>
  <c r="R599" i="5"/>
  <c r="R600" i="5"/>
  <c r="R601" i="5"/>
  <c r="R602" i="5"/>
  <c r="R603" i="5"/>
  <c r="R604" i="5"/>
  <c r="R605" i="5"/>
  <c r="R606" i="5"/>
  <c r="R607" i="5"/>
  <c r="R608" i="5"/>
  <c r="R609" i="5"/>
  <c r="R610" i="5"/>
  <c r="R611" i="5"/>
  <c r="R612" i="5"/>
  <c r="R613" i="5"/>
  <c r="R614" i="5"/>
  <c r="R615" i="5"/>
  <c r="R616" i="5"/>
  <c r="R617" i="5"/>
  <c r="R618" i="5"/>
  <c r="R619" i="5"/>
  <c r="R620" i="5"/>
  <c r="R621" i="5"/>
  <c r="R622" i="5"/>
  <c r="R623" i="5"/>
  <c r="R624" i="5"/>
  <c r="R625" i="5"/>
  <c r="R626" i="5"/>
  <c r="R627" i="5"/>
  <c r="R628" i="5"/>
  <c r="R629" i="5"/>
  <c r="R630" i="5"/>
  <c r="R631" i="5"/>
  <c r="R632" i="5"/>
  <c r="R633" i="5"/>
  <c r="R634" i="5"/>
  <c r="R635" i="5"/>
  <c r="R636" i="5"/>
  <c r="R637" i="5"/>
  <c r="R638" i="5"/>
  <c r="R639" i="5"/>
  <c r="R640" i="5"/>
  <c r="R641" i="5"/>
  <c r="R642" i="5"/>
  <c r="R643" i="5"/>
  <c r="R644" i="5"/>
  <c r="R645" i="5"/>
  <c r="R646" i="5"/>
  <c r="R647" i="5"/>
  <c r="R648" i="5"/>
  <c r="R649" i="5"/>
  <c r="R650" i="5"/>
  <c r="R651" i="5"/>
  <c r="R652" i="5"/>
  <c r="R653" i="5"/>
  <c r="R654" i="5"/>
  <c r="R655" i="5"/>
  <c r="R656" i="5"/>
  <c r="R657" i="5"/>
  <c r="R658" i="5"/>
  <c r="R659" i="5"/>
  <c r="R660" i="5"/>
  <c r="R661" i="5"/>
  <c r="R662" i="5"/>
  <c r="R663" i="5"/>
  <c r="R664" i="5"/>
  <c r="R665" i="5"/>
  <c r="R666" i="5"/>
  <c r="R667" i="5"/>
  <c r="R668" i="5"/>
  <c r="R669" i="5"/>
  <c r="R670" i="5"/>
  <c r="R671" i="5"/>
  <c r="R672" i="5"/>
  <c r="R673" i="5"/>
  <c r="R674" i="5"/>
  <c r="R675" i="5"/>
  <c r="R676" i="5"/>
  <c r="R677" i="5"/>
  <c r="R678" i="5"/>
  <c r="R679" i="5"/>
  <c r="R680" i="5"/>
  <c r="R681" i="5"/>
  <c r="R682" i="5"/>
  <c r="R683" i="5"/>
  <c r="R684" i="5"/>
  <c r="R685" i="5"/>
  <c r="R686" i="5"/>
  <c r="R687" i="5"/>
  <c r="R688" i="5"/>
  <c r="R689" i="5"/>
  <c r="R690" i="5"/>
  <c r="R691" i="5"/>
  <c r="R692" i="5"/>
  <c r="R693" i="5"/>
  <c r="R694" i="5"/>
  <c r="R695" i="5"/>
  <c r="R696" i="5"/>
  <c r="R697" i="5"/>
  <c r="R698" i="5"/>
  <c r="R699" i="5"/>
  <c r="R700" i="5"/>
  <c r="R701" i="5"/>
  <c r="R702" i="5"/>
  <c r="R703" i="5"/>
  <c r="R704" i="5"/>
  <c r="R705" i="5"/>
  <c r="R706" i="5"/>
  <c r="R707" i="5"/>
  <c r="R708" i="5"/>
  <c r="R709" i="5"/>
  <c r="R710" i="5"/>
  <c r="R711" i="5"/>
  <c r="R712" i="5"/>
  <c r="R713" i="5"/>
  <c r="R714" i="5"/>
  <c r="R715" i="5"/>
  <c r="R716" i="5"/>
  <c r="R717" i="5"/>
  <c r="R718" i="5"/>
  <c r="R719" i="5"/>
  <c r="R720" i="5"/>
  <c r="R721" i="5"/>
  <c r="R722" i="5"/>
  <c r="R723" i="5"/>
  <c r="R724" i="5"/>
  <c r="R725" i="5"/>
  <c r="R726" i="5"/>
  <c r="R727" i="5"/>
  <c r="R728" i="5"/>
  <c r="R729" i="5"/>
  <c r="R730" i="5"/>
  <c r="R731" i="5"/>
  <c r="R732" i="5"/>
  <c r="R733" i="5"/>
  <c r="R734" i="5"/>
  <c r="R735" i="5"/>
  <c r="R736" i="5"/>
  <c r="R737" i="5"/>
  <c r="R738" i="5"/>
  <c r="R739" i="5"/>
  <c r="R740" i="5"/>
  <c r="R741" i="5"/>
  <c r="R742" i="5"/>
  <c r="R743" i="5"/>
  <c r="R744" i="5"/>
  <c r="R745" i="5"/>
  <c r="R746" i="5"/>
  <c r="R747" i="5"/>
  <c r="R748" i="5"/>
  <c r="R749" i="5"/>
  <c r="R750" i="5"/>
  <c r="R751" i="5"/>
  <c r="R752" i="5"/>
  <c r="R753" i="5"/>
  <c r="R754" i="5"/>
  <c r="R755" i="5"/>
  <c r="R756" i="5"/>
  <c r="R757" i="5"/>
  <c r="R758" i="5"/>
  <c r="R759" i="5"/>
  <c r="R760" i="5"/>
  <c r="R761" i="5"/>
  <c r="R762" i="5"/>
  <c r="R763" i="5"/>
  <c r="R764" i="5"/>
  <c r="R765" i="5"/>
  <c r="R766" i="5"/>
  <c r="R767" i="5"/>
  <c r="R768" i="5"/>
  <c r="R769" i="5"/>
  <c r="R770" i="5"/>
  <c r="R771" i="5"/>
  <c r="R772" i="5"/>
  <c r="R773" i="5"/>
  <c r="R774" i="5"/>
  <c r="R775" i="5"/>
  <c r="R776" i="5"/>
  <c r="R777" i="5"/>
  <c r="R778" i="5"/>
  <c r="R779" i="5"/>
  <c r="R780" i="5"/>
  <c r="R781" i="5"/>
  <c r="R782" i="5"/>
  <c r="R783" i="5"/>
  <c r="R784" i="5"/>
  <c r="R785" i="5"/>
  <c r="R786" i="5"/>
  <c r="R787" i="5"/>
  <c r="R788" i="5"/>
  <c r="R789" i="5"/>
  <c r="R790" i="5"/>
  <c r="R791" i="5"/>
  <c r="R792" i="5"/>
  <c r="R793" i="5"/>
  <c r="R794" i="5"/>
  <c r="R795" i="5"/>
  <c r="R796" i="5"/>
  <c r="R797" i="5"/>
  <c r="R798" i="5"/>
  <c r="R799" i="5"/>
  <c r="R800" i="5"/>
  <c r="R801" i="5"/>
  <c r="R802" i="5"/>
  <c r="R803" i="5"/>
  <c r="R804" i="5"/>
  <c r="R805" i="5"/>
  <c r="R806" i="5"/>
  <c r="R807" i="5"/>
  <c r="R808" i="5"/>
  <c r="R809" i="5"/>
  <c r="R810" i="5"/>
  <c r="R811" i="5"/>
  <c r="R812" i="5"/>
  <c r="R813" i="5"/>
  <c r="R814" i="5"/>
  <c r="R815" i="5"/>
  <c r="R816" i="5"/>
  <c r="R817" i="5"/>
  <c r="R818" i="5"/>
  <c r="R819" i="5"/>
  <c r="R820" i="5"/>
  <c r="R821" i="5"/>
  <c r="R822" i="5"/>
  <c r="R823" i="5"/>
  <c r="R824" i="5"/>
  <c r="R825" i="5"/>
  <c r="R826" i="5"/>
  <c r="R827" i="5"/>
  <c r="R828" i="5"/>
  <c r="R829" i="5"/>
  <c r="R830" i="5"/>
  <c r="R831" i="5"/>
  <c r="R832" i="5"/>
  <c r="R833" i="5"/>
  <c r="R834" i="5"/>
  <c r="R835" i="5"/>
  <c r="R836" i="5"/>
  <c r="R837" i="5"/>
  <c r="R838" i="5"/>
  <c r="R839" i="5"/>
  <c r="R840" i="5"/>
  <c r="R841" i="5"/>
  <c r="R842" i="5"/>
  <c r="R843" i="5"/>
  <c r="R844" i="5"/>
  <c r="R845" i="5"/>
  <c r="R846" i="5"/>
  <c r="R847" i="5"/>
  <c r="R848" i="5"/>
  <c r="R849" i="5"/>
  <c r="R850" i="5"/>
  <c r="R851" i="5"/>
  <c r="R852" i="5"/>
  <c r="R853" i="5"/>
  <c r="R854" i="5"/>
  <c r="R855" i="5"/>
  <c r="R856" i="5"/>
  <c r="R857" i="5"/>
  <c r="R858" i="5"/>
  <c r="R859" i="5"/>
  <c r="R860" i="5"/>
  <c r="R861" i="5"/>
  <c r="R862" i="5"/>
  <c r="R863" i="5"/>
  <c r="R864" i="5"/>
  <c r="R865" i="5"/>
  <c r="R866" i="5"/>
  <c r="R867" i="5"/>
  <c r="R868" i="5"/>
  <c r="R869" i="5"/>
  <c r="R870" i="5"/>
  <c r="R871" i="5"/>
  <c r="R872" i="5"/>
  <c r="R873" i="5"/>
  <c r="R874" i="5"/>
  <c r="R875" i="5"/>
  <c r="R876" i="5"/>
  <c r="R877" i="5"/>
  <c r="R878" i="5"/>
  <c r="R879" i="5"/>
  <c r="R880" i="5"/>
  <c r="R881" i="5"/>
  <c r="R882" i="5"/>
  <c r="R883" i="5"/>
  <c r="R884" i="5"/>
  <c r="R885" i="5"/>
  <c r="R886" i="5"/>
  <c r="R887" i="5"/>
  <c r="R888" i="5"/>
  <c r="R889" i="5"/>
  <c r="R890" i="5"/>
  <c r="R891" i="5"/>
  <c r="R892" i="5"/>
  <c r="R893" i="5"/>
  <c r="R894" i="5"/>
  <c r="R895" i="5"/>
  <c r="R896" i="5"/>
  <c r="R897" i="5"/>
  <c r="R898" i="5"/>
  <c r="R899" i="5"/>
  <c r="R900" i="5"/>
  <c r="R901" i="5"/>
  <c r="R902" i="5"/>
  <c r="R903" i="5"/>
  <c r="R904" i="5"/>
  <c r="R905" i="5"/>
  <c r="R906" i="5"/>
  <c r="R907" i="5"/>
  <c r="R908" i="5"/>
  <c r="R909" i="5"/>
  <c r="R910" i="5"/>
  <c r="R911" i="5"/>
  <c r="R912" i="5"/>
  <c r="R913" i="5"/>
  <c r="R914" i="5"/>
  <c r="R915" i="5"/>
  <c r="R916" i="5"/>
  <c r="R917" i="5"/>
  <c r="R918" i="5"/>
  <c r="R919" i="5"/>
  <c r="R920" i="5"/>
  <c r="R921" i="5"/>
  <c r="R922" i="5"/>
  <c r="R923" i="5"/>
  <c r="R924" i="5"/>
  <c r="R925" i="5"/>
  <c r="R926" i="5"/>
  <c r="R927" i="5"/>
  <c r="R928" i="5"/>
  <c r="R929" i="5"/>
  <c r="R930" i="5"/>
  <c r="R931" i="5"/>
  <c r="R932" i="5"/>
  <c r="R933" i="5"/>
  <c r="R934" i="5"/>
  <c r="R935" i="5"/>
  <c r="R936" i="5"/>
  <c r="R937" i="5"/>
  <c r="R938" i="5"/>
  <c r="R939" i="5"/>
  <c r="R940" i="5"/>
  <c r="R941" i="5"/>
  <c r="R942" i="5"/>
  <c r="R943" i="5"/>
  <c r="R944" i="5"/>
  <c r="R945" i="5"/>
  <c r="R946" i="5"/>
  <c r="R947" i="5"/>
  <c r="R948" i="5"/>
  <c r="R949" i="5"/>
  <c r="R950" i="5"/>
  <c r="R951" i="5"/>
  <c r="R952" i="5"/>
  <c r="R953" i="5"/>
  <c r="R954" i="5"/>
  <c r="R955" i="5"/>
  <c r="R956" i="5"/>
  <c r="R957" i="5"/>
  <c r="R958" i="5"/>
  <c r="R959" i="5"/>
  <c r="R960" i="5"/>
  <c r="R961" i="5"/>
  <c r="R962" i="5"/>
  <c r="R963" i="5"/>
  <c r="R964" i="5"/>
  <c r="R965" i="5"/>
  <c r="R966" i="5"/>
  <c r="R967" i="5"/>
  <c r="R968" i="5"/>
  <c r="R969" i="5"/>
  <c r="R970" i="5"/>
  <c r="R971" i="5"/>
  <c r="R972" i="5"/>
  <c r="R973" i="5"/>
  <c r="R974" i="5"/>
  <c r="R975" i="5"/>
  <c r="R976" i="5"/>
  <c r="R977" i="5"/>
  <c r="R978" i="5"/>
  <c r="R979" i="5"/>
  <c r="R980" i="5"/>
  <c r="R981" i="5"/>
  <c r="R982" i="5"/>
  <c r="R983" i="5"/>
  <c r="R984" i="5"/>
  <c r="R985" i="5"/>
  <c r="R986" i="5"/>
  <c r="R987" i="5"/>
  <c r="R988" i="5"/>
  <c r="R989" i="5"/>
  <c r="R990" i="5"/>
  <c r="R991" i="5"/>
  <c r="R992" i="5"/>
  <c r="R993" i="5"/>
  <c r="R994" i="5"/>
  <c r="R995" i="5"/>
  <c r="R996" i="5"/>
  <c r="R997" i="5"/>
  <c r="R998" i="5"/>
  <c r="R999" i="5"/>
  <c r="R1000" i="5"/>
  <c r="R2" i="5"/>
  <c r="R3" i="5"/>
  <c r="R4" i="5"/>
  <c r="R5" i="5"/>
  <c r="R6" i="5"/>
  <c r="R7" i="5"/>
  <c r="R8" i="5"/>
  <c r="R9" i="5"/>
  <c r="R10" i="5"/>
  <c r="R11" i="5"/>
  <c r="R12" i="5"/>
  <c r="R13" i="5"/>
  <c r="R14" i="5"/>
  <c r="R15" i="5"/>
  <c r="Q2" i="5"/>
  <c r="B109" i="1"/>
  <c r="A101" i="5" s="1"/>
  <c r="B110" i="1"/>
  <c r="A102" i="5" s="1"/>
  <c r="B102" i="1"/>
  <c r="A94" i="5" s="1"/>
  <c r="B103" i="1"/>
  <c r="A95" i="5" s="1"/>
  <c r="B104" i="1"/>
  <c r="B53" i="1"/>
  <c r="B54" i="1" l="1"/>
  <c r="A45" i="5"/>
  <c r="B105" i="1"/>
  <c r="A96" i="5"/>
  <c r="D2" i="6"/>
  <c r="E2" i="6" s="1"/>
  <c r="E5" i="6" s="1"/>
  <c r="C5" i="6"/>
  <c r="D4" i="6"/>
  <c r="D3" i="6"/>
  <c r="E3" i="6" s="1"/>
  <c r="F5" i="6" s="1"/>
  <c r="B12" i="1"/>
  <c r="B106" i="1" l="1"/>
  <c r="A97" i="5"/>
  <c r="B13" i="1"/>
  <c r="A4" i="5"/>
  <c r="B55" i="1"/>
  <c r="A46" i="5"/>
  <c r="C6" i="6"/>
  <c r="D5" i="6"/>
  <c r="H20" i="5"/>
  <c r="D20" i="5" s="1"/>
  <c r="B14" i="1" l="1"/>
  <c r="A5" i="5"/>
  <c r="B56" i="1"/>
  <c r="A47" i="5"/>
  <c r="B107" i="1"/>
  <c r="A98" i="5"/>
  <c r="C7" i="6"/>
  <c r="D6" i="6"/>
  <c r="G20" i="5"/>
  <c r="H21" i="5"/>
  <c r="D21" i="5" s="1"/>
  <c r="H22" i="5"/>
  <c r="D22" i="5" s="1"/>
  <c r="H23" i="5"/>
  <c r="D23" i="5" s="1"/>
  <c r="H24" i="5"/>
  <c r="D24" i="5" s="1"/>
  <c r="H25" i="5"/>
  <c r="D25" i="5" s="1"/>
  <c r="H26" i="5"/>
  <c r="D26" i="5" s="1"/>
  <c r="H27" i="5"/>
  <c r="D27" i="5" s="1"/>
  <c r="H28" i="5"/>
  <c r="D28" i="5" s="1"/>
  <c r="H29" i="5"/>
  <c r="D29" i="5" s="1"/>
  <c r="H30" i="5"/>
  <c r="D30" i="5" s="1"/>
  <c r="H31" i="5"/>
  <c r="D31" i="5" s="1"/>
  <c r="H32" i="5"/>
  <c r="D32" i="5" s="1"/>
  <c r="H33" i="5"/>
  <c r="D33" i="5" s="1"/>
  <c r="H34" i="5"/>
  <c r="D34" i="5" s="1"/>
  <c r="H35" i="5"/>
  <c r="H36" i="5"/>
  <c r="D36" i="5" s="1"/>
  <c r="H37" i="5"/>
  <c r="D37" i="5" s="1"/>
  <c r="H38" i="5"/>
  <c r="D38" i="5" s="1"/>
  <c r="H39" i="5"/>
  <c r="D39" i="5" s="1"/>
  <c r="H40" i="5"/>
  <c r="D40" i="5" s="1"/>
  <c r="H41" i="5"/>
  <c r="D41" i="5" s="1"/>
  <c r="H42" i="5"/>
  <c r="D42" i="5" s="1"/>
  <c r="H43" i="5"/>
  <c r="D43" i="5" s="1"/>
  <c r="H44" i="5"/>
  <c r="D44" i="5" s="1"/>
  <c r="H45" i="5"/>
  <c r="D45" i="5" s="1"/>
  <c r="H46" i="5"/>
  <c r="D46" i="5" s="1"/>
  <c r="H47" i="5"/>
  <c r="D47" i="5" s="1"/>
  <c r="H48" i="5"/>
  <c r="D48" i="5" s="1"/>
  <c r="H49" i="5"/>
  <c r="H50" i="5"/>
  <c r="D50" i="5" s="1"/>
  <c r="H51" i="5"/>
  <c r="D51" i="5" s="1"/>
  <c r="H52" i="5"/>
  <c r="D52" i="5" s="1"/>
  <c r="H53" i="5"/>
  <c r="D53" i="5" s="1"/>
  <c r="H54" i="5"/>
  <c r="D54" i="5" s="1"/>
  <c r="H55" i="5"/>
  <c r="H56" i="5"/>
  <c r="D56" i="5" s="1"/>
  <c r="H57" i="5"/>
  <c r="D57" i="5" s="1"/>
  <c r="H58" i="5"/>
  <c r="D58" i="5" s="1"/>
  <c r="H59" i="5"/>
  <c r="D59" i="5" s="1"/>
  <c r="H60" i="5"/>
  <c r="D60" i="5" s="1"/>
  <c r="H61" i="5"/>
  <c r="D61" i="5" s="1"/>
  <c r="H62" i="5"/>
  <c r="D62" i="5" s="1"/>
  <c r="H63" i="5"/>
  <c r="D63" i="5" s="1"/>
  <c r="H64" i="5"/>
  <c r="D64" i="5" s="1"/>
  <c r="H65" i="5"/>
  <c r="D65" i="5" s="1"/>
  <c r="H66" i="5"/>
  <c r="D66" i="5" s="1"/>
  <c r="H67" i="5"/>
  <c r="D67" i="5" s="1"/>
  <c r="H68" i="5"/>
  <c r="D68" i="5" s="1"/>
  <c r="H69" i="5"/>
  <c r="D69" i="5" s="1"/>
  <c r="H70" i="5"/>
  <c r="D70" i="5" s="1"/>
  <c r="H71" i="5"/>
  <c r="D71" i="5" s="1"/>
  <c r="H72" i="5"/>
  <c r="D72" i="5" s="1"/>
  <c r="H73" i="5"/>
  <c r="D73" i="5" s="1"/>
  <c r="H74" i="5"/>
  <c r="D74" i="5" s="1"/>
  <c r="H75" i="5"/>
  <c r="D75" i="5" s="1"/>
  <c r="H76" i="5"/>
  <c r="H77" i="5"/>
  <c r="D77" i="5" s="1"/>
  <c r="H78" i="5"/>
  <c r="D78" i="5" s="1"/>
  <c r="H79" i="5"/>
  <c r="D79" i="5" s="1"/>
  <c r="H80" i="5"/>
  <c r="D80" i="5" s="1"/>
  <c r="H81" i="5"/>
  <c r="D81" i="5" s="1"/>
  <c r="H82" i="5"/>
  <c r="D82" i="5" s="1"/>
  <c r="H83" i="5"/>
  <c r="D83" i="5" s="1"/>
  <c r="H84" i="5"/>
  <c r="D84" i="5" s="1"/>
  <c r="H85" i="5"/>
  <c r="D85" i="5" s="1"/>
  <c r="H86" i="5"/>
  <c r="D86" i="5" s="1"/>
  <c r="H87" i="5"/>
  <c r="D87" i="5" s="1"/>
  <c r="H88" i="5"/>
  <c r="D88" i="5" s="1"/>
  <c r="H89" i="5"/>
  <c r="D89" i="5" s="1"/>
  <c r="H90" i="5"/>
  <c r="D90" i="5" s="1"/>
  <c r="H91" i="5"/>
  <c r="D91" i="5" s="1"/>
  <c r="H92" i="5"/>
  <c r="D92" i="5" s="1"/>
  <c r="H93" i="5"/>
  <c r="D93" i="5" s="1"/>
  <c r="H94" i="5"/>
  <c r="D94" i="5" s="1"/>
  <c r="H95" i="5"/>
  <c r="H96" i="5"/>
  <c r="D96" i="5" s="1"/>
  <c r="H97" i="5"/>
  <c r="D97" i="5" s="1"/>
  <c r="H98" i="5"/>
  <c r="D98" i="5" s="1"/>
  <c r="H99" i="5"/>
  <c r="D99" i="5" s="1"/>
  <c r="H100" i="5"/>
  <c r="D100" i="5" s="1"/>
  <c r="H101" i="5"/>
  <c r="D101" i="5" s="1"/>
  <c r="H102" i="5"/>
  <c r="D102" i="5" s="1"/>
  <c r="H103" i="5"/>
  <c r="D103" i="5" s="1"/>
  <c r="H104" i="5"/>
  <c r="D104" i="5" s="1"/>
  <c r="H105" i="5"/>
  <c r="D105" i="5" s="1"/>
  <c r="H106" i="5"/>
  <c r="D106" i="5" s="1"/>
  <c r="H107" i="5"/>
  <c r="D107" i="5" s="1"/>
  <c r="H108" i="5"/>
  <c r="D108" i="5" s="1"/>
  <c r="H109" i="5"/>
  <c r="D109" i="5" s="1"/>
  <c r="H110" i="5"/>
  <c r="D110" i="5" s="1"/>
  <c r="H111" i="5"/>
  <c r="D111" i="5" s="1"/>
  <c r="H112" i="5"/>
  <c r="D112" i="5" s="1"/>
  <c r="H113" i="5"/>
  <c r="D113" i="5" s="1"/>
  <c r="H114" i="5"/>
  <c r="D114" i="5" s="1"/>
  <c r="H115" i="5"/>
  <c r="D115" i="5" s="1"/>
  <c r="H116" i="5"/>
  <c r="H117" i="5"/>
  <c r="D117" i="5" s="1"/>
  <c r="H118" i="5"/>
  <c r="D118" i="5" s="1"/>
  <c r="H119" i="5"/>
  <c r="D119" i="5" s="1"/>
  <c r="H120" i="5"/>
  <c r="D120" i="5" s="1"/>
  <c r="H121" i="5"/>
  <c r="D121" i="5" s="1"/>
  <c r="H122" i="5"/>
  <c r="D122" i="5" s="1"/>
  <c r="H123" i="5"/>
  <c r="D123" i="5" s="1"/>
  <c r="H124" i="5"/>
  <c r="D124" i="5" s="1"/>
  <c r="H125" i="5"/>
  <c r="D125" i="5" s="1"/>
  <c r="H126" i="5"/>
  <c r="D126" i="5" s="1"/>
  <c r="H127" i="5"/>
  <c r="D127" i="5" s="1"/>
  <c r="H128" i="5"/>
  <c r="D128" i="5" s="1"/>
  <c r="H129" i="5"/>
  <c r="D129" i="5" s="1"/>
  <c r="H130" i="5"/>
  <c r="D130" i="5" s="1"/>
  <c r="H131" i="5"/>
  <c r="D131" i="5" s="1"/>
  <c r="H132" i="5"/>
  <c r="D132" i="5" s="1"/>
  <c r="H133" i="5"/>
  <c r="D133" i="5" s="1"/>
  <c r="H134" i="5"/>
  <c r="D134" i="5" s="1"/>
  <c r="H135" i="5"/>
  <c r="D135" i="5" s="1"/>
  <c r="H136" i="5"/>
  <c r="H137" i="5"/>
  <c r="D137" i="5" s="1"/>
  <c r="H138" i="5"/>
  <c r="D138" i="5" s="1"/>
  <c r="H139" i="5"/>
  <c r="D139" i="5" s="1"/>
  <c r="H140" i="5"/>
  <c r="D140" i="5" s="1"/>
  <c r="H141" i="5"/>
  <c r="D141" i="5" s="1"/>
  <c r="H142" i="5"/>
  <c r="D142" i="5" s="1"/>
  <c r="H143" i="5"/>
  <c r="D143" i="5" s="1"/>
  <c r="H144" i="5"/>
  <c r="D144" i="5" s="1"/>
  <c r="H145" i="5"/>
  <c r="D145" i="5" s="1"/>
  <c r="H146" i="5"/>
  <c r="D146" i="5" s="1"/>
  <c r="H147" i="5"/>
  <c r="D147" i="5" s="1"/>
  <c r="H148" i="5"/>
  <c r="D148" i="5" s="1"/>
  <c r="H149" i="5"/>
  <c r="D149" i="5" s="1"/>
  <c r="H150" i="5"/>
  <c r="D150" i="5" s="1"/>
  <c r="H151" i="5"/>
  <c r="D151" i="5" s="1"/>
  <c r="H152" i="5"/>
  <c r="D152" i="5" s="1"/>
  <c r="H153" i="5"/>
  <c r="D153" i="5" s="1"/>
  <c r="H154" i="5"/>
  <c r="D154" i="5" s="1"/>
  <c r="H155" i="5"/>
  <c r="D155" i="5" s="1"/>
  <c r="H156" i="5"/>
  <c r="D156" i="5" s="1"/>
  <c r="H157" i="5"/>
  <c r="H158" i="5"/>
  <c r="D158" i="5" s="1"/>
  <c r="H159" i="5"/>
  <c r="D159" i="5" s="1"/>
  <c r="H160" i="5"/>
  <c r="D160" i="5" s="1"/>
  <c r="H161" i="5"/>
  <c r="D161" i="5" s="1"/>
  <c r="H162" i="5"/>
  <c r="D162" i="5" s="1"/>
  <c r="H163" i="5"/>
  <c r="D163" i="5" s="1"/>
  <c r="H164" i="5"/>
  <c r="D164" i="5" s="1"/>
  <c r="H165" i="5"/>
  <c r="D165" i="5" s="1"/>
  <c r="H166" i="5"/>
  <c r="D166" i="5" s="1"/>
  <c r="H167" i="5"/>
  <c r="D167" i="5" s="1"/>
  <c r="H168" i="5"/>
  <c r="D168" i="5" s="1"/>
  <c r="H169" i="5"/>
  <c r="D169" i="5" s="1"/>
  <c r="H170" i="5"/>
  <c r="D170" i="5" s="1"/>
  <c r="H171" i="5"/>
  <c r="D171" i="5" s="1"/>
  <c r="H172" i="5"/>
  <c r="D172" i="5" s="1"/>
  <c r="H173" i="5"/>
  <c r="D173" i="5" s="1"/>
  <c r="H174" i="5"/>
  <c r="D174" i="5" s="1"/>
  <c r="H175" i="5"/>
  <c r="D175" i="5" s="1"/>
  <c r="H176" i="5"/>
  <c r="H177" i="5"/>
  <c r="D177" i="5" s="1"/>
  <c r="H178" i="5"/>
  <c r="D178" i="5" s="1"/>
  <c r="H179" i="5"/>
  <c r="D179" i="5" s="1"/>
  <c r="H180" i="5"/>
  <c r="D180" i="5" s="1"/>
  <c r="H181" i="5"/>
  <c r="D181" i="5" s="1"/>
  <c r="H182" i="5"/>
  <c r="D182" i="5" s="1"/>
  <c r="H183" i="5"/>
  <c r="D183" i="5" s="1"/>
  <c r="H184" i="5"/>
  <c r="D184" i="5" s="1"/>
  <c r="H185" i="5"/>
  <c r="D185" i="5" s="1"/>
  <c r="H186" i="5"/>
  <c r="D186" i="5" s="1"/>
  <c r="H187" i="5"/>
  <c r="D187" i="5" s="1"/>
  <c r="H188" i="5"/>
  <c r="D188" i="5" s="1"/>
  <c r="H189" i="5"/>
  <c r="D189" i="5" s="1"/>
  <c r="H190" i="5"/>
  <c r="D190" i="5" s="1"/>
  <c r="H191" i="5"/>
  <c r="D191" i="5" s="1"/>
  <c r="H192" i="5"/>
  <c r="D192" i="5" s="1"/>
  <c r="H193" i="5"/>
  <c r="D193" i="5" s="1"/>
  <c r="H194" i="5"/>
  <c r="D194" i="5" s="1"/>
  <c r="H195" i="5"/>
  <c r="D195" i="5" s="1"/>
  <c r="H196" i="5"/>
  <c r="D196" i="5" s="1"/>
  <c r="H197" i="5"/>
  <c r="H198" i="5"/>
  <c r="D198" i="5" s="1"/>
  <c r="H199" i="5"/>
  <c r="D199" i="5" s="1"/>
  <c r="H200" i="5"/>
  <c r="D200" i="5" s="1"/>
  <c r="H201" i="5"/>
  <c r="D201" i="5" s="1"/>
  <c r="H202" i="5"/>
  <c r="D202" i="5" s="1"/>
  <c r="H203" i="5"/>
  <c r="D203" i="5" s="1"/>
  <c r="H204" i="5"/>
  <c r="D204" i="5" s="1"/>
  <c r="H205" i="5"/>
  <c r="D205" i="5" s="1"/>
  <c r="H206" i="5"/>
  <c r="D206" i="5" s="1"/>
  <c r="H207" i="5"/>
  <c r="D207" i="5" s="1"/>
  <c r="H208" i="5"/>
  <c r="D208" i="5" s="1"/>
  <c r="H209" i="5"/>
  <c r="D209" i="5" s="1"/>
  <c r="H210" i="5"/>
  <c r="D210" i="5" s="1"/>
  <c r="H211" i="5"/>
  <c r="D211" i="5" s="1"/>
  <c r="H212" i="5"/>
  <c r="D212" i="5" s="1"/>
  <c r="H213" i="5"/>
  <c r="D213" i="5" s="1"/>
  <c r="H214" i="5"/>
  <c r="D214" i="5" s="1"/>
  <c r="H215" i="5"/>
  <c r="D215" i="5" s="1"/>
  <c r="H216" i="5"/>
  <c r="D216" i="5" s="1"/>
  <c r="H217" i="5"/>
  <c r="H218" i="5"/>
  <c r="D218" i="5" s="1"/>
  <c r="H219" i="5"/>
  <c r="D219" i="5" s="1"/>
  <c r="H220" i="5"/>
  <c r="D220" i="5" s="1"/>
  <c r="H221" i="5"/>
  <c r="D221" i="5" s="1"/>
  <c r="H222" i="5"/>
  <c r="D222" i="5" s="1"/>
  <c r="H223" i="5"/>
  <c r="D223" i="5" s="1"/>
  <c r="H224" i="5"/>
  <c r="D224" i="5" s="1"/>
  <c r="H225" i="5"/>
  <c r="D225" i="5" s="1"/>
  <c r="H226" i="5"/>
  <c r="D226" i="5" s="1"/>
  <c r="H227" i="5"/>
  <c r="D227" i="5" s="1"/>
  <c r="H228" i="5"/>
  <c r="D228" i="5" s="1"/>
  <c r="H229" i="5"/>
  <c r="D229" i="5" s="1"/>
  <c r="H230" i="5"/>
  <c r="D230" i="5" s="1"/>
  <c r="H231" i="5"/>
  <c r="D231" i="5" s="1"/>
  <c r="H232" i="5"/>
  <c r="D232" i="5" s="1"/>
  <c r="H233" i="5"/>
  <c r="D233" i="5" s="1"/>
  <c r="H234" i="5"/>
  <c r="D234" i="5" s="1"/>
  <c r="H235" i="5"/>
  <c r="D235" i="5" s="1"/>
  <c r="H236" i="5"/>
  <c r="D236" i="5" s="1"/>
  <c r="H237" i="5"/>
  <c r="D237" i="5" s="1"/>
  <c r="H238" i="5"/>
  <c r="H239" i="5"/>
  <c r="D239" i="5" s="1"/>
  <c r="H240" i="5"/>
  <c r="D240" i="5" s="1"/>
  <c r="H241" i="5"/>
  <c r="D241" i="5" s="1"/>
  <c r="H242" i="5"/>
  <c r="D242" i="5" s="1"/>
  <c r="H243" i="5"/>
  <c r="D243" i="5" s="1"/>
  <c r="H244" i="5"/>
  <c r="D244" i="5" s="1"/>
  <c r="H245" i="5"/>
  <c r="D245" i="5" s="1"/>
  <c r="H246" i="5"/>
  <c r="D246" i="5" s="1"/>
  <c r="H247" i="5"/>
  <c r="D247" i="5" s="1"/>
  <c r="H248" i="5"/>
  <c r="D248" i="5" s="1"/>
  <c r="H249" i="5"/>
  <c r="D249" i="5" s="1"/>
  <c r="H250" i="5"/>
  <c r="D250" i="5" s="1"/>
  <c r="H251" i="5"/>
  <c r="D251" i="5" s="1"/>
  <c r="H252" i="5"/>
  <c r="D252" i="5" s="1"/>
  <c r="H253" i="5"/>
  <c r="D253" i="5" s="1"/>
  <c r="H254" i="5"/>
  <c r="D254" i="5" s="1"/>
  <c r="H255" i="5"/>
  <c r="D255" i="5" s="1"/>
  <c r="H256" i="5"/>
  <c r="D256" i="5" s="1"/>
  <c r="H257" i="5"/>
  <c r="H258" i="5"/>
  <c r="D258" i="5" s="1"/>
  <c r="H259" i="5"/>
  <c r="D259" i="5" s="1"/>
  <c r="H260" i="5"/>
  <c r="D260" i="5" s="1"/>
  <c r="H261" i="5"/>
  <c r="D261" i="5" s="1"/>
  <c r="H262" i="5"/>
  <c r="D262" i="5" s="1"/>
  <c r="H263" i="5"/>
  <c r="D263" i="5" s="1"/>
  <c r="H264" i="5"/>
  <c r="D264" i="5" s="1"/>
  <c r="H265" i="5"/>
  <c r="D265" i="5" s="1"/>
  <c r="H266" i="5"/>
  <c r="D266" i="5" s="1"/>
  <c r="H267" i="5"/>
  <c r="D267" i="5" s="1"/>
  <c r="H268" i="5"/>
  <c r="D268" i="5" s="1"/>
  <c r="H269" i="5"/>
  <c r="D269" i="5" s="1"/>
  <c r="H270" i="5"/>
  <c r="D270" i="5" s="1"/>
  <c r="H271" i="5"/>
  <c r="D271" i="5" s="1"/>
  <c r="H272" i="5"/>
  <c r="D272" i="5" s="1"/>
  <c r="H273" i="5"/>
  <c r="D273" i="5" s="1"/>
  <c r="H274" i="5"/>
  <c r="D274" i="5" s="1"/>
  <c r="H275" i="5"/>
  <c r="D275" i="5" s="1"/>
  <c r="H276" i="5"/>
  <c r="D276" i="5" s="1"/>
  <c r="H277" i="5"/>
  <c r="D277" i="5" s="1"/>
  <c r="H278" i="5"/>
  <c r="H279" i="5"/>
  <c r="D279" i="5" s="1"/>
  <c r="H280" i="5"/>
  <c r="D280" i="5" s="1"/>
  <c r="H281" i="5"/>
  <c r="D281" i="5" s="1"/>
  <c r="H282" i="5"/>
  <c r="D282" i="5" s="1"/>
  <c r="H283" i="5"/>
  <c r="D283" i="5" s="1"/>
  <c r="H284" i="5"/>
  <c r="D284" i="5" s="1"/>
  <c r="H285" i="5"/>
  <c r="D285" i="5" s="1"/>
  <c r="H286" i="5"/>
  <c r="D286" i="5" s="1"/>
  <c r="H287" i="5"/>
  <c r="D287" i="5" s="1"/>
  <c r="H288" i="5"/>
  <c r="D288" i="5" s="1"/>
  <c r="H289" i="5"/>
  <c r="D289" i="5" s="1"/>
  <c r="H290" i="5"/>
  <c r="D290" i="5" s="1"/>
  <c r="H291" i="5"/>
  <c r="D291" i="5" s="1"/>
  <c r="H292" i="5"/>
  <c r="D292" i="5" s="1"/>
  <c r="H293" i="5"/>
  <c r="D293" i="5" s="1"/>
  <c r="H294" i="5"/>
  <c r="D294" i="5" s="1"/>
  <c r="H295" i="5"/>
  <c r="D295" i="5" s="1"/>
  <c r="H296" i="5"/>
  <c r="D296" i="5" s="1"/>
  <c r="H297" i="5"/>
  <c r="D297" i="5" s="1"/>
  <c r="H298" i="5"/>
  <c r="H299" i="5"/>
  <c r="D299" i="5" s="1"/>
  <c r="H300" i="5"/>
  <c r="D300" i="5" s="1"/>
  <c r="H301" i="5"/>
  <c r="D301" i="5" s="1"/>
  <c r="H302" i="5"/>
  <c r="D302" i="5" s="1"/>
  <c r="H303" i="5"/>
  <c r="D303" i="5" s="1"/>
  <c r="H304" i="5"/>
  <c r="D304" i="5" s="1"/>
  <c r="H305" i="5"/>
  <c r="D305" i="5" s="1"/>
  <c r="H306" i="5"/>
  <c r="D306" i="5" s="1"/>
  <c r="H307" i="5"/>
  <c r="D307" i="5" s="1"/>
  <c r="H308" i="5"/>
  <c r="D308" i="5" s="1"/>
  <c r="H309" i="5"/>
  <c r="D309" i="5" s="1"/>
  <c r="H310" i="5"/>
  <c r="D310" i="5" s="1"/>
  <c r="H311" i="5"/>
  <c r="D311" i="5" s="1"/>
  <c r="H312" i="5"/>
  <c r="D312" i="5" s="1"/>
  <c r="H313" i="5"/>
  <c r="D313" i="5" s="1"/>
  <c r="H314" i="5"/>
  <c r="D314" i="5" s="1"/>
  <c r="H315" i="5"/>
  <c r="D315" i="5" s="1"/>
  <c r="H316" i="5"/>
  <c r="D316" i="5" s="1"/>
  <c r="H317" i="5"/>
  <c r="D317" i="5" s="1"/>
  <c r="H318" i="5"/>
  <c r="D318" i="5" s="1"/>
  <c r="H319" i="5"/>
  <c r="H320" i="5"/>
  <c r="D320" i="5" s="1"/>
  <c r="H321" i="5"/>
  <c r="D321" i="5" s="1"/>
  <c r="H322" i="5"/>
  <c r="D322" i="5" s="1"/>
  <c r="H323" i="5"/>
  <c r="D323" i="5" s="1"/>
  <c r="H324" i="5"/>
  <c r="D324" i="5" s="1"/>
  <c r="H325" i="5"/>
  <c r="D325" i="5" s="1"/>
  <c r="H326" i="5"/>
  <c r="D326" i="5" s="1"/>
  <c r="H327" i="5"/>
  <c r="D327" i="5" s="1"/>
  <c r="H328" i="5"/>
  <c r="D328" i="5" s="1"/>
  <c r="H329" i="5"/>
  <c r="D329" i="5" s="1"/>
  <c r="H330" i="5"/>
  <c r="D330" i="5" s="1"/>
  <c r="H331" i="5"/>
  <c r="D331" i="5" s="1"/>
  <c r="H332" i="5"/>
  <c r="D332" i="5" s="1"/>
  <c r="H333" i="5"/>
  <c r="D333" i="5" s="1"/>
  <c r="H334" i="5"/>
  <c r="D334" i="5" s="1"/>
  <c r="H335" i="5"/>
  <c r="D335" i="5" s="1"/>
  <c r="H336" i="5"/>
  <c r="D336" i="5" s="1"/>
  <c r="H337" i="5"/>
  <c r="D337" i="5" s="1"/>
  <c r="H338" i="5"/>
  <c r="H339" i="5"/>
  <c r="D339" i="5" s="1"/>
  <c r="H340" i="5"/>
  <c r="D340" i="5" s="1"/>
  <c r="H341" i="5"/>
  <c r="D341" i="5" s="1"/>
  <c r="H342" i="5"/>
  <c r="D342" i="5" s="1"/>
  <c r="H343" i="5"/>
  <c r="D343" i="5" s="1"/>
  <c r="H344" i="5"/>
  <c r="D344" i="5" s="1"/>
  <c r="H345" i="5"/>
  <c r="D345" i="5" s="1"/>
  <c r="H346" i="5"/>
  <c r="D346" i="5" s="1"/>
  <c r="H347" i="5"/>
  <c r="D347" i="5" s="1"/>
  <c r="H348" i="5"/>
  <c r="D348" i="5" s="1"/>
  <c r="H349" i="5"/>
  <c r="D349" i="5" s="1"/>
  <c r="H350" i="5"/>
  <c r="D350" i="5" s="1"/>
  <c r="H351" i="5"/>
  <c r="D351" i="5" s="1"/>
  <c r="H352" i="5"/>
  <c r="D352" i="5" s="1"/>
  <c r="H353" i="5"/>
  <c r="D353" i="5" s="1"/>
  <c r="H354" i="5"/>
  <c r="D354" i="5" s="1"/>
  <c r="H355" i="5"/>
  <c r="D355" i="5" s="1"/>
  <c r="H356" i="5"/>
  <c r="D356" i="5" s="1"/>
  <c r="H357" i="5"/>
  <c r="D357" i="5" s="1"/>
  <c r="H358" i="5"/>
  <c r="D358" i="5" s="1"/>
  <c r="H359" i="5"/>
  <c r="H360" i="5"/>
  <c r="D360" i="5" s="1"/>
  <c r="H361" i="5"/>
  <c r="D361" i="5" s="1"/>
  <c r="H362" i="5"/>
  <c r="D362" i="5" s="1"/>
  <c r="H363" i="5"/>
  <c r="D363" i="5" s="1"/>
  <c r="H364" i="5"/>
  <c r="D364" i="5" s="1"/>
  <c r="H365" i="5"/>
  <c r="D365" i="5" s="1"/>
  <c r="H366" i="5"/>
  <c r="D366" i="5" s="1"/>
  <c r="H367" i="5"/>
  <c r="D367" i="5" s="1"/>
  <c r="H368" i="5"/>
  <c r="D368" i="5" s="1"/>
  <c r="H369" i="5"/>
  <c r="D369" i="5" s="1"/>
  <c r="H370" i="5"/>
  <c r="D370" i="5" s="1"/>
  <c r="H371" i="5"/>
  <c r="D371" i="5" s="1"/>
  <c r="H372" i="5"/>
  <c r="D372" i="5" s="1"/>
  <c r="H373" i="5"/>
  <c r="D373" i="5" s="1"/>
  <c r="H374" i="5"/>
  <c r="D374" i="5" s="1"/>
  <c r="H375" i="5"/>
  <c r="D375" i="5" s="1"/>
  <c r="H376" i="5"/>
  <c r="D376" i="5" s="1"/>
  <c r="H377" i="5"/>
  <c r="D377" i="5" s="1"/>
  <c r="H378" i="5"/>
  <c r="D378" i="5" s="1"/>
  <c r="H379" i="5"/>
  <c r="H380" i="5"/>
  <c r="D380" i="5" s="1"/>
  <c r="H381" i="5"/>
  <c r="D381" i="5" s="1"/>
  <c r="H382" i="5"/>
  <c r="D382" i="5" s="1"/>
  <c r="H383" i="5"/>
  <c r="D383" i="5" s="1"/>
  <c r="H384" i="5"/>
  <c r="D384" i="5" s="1"/>
  <c r="H385" i="5"/>
  <c r="D385" i="5" s="1"/>
  <c r="H386" i="5"/>
  <c r="D386" i="5" s="1"/>
  <c r="H387" i="5"/>
  <c r="D387" i="5" s="1"/>
  <c r="H388" i="5"/>
  <c r="D388" i="5" s="1"/>
  <c r="H389" i="5"/>
  <c r="D389" i="5" s="1"/>
  <c r="H390" i="5"/>
  <c r="D390" i="5" s="1"/>
  <c r="H391" i="5"/>
  <c r="D391" i="5" s="1"/>
  <c r="H392" i="5"/>
  <c r="H393" i="5"/>
  <c r="D393" i="5" s="1"/>
  <c r="H394" i="5"/>
  <c r="D394" i="5" s="1"/>
  <c r="H395" i="5"/>
  <c r="D395" i="5" s="1"/>
  <c r="H396" i="5"/>
  <c r="D396" i="5" s="1"/>
  <c r="H397" i="5"/>
  <c r="D397" i="5" s="1"/>
  <c r="H398" i="5"/>
  <c r="D398" i="5" s="1"/>
  <c r="H399" i="5"/>
  <c r="D399" i="5" s="1"/>
  <c r="H400" i="5"/>
  <c r="D400" i="5" s="1"/>
  <c r="H401" i="5"/>
  <c r="H402" i="5"/>
  <c r="D402" i="5" s="1"/>
  <c r="H403" i="5"/>
  <c r="D403" i="5" s="1"/>
  <c r="H404" i="5"/>
  <c r="D404" i="5" s="1"/>
  <c r="H405" i="5"/>
  <c r="D405" i="5" s="1"/>
  <c r="H406" i="5"/>
  <c r="D406" i="5" s="1"/>
  <c r="H407" i="5"/>
  <c r="D407" i="5" s="1"/>
  <c r="H408" i="5"/>
  <c r="D408" i="5" s="1"/>
  <c r="H409" i="5"/>
  <c r="D409" i="5" s="1"/>
  <c r="H410" i="5"/>
  <c r="D410" i="5" s="1"/>
  <c r="H411" i="5"/>
  <c r="D411" i="5" s="1"/>
  <c r="H412" i="5"/>
  <c r="D412" i="5" s="1"/>
  <c r="H413" i="5"/>
  <c r="H414" i="5"/>
  <c r="D414" i="5" s="1"/>
  <c r="H415" i="5"/>
  <c r="D415" i="5" s="1"/>
  <c r="H416" i="5"/>
  <c r="D416" i="5" s="1"/>
  <c r="H417" i="5"/>
  <c r="D417" i="5" s="1"/>
  <c r="H418" i="5"/>
  <c r="D418" i="5" s="1"/>
  <c r="H419" i="5"/>
  <c r="D419" i="5" s="1"/>
  <c r="H420" i="5"/>
  <c r="D420" i="5" s="1"/>
  <c r="H421" i="5"/>
  <c r="D421" i="5" s="1"/>
  <c r="H422" i="5"/>
  <c r="H423" i="5"/>
  <c r="D423" i="5" s="1"/>
  <c r="H424" i="5"/>
  <c r="D424" i="5" s="1"/>
  <c r="H425" i="5"/>
  <c r="D425" i="5" s="1"/>
  <c r="H426" i="5"/>
  <c r="D426" i="5" s="1"/>
  <c r="H427" i="5"/>
  <c r="D427" i="5" s="1"/>
  <c r="H428" i="5"/>
  <c r="D428" i="5" s="1"/>
  <c r="H429" i="5"/>
  <c r="D429" i="5" s="1"/>
  <c r="H430" i="5"/>
  <c r="D430" i="5" s="1"/>
  <c r="H431" i="5"/>
  <c r="D431" i="5" s="1"/>
  <c r="H432" i="5"/>
  <c r="D432" i="5" s="1"/>
  <c r="H433" i="5"/>
  <c r="H434" i="5"/>
  <c r="D434" i="5" s="1"/>
  <c r="H435" i="5"/>
  <c r="D435" i="5" s="1"/>
  <c r="H436" i="5"/>
  <c r="D436" i="5" s="1"/>
  <c r="H437" i="5"/>
  <c r="D437" i="5" s="1"/>
  <c r="H438" i="5"/>
  <c r="D438" i="5" s="1"/>
  <c r="H439" i="5"/>
  <c r="H440" i="5"/>
  <c r="D440" i="5" s="1"/>
  <c r="H441" i="5"/>
  <c r="D441" i="5" s="1"/>
  <c r="H442" i="5"/>
  <c r="H443" i="5"/>
  <c r="D443" i="5" s="1"/>
  <c r="H444" i="5"/>
  <c r="D444" i="5" s="1"/>
  <c r="H445" i="5"/>
  <c r="D445" i="5" s="1"/>
  <c r="H446" i="5"/>
  <c r="D446" i="5" s="1"/>
  <c r="H447" i="5"/>
  <c r="D447" i="5" s="1"/>
  <c r="H448" i="5"/>
  <c r="D448" i="5" s="1"/>
  <c r="H449" i="5"/>
  <c r="D449" i="5" s="1"/>
  <c r="H450" i="5"/>
  <c r="D450" i="5" s="1"/>
  <c r="H451" i="5"/>
  <c r="D451" i="5" s="1"/>
  <c r="H452" i="5"/>
  <c r="D452" i="5" s="1"/>
  <c r="H453" i="5"/>
  <c r="D453" i="5" s="1"/>
  <c r="H454" i="5"/>
  <c r="H455" i="5"/>
  <c r="D455" i="5" s="1"/>
  <c r="H456" i="5"/>
  <c r="D456" i="5" s="1"/>
  <c r="H457" i="5"/>
  <c r="D457" i="5" s="1"/>
  <c r="H458" i="5"/>
  <c r="D458" i="5" s="1"/>
  <c r="H459" i="5"/>
  <c r="D459" i="5" s="1"/>
  <c r="H460" i="5"/>
  <c r="D460" i="5" s="1"/>
  <c r="H461" i="5"/>
  <c r="D461" i="5" s="1"/>
  <c r="H462" i="5"/>
  <c r="D462" i="5" s="1"/>
  <c r="H463" i="5"/>
  <c r="H464" i="5"/>
  <c r="D464" i="5" s="1"/>
  <c r="H465" i="5"/>
  <c r="D465" i="5" s="1"/>
  <c r="H466" i="5"/>
  <c r="D466" i="5" s="1"/>
  <c r="H467" i="5"/>
  <c r="D467" i="5" s="1"/>
  <c r="H468" i="5"/>
  <c r="D468" i="5" s="1"/>
  <c r="H469" i="5"/>
  <c r="D469" i="5" s="1"/>
  <c r="H470" i="5"/>
  <c r="D470" i="5" s="1"/>
  <c r="H471" i="5"/>
  <c r="D471" i="5" s="1"/>
  <c r="H472" i="5"/>
  <c r="D472" i="5" s="1"/>
  <c r="H473" i="5"/>
  <c r="H474" i="5"/>
  <c r="D474" i="5" s="1"/>
  <c r="H475" i="5"/>
  <c r="D475" i="5" s="1"/>
  <c r="H476" i="5"/>
  <c r="D476" i="5" s="1"/>
  <c r="H477" i="5"/>
  <c r="D477" i="5" s="1"/>
  <c r="H478" i="5"/>
  <c r="D478" i="5" s="1"/>
  <c r="H479" i="5"/>
  <c r="D479" i="5" s="1"/>
  <c r="H480" i="5"/>
  <c r="D480" i="5" s="1"/>
  <c r="H481" i="5"/>
  <c r="D481" i="5" s="1"/>
  <c r="H482" i="5"/>
  <c r="H483" i="5"/>
  <c r="D483" i="5" s="1"/>
  <c r="H484" i="5"/>
  <c r="D484" i="5" s="1"/>
  <c r="H485" i="5"/>
  <c r="D485" i="5" s="1"/>
  <c r="H486" i="5"/>
  <c r="D486" i="5" s="1"/>
  <c r="H487" i="5"/>
  <c r="D487" i="5" s="1"/>
  <c r="H488" i="5"/>
  <c r="D488" i="5" s="1"/>
  <c r="H489" i="5"/>
  <c r="D489" i="5" s="1"/>
  <c r="H490" i="5"/>
  <c r="D490" i="5" s="1"/>
  <c r="H491" i="5"/>
  <c r="D491" i="5" s="1"/>
  <c r="H492" i="5"/>
  <c r="D492" i="5" s="1"/>
  <c r="H493" i="5"/>
  <c r="D493" i="5" s="1"/>
  <c r="H494" i="5"/>
  <c r="H495" i="5"/>
  <c r="D495" i="5" s="1"/>
  <c r="H496" i="5"/>
  <c r="D496" i="5" s="1"/>
  <c r="H497" i="5"/>
  <c r="D497" i="5" s="1"/>
  <c r="H498" i="5"/>
  <c r="D498" i="5" s="1"/>
  <c r="H499" i="5"/>
  <c r="D499" i="5" s="1"/>
  <c r="H500" i="5"/>
  <c r="D500" i="5" s="1"/>
  <c r="H501" i="5"/>
  <c r="D501" i="5" s="1"/>
  <c r="H502" i="5"/>
  <c r="D502" i="5" s="1"/>
  <c r="H503" i="5"/>
  <c r="H504" i="5"/>
  <c r="D504" i="5" s="1"/>
  <c r="H505" i="5"/>
  <c r="D505" i="5" s="1"/>
  <c r="H506" i="5"/>
  <c r="D506" i="5" s="1"/>
  <c r="H507" i="5"/>
  <c r="D507" i="5" s="1"/>
  <c r="H508" i="5"/>
  <c r="D508" i="5" s="1"/>
  <c r="H509" i="5"/>
  <c r="D509" i="5" s="1"/>
  <c r="H510" i="5"/>
  <c r="D510" i="5" s="1"/>
  <c r="H511" i="5"/>
  <c r="D511" i="5" s="1"/>
  <c r="H512" i="5"/>
  <c r="D512" i="5" s="1"/>
  <c r="H513" i="5"/>
  <c r="D513" i="5" s="1"/>
  <c r="H514" i="5"/>
  <c r="H515" i="5"/>
  <c r="D515" i="5" s="1"/>
  <c r="H516" i="5"/>
  <c r="D516" i="5" s="1"/>
  <c r="H517" i="5"/>
  <c r="D517" i="5" s="1"/>
  <c r="H518" i="5"/>
  <c r="D518" i="5" s="1"/>
  <c r="H519" i="5"/>
  <c r="D519" i="5" s="1"/>
  <c r="H520" i="5"/>
  <c r="D520" i="5" s="1"/>
  <c r="H521" i="5"/>
  <c r="D521" i="5" s="1"/>
  <c r="H522" i="5"/>
  <c r="D522" i="5" s="1"/>
  <c r="H523" i="5"/>
  <c r="H524" i="5"/>
  <c r="D524" i="5" s="1"/>
  <c r="H525" i="5"/>
  <c r="D525" i="5" s="1"/>
  <c r="H526" i="5"/>
  <c r="D526" i="5" s="1"/>
  <c r="H527" i="5"/>
  <c r="D527" i="5" s="1"/>
  <c r="H528" i="5"/>
  <c r="D528" i="5" s="1"/>
  <c r="H529" i="5"/>
  <c r="D529" i="5" s="1"/>
  <c r="H530" i="5"/>
  <c r="D530" i="5" s="1"/>
  <c r="H531" i="5"/>
  <c r="D531" i="5" s="1"/>
  <c r="H532" i="5"/>
  <c r="D532" i="5" s="1"/>
  <c r="H533" i="5"/>
  <c r="D533" i="5" s="1"/>
  <c r="H534" i="5"/>
  <c r="D534" i="5" s="1"/>
  <c r="H535" i="5"/>
  <c r="H536" i="5"/>
  <c r="D536" i="5" s="1"/>
  <c r="H537" i="5"/>
  <c r="D537" i="5" s="1"/>
  <c r="H538" i="5"/>
  <c r="D538" i="5" s="1"/>
  <c r="H539" i="5"/>
  <c r="D539" i="5" s="1"/>
  <c r="H540" i="5"/>
  <c r="D540" i="5" s="1"/>
  <c r="H541" i="5"/>
  <c r="D541" i="5" s="1"/>
  <c r="H542" i="5"/>
  <c r="D542" i="5" s="1"/>
  <c r="H543" i="5"/>
  <c r="D543" i="5" s="1"/>
  <c r="H544" i="5"/>
  <c r="H545" i="5"/>
  <c r="D545" i="5" s="1"/>
  <c r="H546" i="5"/>
  <c r="D546" i="5" s="1"/>
  <c r="H547" i="5"/>
  <c r="D547" i="5" s="1"/>
  <c r="H548" i="5"/>
  <c r="D548" i="5" s="1"/>
  <c r="H549" i="5"/>
  <c r="D549" i="5" s="1"/>
  <c r="H550" i="5"/>
  <c r="D550" i="5" s="1"/>
  <c r="H551" i="5"/>
  <c r="D551" i="5" s="1"/>
  <c r="H552" i="5"/>
  <c r="D552" i="5" s="1"/>
  <c r="H553" i="5"/>
  <c r="D553" i="5" s="1"/>
  <c r="H554" i="5"/>
  <c r="H555" i="5"/>
  <c r="D555" i="5" s="1"/>
  <c r="H556" i="5"/>
  <c r="H557" i="5"/>
  <c r="D557" i="5" s="1"/>
  <c r="H558" i="5"/>
  <c r="D558" i="5" s="1"/>
  <c r="H559" i="5"/>
  <c r="D559" i="5" s="1"/>
  <c r="H560" i="5"/>
  <c r="D560" i="5" s="1"/>
  <c r="H561" i="5"/>
  <c r="D561" i="5" s="1"/>
  <c r="H562" i="5"/>
  <c r="D562" i="5" s="1"/>
  <c r="H563" i="5"/>
  <c r="H564" i="5"/>
  <c r="D564" i="5" s="1"/>
  <c r="H565" i="5"/>
  <c r="D565" i="5" s="1"/>
  <c r="H566" i="5"/>
  <c r="D566" i="5" s="1"/>
  <c r="H567" i="5"/>
  <c r="D567" i="5" s="1"/>
  <c r="H568" i="5"/>
  <c r="D568" i="5" s="1"/>
  <c r="H569" i="5"/>
  <c r="D569" i="5" s="1"/>
  <c r="H570" i="5"/>
  <c r="D570" i="5" s="1"/>
  <c r="H571" i="5"/>
  <c r="D571" i="5" s="1"/>
  <c r="H572" i="5"/>
  <c r="D572" i="5" s="1"/>
  <c r="H573" i="5"/>
  <c r="D573" i="5" s="1"/>
  <c r="H574" i="5"/>
  <c r="D574" i="5" s="1"/>
  <c r="H575" i="5"/>
  <c r="H576" i="5"/>
  <c r="D576" i="5" s="1"/>
  <c r="H577" i="5"/>
  <c r="D577" i="5" s="1"/>
  <c r="H578" i="5"/>
  <c r="D578" i="5" s="1"/>
  <c r="H579" i="5"/>
  <c r="D579" i="5" s="1"/>
  <c r="H580" i="5"/>
  <c r="D580" i="5" s="1"/>
  <c r="H581" i="5"/>
  <c r="D581" i="5" s="1"/>
  <c r="H582" i="5"/>
  <c r="D582" i="5" s="1"/>
  <c r="H583" i="5"/>
  <c r="D583" i="5" s="1"/>
  <c r="H584" i="5"/>
  <c r="H585" i="5"/>
  <c r="D585" i="5" s="1"/>
  <c r="H586" i="5"/>
  <c r="D586" i="5" s="1"/>
  <c r="H587" i="5"/>
  <c r="D587" i="5" s="1"/>
  <c r="H588" i="5"/>
  <c r="D588" i="5" s="1"/>
  <c r="H589" i="5"/>
  <c r="D589" i="5" s="1"/>
  <c r="H590" i="5"/>
  <c r="D590" i="5" s="1"/>
  <c r="H591" i="5"/>
  <c r="D591" i="5" s="1"/>
  <c r="H592" i="5"/>
  <c r="D592" i="5" s="1"/>
  <c r="H593" i="5"/>
  <c r="D593" i="5" s="1"/>
  <c r="H594" i="5"/>
  <c r="D594" i="5" s="1"/>
  <c r="H595" i="5"/>
  <c r="H596" i="5"/>
  <c r="D596" i="5" s="1"/>
  <c r="H597" i="5"/>
  <c r="D597" i="5" s="1"/>
  <c r="H598" i="5"/>
  <c r="D598" i="5" s="1"/>
  <c r="H599" i="5"/>
  <c r="D599" i="5" s="1"/>
  <c r="H600" i="5"/>
  <c r="D600" i="5" s="1"/>
  <c r="H601" i="5"/>
  <c r="D601" i="5" s="1"/>
  <c r="H602" i="5"/>
  <c r="D602" i="5" s="1"/>
  <c r="H603" i="5"/>
  <c r="D603" i="5" s="1"/>
  <c r="H604" i="5"/>
  <c r="H605" i="5"/>
  <c r="D605" i="5" s="1"/>
  <c r="H606" i="5"/>
  <c r="D606" i="5" s="1"/>
  <c r="H607" i="5"/>
  <c r="D607" i="5" s="1"/>
  <c r="H608" i="5"/>
  <c r="D608" i="5" s="1"/>
  <c r="H609" i="5"/>
  <c r="D609" i="5" s="1"/>
  <c r="H610" i="5"/>
  <c r="D610" i="5" s="1"/>
  <c r="H611" i="5"/>
  <c r="D611" i="5" s="1"/>
  <c r="H612" i="5"/>
  <c r="D612" i="5" s="1"/>
  <c r="H613" i="5"/>
  <c r="D613" i="5" s="1"/>
  <c r="H614" i="5"/>
  <c r="D614" i="5" s="1"/>
  <c r="H615" i="5"/>
  <c r="D615" i="5" s="1"/>
  <c r="H616" i="5"/>
  <c r="H617" i="5"/>
  <c r="D617" i="5" s="1"/>
  <c r="H618" i="5"/>
  <c r="D618" i="5" s="1"/>
  <c r="H619" i="5"/>
  <c r="D619" i="5" s="1"/>
  <c r="H620" i="5"/>
  <c r="D620" i="5" s="1"/>
  <c r="H621" i="5"/>
  <c r="D621" i="5" s="1"/>
  <c r="H622" i="5"/>
  <c r="D622" i="5" s="1"/>
  <c r="H623" i="5"/>
  <c r="D623" i="5" s="1"/>
  <c r="H624" i="5"/>
  <c r="D624" i="5" s="1"/>
  <c r="H625" i="5"/>
  <c r="H626" i="5"/>
  <c r="D626" i="5" s="1"/>
  <c r="H627" i="5"/>
  <c r="D627" i="5" s="1"/>
  <c r="H628" i="5"/>
  <c r="D628" i="5" s="1"/>
  <c r="H629" i="5"/>
  <c r="D629" i="5" s="1"/>
  <c r="H630" i="5"/>
  <c r="D630" i="5" s="1"/>
  <c r="H631" i="5"/>
  <c r="D631" i="5" s="1"/>
  <c r="H632" i="5"/>
  <c r="D632" i="5" s="1"/>
  <c r="H633" i="5"/>
  <c r="D633" i="5" s="1"/>
  <c r="H634" i="5"/>
  <c r="D634" i="5" s="1"/>
  <c r="H635" i="5"/>
  <c r="H636" i="5"/>
  <c r="D636" i="5" s="1"/>
  <c r="H637" i="5"/>
  <c r="D637" i="5" s="1"/>
  <c r="H638" i="5"/>
  <c r="D638" i="5" s="1"/>
  <c r="H639" i="5"/>
  <c r="D639" i="5" s="1"/>
  <c r="H640" i="5"/>
  <c r="D640" i="5" s="1"/>
  <c r="H641" i="5"/>
  <c r="H642" i="5"/>
  <c r="D642" i="5" s="1"/>
  <c r="H643" i="5"/>
  <c r="D643" i="5" s="1"/>
  <c r="H644" i="5"/>
  <c r="D644" i="5" s="1"/>
  <c r="H645" i="5"/>
  <c r="D645" i="5" s="1"/>
  <c r="H646" i="5"/>
  <c r="D646" i="5" s="1"/>
  <c r="H647" i="5"/>
  <c r="D647" i="5" s="1"/>
  <c r="H648" i="5"/>
  <c r="D648" i="5" s="1"/>
  <c r="H649" i="5"/>
  <c r="H650" i="5"/>
  <c r="D650" i="5" s="1"/>
  <c r="H651" i="5"/>
  <c r="D651" i="5" s="1"/>
  <c r="H652" i="5"/>
  <c r="D652" i="5" s="1"/>
  <c r="H653" i="5"/>
  <c r="D653" i="5" s="1"/>
  <c r="H654" i="5"/>
  <c r="D654" i="5" s="1"/>
  <c r="H655" i="5"/>
  <c r="H656" i="5"/>
  <c r="D656" i="5" s="1"/>
  <c r="H657" i="5"/>
  <c r="D657" i="5" s="1"/>
  <c r="H658" i="5"/>
  <c r="D658" i="5" s="1"/>
  <c r="H659" i="5"/>
  <c r="D659" i="5" s="1"/>
  <c r="H660" i="5"/>
  <c r="D660" i="5" s="1"/>
  <c r="H661" i="5"/>
  <c r="D661" i="5" s="1"/>
  <c r="H662" i="5"/>
  <c r="H663" i="5"/>
  <c r="D663" i="5" s="1"/>
  <c r="H664" i="5"/>
  <c r="H665" i="5"/>
  <c r="D665" i="5" s="1"/>
  <c r="H666" i="5"/>
  <c r="D666" i="5" s="1"/>
  <c r="H667" i="5"/>
  <c r="D667" i="5" s="1"/>
  <c r="H668" i="5"/>
  <c r="H669" i="5"/>
  <c r="D669" i="5" s="1"/>
  <c r="H670" i="5"/>
  <c r="D670" i="5" s="1"/>
  <c r="H671" i="5"/>
  <c r="D671" i="5" s="1"/>
  <c r="H672" i="5"/>
  <c r="D672" i="5" s="1"/>
  <c r="H673" i="5"/>
  <c r="D673" i="5" s="1"/>
  <c r="H674" i="5"/>
  <c r="D674" i="5" s="1"/>
  <c r="H675" i="5"/>
  <c r="D675" i="5" s="1"/>
  <c r="H676" i="5"/>
  <c r="H677" i="5"/>
  <c r="D677" i="5" s="1"/>
  <c r="H678" i="5"/>
  <c r="D678" i="5" s="1"/>
  <c r="H679" i="5"/>
  <c r="D679" i="5" s="1"/>
  <c r="H680" i="5"/>
  <c r="D680" i="5" s="1"/>
  <c r="H681" i="5"/>
  <c r="D681" i="5" s="1"/>
  <c r="H682" i="5"/>
  <c r="H683" i="5"/>
  <c r="D683" i="5" s="1"/>
  <c r="H684" i="5"/>
  <c r="D684" i="5" s="1"/>
  <c r="H685" i="5"/>
  <c r="D685" i="5" s="1"/>
  <c r="H686" i="5"/>
  <c r="D686" i="5" s="1"/>
  <c r="H687" i="5"/>
  <c r="D687" i="5" s="1"/>
  <c r="H688" i="5"/>
  <c r="D688" i="5" s="1"/>
  <c r="H689" i="5"/>
  <c r="H690" i="5"/>
  <c r="D690" i="5" s="1"/>
  <c r="H691" i="5"/>
  <c r="D691" i="5" s="1"/>
  <c r="H692" i="5"/>
  <c r="D692" i="5" s="1"/>
  <c r="H693" i="5"/>
  <c r="D693" i="5" s="1"/>
  <c r="H694" i="5"/>
  <c r="D694" i="5" s="1"/>
  <c r="H695" i="5"/>
  <c r="H696" i="5"/>
  <c r="D696" i="5" s="1"/>
  <c r="H697" i="5"/>
  <c r="D697" i="5" s="1"/>
  <c r="H698" i="5"/>
  <c r="D698" i="5" s="1"/>
  <c r="H699" i="5"/>
  <c r="D699" i="5" s="1"/>
  <c r="H700" i="5"/>
  <c r="D700" i="5" s="1"/>
  <c r="H701" i="5"/>
  <c r="D701" i="5" s="1"/>
  <c r="H702" i="5"/>
  <c r="D702" i="5" s="1"/>
  <c r="H703" i="5"/>
  <c r="H704" i="5"/>
  <c r="D704" i="5" s="1"/>
  <c r="H705" i="5"/>
  <c r="D705" i="5" s="1"/>
  <c r="H706" i="5"/>
  <c r="D706" i="5" s="1"/>
  <c r="H707" i="5"/>
  <c r="D707" i="5" s="1"/>
  <c r="H708" i="5"/>
  <c r="D708" i="5" s="1"/>
  <c r="H709" i="5"/>
  <c r="H710" i="5"/>
  <c r="D710" i="5" s="1"/>
  <c r="H711" i="5"/>
  <c r="D711" i="5" s="1"/>
  <c r="H712" i="5"/>
  <c r="D712" i="5" s="1"/>
  <c r="H713" i="5"/>
  <c r="D713" i="5" s="1"/>
  <c r="H714" i="5"/>
  <c r="D714" i="5" s="1"/>
  <c r="H715" i="5"/>
  <c r="D715" i="5" s="1"/>
  <c r="H716" i="5"/>
  <c r="H717" i="5"/>
  <c r="D717" i="5" s="1"/>
  <c r="H718" i="5"/>
  <c r="D718" i="5" s="1"/>
  <c r="H719" i="5"/>
  <c r="D719" i="5" s="1"/>
  <c r="H720" i="5"/>
  <c r="D720" i="5" s="1"/>
  <c r="H721" i="5"/>
  <c r="D721" i="5" s="1"/>
  <c r="H722" i="5"/>
  <c r="H723" i="5"/>
  <c r="D723" i="5" s="1"/>
  <c r="H724" i="5"/>
  <c r="D724" i="5" s="1"/>
  <c r="H725" i="5"/>
  <c r="D725" i="5" s="1"/>
  <c r="H726" i="5"/>
  <c r="D726" i="5" s="1"/>
  <c r="H727" i="5"/>
  <c r="D727" i="5" s="1"/>
  <c r="H728" i="5"/>
  <c r="D728" i="5" s="1"/>
  <c r="H729" i="5"/>
  <c r="D729" i="5" s="1"/>
  <c r="H730" i="5"/>
  <c r="H731" i="5"/>
  <c r="D731" i="5" s="1"/>
  <c r="H732" i="5"/>
  <c r="D732" i="5" s="1"/>
  <c r="H733" i="5"/>
  <c r="D733" i="5" s="1"/>
  <c r="H734" i="5"/>
  <c r="D734" i="5" s="1"/>
  <c r="H735" i="5"/>
  <c r="D735" i="5" s="1"/>
  <c r="H736" i="5"/>
  <c r="H737" i="5"/>
  <c r="D737" i="5" s="1"/>
  <c r="H738" i="5"/>
  <c r="D738" i="5" s="1"/>
  <c r="H739" i="5"/>
  <c r="D739" i="5" s="1"/>
  <c r="H740" i="5"/>
  <c r="D740" i="5" s="1"/>
  <c r="H741" i="5"/>
  <c r="D741" i="5" s="1"/>
  <c r="H742" i="5"/>
  <c r="D742" i="5" s="1"/>
  <c r="H743" i="5"/>
  <c r="H744" i="5"/>
  <c r="D744" i="5" s="1"/>
  <c r="H745" i="5"/>
  <c r="D745" i="5" s="1"/>
  <c r="H746" i="5"/>
  <c r="D746" i="5" s="1"/>
  <c r="H747" i="5"/>
  <c r="D747" i="5" s="1"/>
  <c r="H748" i="5"/>
  <c r="D748" i="5" s="1"/>
  <c r="H749" i="5"/>
  <c r="H750" i="5"/>
  <c r="D750" i="5" s="1"/>
  <c r="H751" i="5"/>
  <c r="D751" i="5" s="1"/>
  <c r="H752" i="5"/>
  <c r="D752" i="5" s="1"/>
  <c r="H753" i="5"/>
  <c r="D753" i="5" s="1"/>
  <c r="H754" i="5"/>
  <c r="D754" i="5" s="1"/>
  <c r="H755" i="5"/>
  <c r="D755" i="5" s="1"/>
  <c r="H756" i="5"/>
  <c r="D756" i="5" s="1"/>
  <c r="H757" i="5"/>
  <c r="H758" i="5"/>
  <c r="D758" i="5" s="1"/>
  <c r="H759" i="5"/>
  <c r="D759" i="5" s="1"/>
  <c r="H760" i="5"/>
  <c r="D760" i="5" s="1"/>
  <c r="H761" i="5"/>
  <c r="D761" i="5" s="1"/>
  <c r="H762" i="5"/>
  <c r="D762" i="5" s="1"/>
  <c r="H763" i="5"/>
  <c r="H764" i="5"/>
  <c r="D764" i="5" s="1"/>
  <c r="H765" i="5"/>
  <c r="D765" i="5" s="1"/>
  <c r="H766" i="5"/>
  <c r="D766" i="5" s="1"/>
  <c r="H767" i="5"/>
  <c r="D767" i="5" s="1"/>
  <c r="H768" i="5"/>
  <c r="D768" i="5" s="1"/>
  <c r="H769" i="5"/>
  <c r="D769" i="5" s="1"/>
  <c r="H770" i="5"/>
  <c r="H771" i="5"/>
  <c r="D771" i="5" s="1"/>
  <c r="H772" i="5"/>
  <c r="D772" i="5" s="1"/>
  <c r="H773" i="5"/>
  <c r="D773" i="5" s="1"/>
  <c r="H774" i="5"/>
  <c r="D774" i="5" s="1"/>
  <c r="H775" i="5"/>
  <c r="D775" i="5" s="1"/>
  <c r="H776" i="5"/>
  <c r="H777" i="5"/>
  <c r="D777" i="5" s="1"/>
  <c r="H778" i="5"/>
  <c r="D778" i="5" s="1"/>
  <c r="H779" i="5"/>
  <c r="D779" i="5" s="1"/>
  <c r="H780" i="5"/>
  <c r="D780" i="5" s="1"/>
  <c r="H781" i="5"/>
  <c r="D781" i="5" s="1"/>
  <c r="H782" i="5"/>
  <c r="D782" i="5" s="1"/>
  <c r="H783" i="5"/>
  <c r="D783" i="5" s="1"/>
  <c r="H784" i="5"/>
  <c r="H785" i="5"/>
  <c r="D785" i="5" s="1"/>
  <c r="H786" i="5"/>
  <c r="D786" i="5" s="1"/>
  <c r="H787" i="5"/>
  <c r="D787" i="5" s="1"/>
  <c r="H788" i="5"/>
  <c r="D788" i="5" s="1"/>
  <c r="H789" i="5"/>
  <c r="D789" i="5" s="1"/>
  <c r="H790" i="5"/>
  <c r="H791" i="5"/>
  <c r="D791" i="5" s="1"/>
  <c r="H792" i="5"/>
  <c r="D792" i="5" s="1"/>
  <c r="H793" i="5"/>
  <c r="D793" i="5" s="1"/>
  <c r="H794" i="5"/>
  <c r="D794" i="5" s="1"/>
  <c r="H795" i="5"/>
  <c r="D795" i="5" s="1"/>
  <c r="H796" i="5"/>
  <c r="D796" i="5" s="1"/>
  <c r="H797" i="5"/>
  <c r="H798" i="5"/>
  <c r="D798" i="5" s="1"/>
  <c r="H799" i="5"/>
  <c r="D799" i="5" s="1"/>
  <c r="H800" i="5"/>
  <c r="D800" i="5" s="1"/>
  <c r="H801" i="5"/>
  <c r="D801" i="5" s="1"/>
  <c r="H802" i="5"/>
  <c r="D802" i="5" s="1"/>
  <c r="H803" i="5"/>
  <c r="H804" i="5"/>
  <c r="D804" i="5" s="1"/>
  <c r="H805" i="5"/>
  <c r="D805" i="5" s="1"/>
  <c r="H806" i="5"/>
  <c r="D806" i="5" s="1"/>
  <c r="H807" i="5"/>
  <c r="D807" i="5" s="1"/>
  <c r="H808" i="5"/>
  <c r="D808" i="5" s="1"/>
  <c r="H809" i="5"/>
  <c r="D809" i="5" s="1"/>
  <c r="H810" i="5"/>
  <c r="D810" i="5" s="1"/>
  <c r="H811" i="5"/>
  <c r="H812" i="5"/>
  <c r="D812" i="5" s="1"/>
  <c r="H813" i="5"/>
  <c r="D813" i="5" s="1"/>
  <c r="H814" i="5"/>
  <c r="D814" i="5" s="1"/>
  <c r="H815" i="5"/>
  <c r="D815" i="5" s="1"/>
  <c r="H816" i="5"/>
  <c r="D816" i="5" s="1"/>
  <c r="H817" i="5"/>
  <c r="H818" i="5"/>
  <c r="D818" i="5" s="1"/>
  <c r="H819" i="5"/>
  <c r="D819" i="5" s="1"/>
  <c r="H820" i="5"/>
  <c r="D820" i="5" s="1"/>
  <c r="H821" i="5"/>
  <c r="D821" i="5" s="1"/>
  <c r="H822" i="5"/>
  <c r="D822" i="5" s="1"/>
  <c r="H823" i="5"/>
  <c r="D823" i="5" s="1"/>
  <c r="H824" i="5"/>
  <c r="H825" i="5"/>
  <c r="D825" i="5" s="1"/>
  <c r="H826" i="5"/>
  <c r="D826" i="5" s="1"/>
  <c r="H827" i="5"/>
  <c r="D827" i="5" s="1"/>
  <c r="H828" i="5"/>
  <c r="D828" i="5" s="1"/>
  <c r="H829" i="5"/>
  <c r="D829" i="5" s="1"/>
  <c r="H830" i="5"/>
  <c r="H831" i="5"/>
  <c r="D831" i="5" s="1"/>
  <c r="H832" i="5"/>
  <c r="D832" i="5" s="1"/>
  <c r="H833" i="5"/>
  <c r="D833" i="5" s="1"/>
  <c r="H834" i="5"/>
  <c r="D834" i="5" s="1"/>
  <c r="H835" i="5"/>
  <c r="D835" i="5" s="1"/>
  <c r="H836" i="5"/>
  <c r="D836" i="5" s="1"/>
  <c r="H837" i="5"/>
  <c r="D837" i="5" s="1"/>
  <c r="H838" i="5"/>
  <c r="H839" i="5"/>
  <c r="D839" i="5" s="1"/>
  <c r="H840" i="5"/>
  <c r="D840" i="5" s="1"/>
  <c r="H841" i="5"/>
  <c r="D841" i="5" s="1"/>
  <c r="H842" i="5"/>
  <c r="D842" i="5" s="1"/>
  <c r="H843" i="5"/>
  <c r="D843" i="5" s="1"/>
  <c r="H844" i="5"/>
  <c r="H845" i="5"/>
  <c r="D845" i="5" s="1"/>
  <c r="H846" i="5"/>
  <c r="D846" i="5" s="1"/>
  <c r="H847" i="5"/>
  <c r="D847" i="5" s="1"/>
  <c r="H848" i="5"/>
  <c r="D848" i="5" s="1"/>
  <c r="H849" i="5"/>
  <c r="D849" i="5" s="1"/>
  <c r="H850" i="5"/>
  <c r="D850" i="5" s="1"/>
  <c r="H851" i="5"/>
  <c r="H852" i="5"/>
  <c r="D852" i="5" s="1"/>
  <c r="H853" i="5"/>
  <c r="D853" i="5" s="1"/>
  <c r="H854" i="5"/>
  <c r="D854" i="5" s="1"/>
  <c r="H855" i="5"/>
  <c r="D855" i="5" s="1"/>
  <c r="H856" i="5"/>
  <c r="D856" i="5" s="1"/>
  <c r="H857" i="5"/>
  <c r="H858" i="5"/>
  <c r="D858" i="5" s="1"/>
  <c r="H859" i="5"/>
  <c r="D859" i="5" s="1"/>
  <c r="H860" i="5"/>
  <c r="D860" i="5" s="1"/>
  <c r="H861" i="5"/>
  <c r="D861" i="5" s="1"/>
  <c r="H862" i="5"/>
  <c r="H863" i="5"/>
  <c r="D863" i="5" s="1"/>
  <c r="H864" i="5"/>
  <c r="D864" i="5" s="1"/>
  <c r="H865" i="5"/>
  <c r="D865" i="5" s="1"/>
  <c r="H866" i="5"/>
  <c r="H867" i="5"/>
  <c r="D867" i="5" s="1"/>
  <c r="H868" i="5"/>
  <c r="D868" i="5" s="1"/>
  <c r="H869" i="5"/>
  <c r="D869" i="5" s="1"/>
  <c r="H870" i="5"/>
  <c r="D870" i="5" s="1"/>
  <c r="H871" i="5"/>
  <c r="H872" i="5"/>
  <c r="D872" i="5" s="1"/>
  <c r="H873" i="5"/>
  <c r="D873" i="5" s="1"/>
  <c r="H874" i="5"/>
  <c r="D874" i="5" s="1"/>
  <c r="H875" i="5"/>
  <c r="H876" i="5"/>
  <c r="D876" i="5" s="1"/>
  <c r="H877" i="5"/>
  <c r="D877" i="5" s="1"/>
  <c r="H878" i="5"/>
  <c r="D878" i="5" s="1"/>
  <c r="H879" i="5"/>
  <c r="D879" i="5" s="1"/>
  <c r="H880" i="5"/>
  <c r="H881" i="5"/>
  <c r="D881" i="5" s="1"/>
  <c r="H882" i="5"/>
  <c r="D882" i="5" s="1"/>
  <c r="H883" i="5"/>
  <c r="D883" i="5" s="1"/>
  <c r="H884" i="5"/>
  <c r="H885" i="5"/>
  <c r="D885" i="5" s="1"/>
  <c r="H886" i="5"/>
  <c r="D886" i="5" s="1"/>
  <c r="H887" i="5"/>
  <c r="D887" i="5" s="1"/>
  <c r="H888" i="5"/>
  <c r="D888" i="5" s="1"/>
  <c r="H889" i="5"/>
  <c r="H890" i="5"/>
  <c r="D890" i="5" s="1"/>
  <c r="H891" i="5"/>
  <c r="D891" i="5" s="1"/>
  <c r="H892" i="5"/>
  <c r="D892" i="5" s="1"/>
  <c r="H893" i="5"/>
  <c r="H894" i="5"/>
  <c r="D894" i="5" s="1"/>
  <c r="H895" i="5"/>
  <c r="D895" i="5" s="1"/>
  <c r="H896" i="5"/>
  <c r="D896" i="5" s="1"/>
  <c r="H897" i="5"/>
  <c r="D897" i="5" s="1"/>
  <c r="H898" i="5"/>
  <c r="H899" i="5"/>
  <c r="D899" i="5" s="1"/>
  <c r="H900" i="5"/>
  <c r="D900" i="5" s="1"/>
  <c r="H901" i="5"/>
  <c r="D901" i="5" s="1"/>
  <c r="H902" i="5"/>
  <c r="H903" i="5"/>
  <c r="D903" i="5" s="1"/>
  <c r="H904" i="5"/>
  <c r="D904" i="5" s="1"/>
  <c r="H905" i="5"/>
  <c r="D905" i="5" s="1"/>
  <c r="H906" i="5"/>
  <c r="D906" i="5" s="1"/>
  <c r="H907" i="5"/>
  <c r="H908" i="5"/>
  <c r="D908" i="5" s="1"/>
  <c r="H909" i="5"/>
  <c r="D909" i="5" s="1"/>
  <c r="H910" i="5"/>
  <c r="D910" i="5" s="1"/>
  <c r="H911" i="5"/>
  <c r="H912" i="5"/>
  <c r="D912" i="5" s="1"/>
  <c r="H913" i="5"/>
  <c r="D913" i="5" s="1"/>
  <c r="H914" i="5"/>
  <c r="D914" i="5" s="1"/>
  <c r="H915" i="5"/>
  <c r="D915" i="5" s="1"/>
  <c r="H916" i="5"/>
  <c r="H917" i="5"/>
  <c r="D917" i="5" s="1"/>
  <c r="H918" i="5"/>
  <c r="D918" i="5" s="1"/>
  <c r="H919" i="5"/>
  <c r="D919" i="5" s="1"/>
  <c r="H920" i="5"/>
  <c r="H921" i="5"/>
  <c r="D921" i="5" s="1"/>
  <c r="H922" i="5"/>
  <c r="D922" i="5" s="1"/>
  <c r="H923" i="5"/>
  <c r="D923" i="5" s="1"/>
  <c r="H924" i="5"/>
  <c r="D924" i="5" s="1"/>
  <c r="H925" i="5"/>
  <c r="H926" i="5"/>
  <c r="D926" i="5" s="1"/>
  <c r="H927" i="5"/>
  <c r="D927" i="5" s="1"/>
  <c r="H928" i="5"/>
  <c r="D928" i="5" s="1"/>
  <c r="H929" i="5"/>
  <c r="H930" i="5"/>
  <c r="D930" i="5" s="1"/>
  <c r="H931" i="5"/>
  <c r="D931" i="5" s="1"/>
  <c r="H932" i="5"/>
  <c r="D932" i="5" s="1"/>
  <c r="H933" i="5"/>
  <c r="D933" i="5" s="1"/>
  <c r="H934" i="5"/>
  <c r="H935" i="5"/>
  <c r="D935" i="5" s="1"/>
  <c r="H936" i="5"/>
  <c r="D936" i="5" s="1"/>
  <c r="H937" i="5"/>
  <c r="D937" i="5" s="1"/>
  <c r="H938" i="5"/>
  <c r="H939" i="5"/>
  <c r="D939" i="5" s="1"/>
  <c r="H940" i="5"/>
  <c r="D940" i="5" s="1"/>
  <c r="H941" i="5"/>
  <c r="D941" i="5" s="1"/>
  <c r="H942" i="5"/>
  <c r="D942" i="5" s="1"/>
  <c r="H943" i="5"/>
  <c r="H944" i="5"/>
  <c r="D944" i="5" s="1"/>
  <c r="H945" i="5"/>
  <c r="D945" i="5" s="1"/>
  <c r="H946" i="5"/>
  <c r="D946" i="5" s="1"/>
  <c r="H947" i="5"/>
  <c r="H948" i="5"/>
  <c r="D948" i="5" s="1"/>
  <c r="H949" i="5"/>
  <c r="D949" i="5" s="1"/>
  <c r="H950" i="5"/>
  <c r="D950" i="5" s="1"/>
  <c r="H951" i="5"/>
  <c r="D951" i="5" s="1"/>
  <c r="H952" i="5"/>
  <c r="H953" i="5"/>
  <c r="D953" i="5" s="1"/>
  <c r="H954" i="5"/>
  <c r="D954" i="5" s="1"/>
  <c r="H955" i="5"/>
  <c r="D955" i="5" s="1"/>
  <c r="H956" i="5"/>
  <c r="H957" i="5"/>
  <c r="D957" i="5" s="1"/>
  <c r="H958" i="5"/>
  <c r="D958" i="5" s="1"/>
  <c r="H959" i="5"/>
  <c r="D959" i="5" s="1"/>
  <c r="H960" i="5"/>
  <c r="D960" i="5" s="1"/>
  <c r="H961" i="5"/>
  <c r="H962" i="5"/>
  <c r="D962" i="5" s="1"/>
  <c r="H963" i="5"/>
  <c r="D963" i="5" s="1"/>
  <c r="H964" i="5"/>
  <c r="D964" i="5" s="1"/>
  <c r="H965" i="5"/>
  <c r="H966" i="5"/>
  <c r="D966" i="5" s="1"/>
  <c r="H967" i="5"/>
  <c r="D967" i="5" s="1"/>
  <c r="H968" i="5"/>
  <c r="D968" i="5" s="1"/>
  <c r="H969" i="5"/>
  <c r="D969" i="5" s="1"/>
  <c r="H970" i="5"/>
  <c r="H971" i="5"/>
  <c r="D971" i="5" s="1"/>
  <c r="H972" i="5"/>
  <c r="D972" i="5" s="1"/>
  <c r="H973" i="5"/>
  <c r="D973" i="5" s="1"/>
  <c r="H974" i="5"/>
  <c r="H975" i="5"/>
  <c r="D975" i="5" s="1"/>
  <c r="H976" i="5"/>
  <c r="D976" i="5" s="1"/>
  <c r="H977" i="5"/>
  <c r="D977" i="5" s="1"/>
  <c r="H978" i="5"/>
  <c r="D978" i="5" s="1"/>
  <c r="H979" i="5"/>
  <c r="H980" i="5"/>
  <c r="D980" i="5" s="1"/>
  <c r="H981" i="5"/>
  <c r="D981" i="5" s="1"/>
  <c r="H982" i="5"/>
  <c r="D982" i="5" s="1"/>
  <c r="H983" i="5"/>
  <c r="H984" i="5"/>
  <c r="D984" i="5" s="1"/>
  <c r="H985" i="5"/>
  <c r="D985" i="5" s="1"/>
  <c r="H986" i="5"/>
  <c r="D986" i="5" s="1"/>
  <c r="H987" i="5"/>
  <c r="D987" i="5" s="1"/>
  <c r="H988" i="5"/>
  <c r="H989" i="5"/>
  <c r="D989" i="5" s="1"/>
  <c r="H990" i="5"/>
  <c r="D990" i="5" s="1"/>
  <c r="H991" i="5"/>
  <c r="D991" i="5" s="1"/>
  <c r="H992" i="5"/>
  <c r="H993" i="5"/>
  <c r="D993" i="5" s="1"/>
  <c r="H994" i="5"/>
  <c r="D994" i="5" s="1"/>
  <c r="H995" i="5"/>
  <c r="D995" i="5" s="1"/>
  <c r="H996" i="5"/>
  <c r="D996" i="5" s="1"/>
  <c r="H997" i="5"/>
  <c r="H998" i="5"/>
  <c r="D998" i="5" s="1"/>
  <c r="H999" i="5"/>
  <c r="D999" i="5" s="1"/>
  <c r="H1000" i="5"/>
  <c r="D1000" i="5" s="1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3" i="5"/>
  <c r="J4" i="5"/>
  <c r="K4" i="5"/>
  <c r="L4" i="5"/>
  <c r="M4" i="5"/>
  <c r="J5" i="5"/>
  <c r="K5" i="5"/>
  <c r="L5" i="5"/>
  <c r="M5" i="5"/>
  <c r="J6" i="5"/>
  <c r="K6" i="5"/>
  <c r="L6" i="5"/>
  <c r="M6" i="5"/>
  <c r="J7" i="5"/>
  <c r="K7" i="5"/>
  <c r="L7" i="5"/>
  <c r="M7" i="5"/>
  <c r="J8" i="5"/>
  <c r="K8" i="5"/>
  <c r="L8" i="5"/>
  <c r="M8" i="5"/>
  <c r="J9" i="5"/>
  <c r="K9" i="5"/>
  <c r="L9" i="5"/>
  <c r="M9" i="5"/>
  <c r="J10" i="5"/>
  <c r="K10" i="5"/>
  <c r="L10" i="5"/>
  <c r="M10" i="5"/>
  <c r="J11" i="5"/>
  <c r="K11" i="5"/>
  <c r="L11" i="5"/>
  <c r="M11" i="5"/>
  <c r="J12" i="5"/>
  <c r="K12" i="5"/>
  <c r="L12" i="5"/>
  <c r="M12" i="5"/>
  <c r="J13" i="5"/>
  <c r="K13" i="5"/>
  <c r="L13" i="5"/>
  <c r="M13" i="5"/>
  <c r="J14" i="5"/>
  <c r="K14" i="5"/>
  <c r="L14" i="5"/>
  <c r="M14" i="5"/>
  <c r="J15" i="5"/>
  <c r="K15" i="5"/>
  <c r="L15" i="5"/>
  <c r="M15" i="5"/>
  <c r="J17" i="5"/>
  <c r="K17" i="5"/>
  <c r="L17" i="5"/>
  <c r="M17" i="5"/>
  <c r="J18" i="5"/>
  <c r="K18" i="5"/>
  <c r="L18" i="5"/>
  <c r="M18" i="5"/>
  <c r="J19" i="5"/>
  <c r="K19" i="5"/>
  <c r="L19" i="5"/>
  <c r="M19" i="5"/>
  <c r="J20" i="5"/>
  <c r="K20" i="5"/>
  <c r="L20" i="5"/>
  <c r="M20" i="5"/>
  <c r="J21" i="5"/>
  <c r="K21" i="5"/>
  <c r="L21" i="5"/>
  <c r="M21" i="5"/>
  <c r="J22" i="5"/>
  <c r="K22" i="5"/>
  <c r="L22" i="5"/>
  <c r="M22" i="5"/>
  <c r="J23" i="5"/>
  <c r="K23" i="5"/>
  <c r="L23" i="5"/>
  <c r="M23" i="5"/>
  <c r="J24" i="5"/>
  <c r="K24" i="5"/>
  <c r="L24" i="5"/>
  <c r="M24" i="5"/>
  <c r="J25" i="5"/>
  <c r="K25" i="5"/>
  <c r="L25" i="5"/>
  <c r="M25" i="5"/>
  <c r="J26" i="5"/>
  <c r="K26" i="5"/>
  <c r="L26" i="5"/>
  <c r="M26" i="5"/>
  <c r="J27" i="5"/>
  <c r="K27" i="5"/>
  <c r="L27" i="5"/>
  <c r="M27" i="5"/>
  <c r="J28" i="5"/>
  <c r="K28" i="5"/>
  <c r="L28" i="5"/>
  <c r="M28" i="5"/>
  <c r="J29" i="5"/>
  <c r="K29" i="5"/>
  <c r="L29" i="5"/>
  <c r="M29" i="5"/>
  <c r="J30" i="5"/>
  <c r="K30" i="5"/>
  <c r="L30" i="5"/>
  <c r="M30" i="5"/>
  <c r="J31" i="5"/>
  <c r="K31" i="5"/>
  <c r="L31" i="5"/>
  <c r="M31" i="5"/>
  <c r="J32" i="5"/>
  <c r="K32" i="5"/>
  <c r="L32" i="5"/>
  <c r="M32" i="5"/>
  <c r="J33" i="5"/>
  <c r="K33" i="5"/>
  <c r="L33" i="5"/>
  <c r="M33" i="5"/>
  <c r="J34" i="5"/>
  <c r="K34" i="5"/>
  <c r="L34" i="5"/>
  <c r="M34" i="5"/>
  <c r="J35" i="5"/>
  <c r="K35" i="5"/>
  <c r="L35" i="5"/>
  <c r="M35" i="5"/>
  <c r="J36" i="5"/>
  <c r="K36" i="5"/>
  <c r="L36" i="5"/>
  <c r="M36" i="5"/>
  <c r="J37" i="5"/>
  <c r="K37" i="5"/>
  <c r="L37" i="5"/>
  <c r="M37" i="5"/>
  <c r="J38" i="5"/>
  <c r="K38" i="5"/>
  <c r="L38" i="5"/>
  <c r="M38" i="5"/>
  <c r="J39" i="5"/>
  <c r="K39" i="5"/>
  <c r="L39" i="5"/>
  <c r="M39" i="5"/>
  <c r="J40" i="5"/>
  <c r="K40" i="5"/>
  <c r="L40" i="5"/>
  <c r="M40" i="5"/>
  <c r="J41" i="5"/>
  <c r="K41" i="5"/>
  <c r="L41" i="5"/>
  <c r="M41" i="5"/>
  <c r="J42" i="5"/>
  <c r="K42" i="5"/>
  <c r="L42" i="5"/>
  <c r="M42" i="5"/>
  <c r="J43" i="5"/>
  <c r="K43" i="5"/>
  <c r="L43" i="5"/>
  <c r="M43" i="5"/>
  <c r="J44" i="5"/>
  <c r="K44" i="5"/>
  <c r="L44" i="5"/>
  <c r="M44" i="5"/>
  <c r="J45" i="5"/>
  <c r="K45" i="5"/>
  <c r="L45" i="5"/>
  <c r="M45" i="5"/>
  <c r="J46" i="5"/>
  <c r="K46" i="5"/>
  <c r="L46" i="5"/>
  <c r="M46" i="5"/>
  <c r="J47" i="5"/>
  <c r="K47" i="5"/>
  <c r="L47" i="5"/>
  <c r="M47" i="5"/>
  <c r="J48" i="5"/>
  <c r="K48" i="5"/>
  <c r="L48" i="5"/>
  <c r="M48" i="5"/>
  <c r="J49" i="5"/>
  <c r="K49" i="5"/>
  <c r="L49" i="5"/>
  <c r="M49" i="5"/>
  <c r="J50" i="5"/>
  <c r="K50" i="5"/>
  <c r="L50" i="5"/>
  <c r="M50" i="5"/>
  <c r="J51" i="5"/>
  <c r="K51" i="5"/>
  <c r="L51" i="5"/>
  <c r="M51" i="5"/>
  <c r="J52" i="5"/>
  <c r="K52" i="5"/>
  <c r="L52" i="5"/>
  <c r="M52" i="5"/>
  <c r="J53" i="5"/>
  <c r="K53" i="5"/>
  <c r="L53" i="5"/>
  <c r="M53" i="5"/>
  <c r="J54" i="5"/>
  <c r="K54" i="5"/>
  <c r="L54" i="5"/>
  <c r="M54" i="5"/>
  <c r="J55" i="5"/>
  <c r="K55" i="5"/>
  <c r="L55" i="5"/>
  <c r="M55" i="5"/>
  <c r="J56" i="5"/>
  <c r="K56" i="5"/>
  <c r="L56" i="5"/>
  <c r="M56" i="5"/>
  <c r="J57" i="5"/>
  <c r="K57" i="5"/>
  <c r="L57" i="5"/>
  <c r="M57" i="5"/>
  <c r="J58" i="5"/>
  <c r="K58" i="5"/>
  <c r="L58" i="5"/>
  <c r="M58" i="5"/>
  <c r="J59" i="5"/>
  <c r="K59" i="5"/>
  <c r="L59" i="5"/>
  <c r="M59" i="5"/>
  <c r="J60" i="5"/>
  <c r="K60" i="5"/>
  <c r="L60" i="5"/>
  <c r="M60" i="5"/>
  <c r="J61" i="5"/>
  <c r="K61" i="5"/>
  <c r="L61" i="5"/>
  <c r="M61" i="5"/>
  <c r="J62" i="5"/>
  <c r="K62" i="5"/>
  <c r="L62" i="5"/>
  <c r="M62" i="5"/>
  <c r="J63" i="5"/>
  <c r="K63" i="5"/>
  <c r="L63" i="5"/>
  <c r="M63" i="5"/>
  <c r="J64" i="5"/>
  <c r="K64" i="5"/>
  <c r="L64" i="5"/>
  <c r="M64" i="5"/>
  <c r="J65" i="5"/>
  <c r="K65" i="5"/>
  <c r="L65" i="5"/>
  <c r="M65" i="5"/>
  <c r="J66" i="5"/>
  <c r="K66" i="5"/>
  <c r="L66" i="5"/>
  <c r="M66" i="5"/>
  <c r="J67" i="5"/>
  <c r="K67" i="5"/>
  <c r="L67" i="5"/>
  <c r="M67" i="5"/>
  <c r="J68" i="5"/>
  <c r="K68" i="5"/>
  <c r="L68" i="5"/>
  <c r="M68" i="5"/>
  <c r="J69" i="5"/>
  <c r="K69" i="5"/>
  <c r="L69" i="5"/>
  <c r="M69" i="5"/>
  <c r="J70" i="5"/>
  <c r="K70" i="5"/>
  <c r="L70" i="5"/>
  <c r="M70" i="5"/>
  <c r="J71" i="5"/>
  <c r="K71" i="5"/>
  <c r="L71" i="5"/>
  <c r="M71" i="5"/>
  <c r="J72" i="5"/>
  <c r="K72" i="5"/>
  <c r="L72" i="5"/>
  <c r="M72" i="5"/>
  <c r="J73" i="5"/>
  <c r="K73" i="5"/>
  <c r="L73" i="5"/>
  <c r="M73" i="5"/>
  <c r="J74" i="5"/>
  <c r="K74" i="5"/>
  <c r="L74" i="5"/>
  <c r="M74" i="5"/>
  <c r="J75" i="5"/>
  <c r="K75" i="5"/>
  <c r="L75" i="5"/>
  <c r="M75" i="5"/>
  <c r="J76" i="5"/>
  <c r="K76" i="5"/>
  <c r="L76" i="5"/>
  <c r="M76" i="5"/>
  <c r="J77" i="5"/>
  <c r="K77" i="5"/>
  <c r="L77" i="5"/>
  <c r="M77" i="5"/>
  <c r="J78" i="5"/>
  <c r="K78" i="5"/>
  <c r="L78" i="5"/>
  <c r="M78" i="5"/>
  <c r="J79" i="5"/>
  <c r="K79" i="5"/>
  <c r="L79" i="5"/>
  <c r="M79" i="5"/>
  <c r="J80" i="5"/>
  <c r="K80" i="5"/>
  <c r="L80" i="5"/>
  <c r="M80" i="5"/>
  <c r="J81" i="5"/>
  <c r="K81" i="5"/>
  <c r="L81" i="5"/>
  <c r="M81" i="5"/>
  <c r="J82" i="5"/>
  <c r="K82" i="5"/>
  <c r="L82" i="5"/>
  <c r="M82" i="5"/>
  <c r="J83" i="5"/>
  <c r="K83" i="5"/>
  <c r="L83" i="5"/>
  <c r="M83" i="5"/>
  <c r="J84" i="5"/>
  <c r="K84" i="5"/>
  <c r="L84" i="5"/>
  <c r="M84" i="5"/>
  <c r="J85" i="5"/>
  <c r="K85" i="5"/>
  <c r="L85" i="5"/>
  <c r="M85" i="5"/>
  <c r="J86" i="5"/>
  <c r="K86" i="5"/>
  <c r="L86" i="5"/>
  <c r="M86" i="5"/>
  <c r="J87" i="5"/>
  <c r="K87" i="5"/>
  <c r="L87" i="5"/>
  <c r="M87" i="5"/>
  <c r="J88" i="5"/>
  <c r="K88" i="5"/>
  <c r="L88" i="5"/>
  <c r="M88" i="5"/>
  <c r="J89" i="5"/>
  <c r="K89" i="5"/>
  <c r="L89" i="5"/>
  <c r="M89" i="5"/>
  <c r="J90" i="5"/>
  <c r="K90" i="5"/>
  <c r="L90" i="5"/>
  <c r="M90" i="5"/>
  <c r="J91" i="5"/>
  <c r="K91" i="5"/>
  <c r="L91" i="5"/>
  <c r="M91" i="5"/>
  <c r="J92" i="5"/>
  <c r="K92" i="5"/>
  <c r="L92" i="5"/>
  <c r="M92" i="5"/>
  <c r="J93" i="5"/>
  <c r="K93" i="5"/>
  <c r="L93" i="5"/>
  <c r="M93" i="5"/>
  <c r="J94" i="5"/>
  <c r="K94" i="5"/>
  <c r="L94" i="5"/>
  <c r="M94" i="5"/>
  <c r="J95" i="5"/>
  <c r="K95" i="5"/>
  <c r="L95" i="5"/>
  <c r="M95" i="5"/>
  <c r="J96" i="5"/>
  <c r="K96" i="5"/>
  <c r="L96" i="5"/>
  <c r="M96" i="5"/>
  <c r="J97" i="5"/>
  <c r="K97" i="5"/>
  <c r="L97" i="5"/>
  <c r="M97" i="5"/>
  <c r="J98" i="5"/>
  <c r="K98" i="5"/>
  <c r="L98" i="5"/>
  <c r="M98" i="5"/>
  <c r="J99" i="5"/>
  <c r="K99" i="5"/>
  <c r="L99" i="5"/>
  <c r="M99" i="5"/>
  <c r="J100" i="5"/>
  <c r="K100" i="5"/>
  <c r="L100" i="5"/>
  <c r="M100" i="5"/>
  <c r="J101" i="5"/>
  <c r="K101" i="5"/>
  <c r="L101" i="5"/>
  <c r="M101" i="5"/>
  <c r="J102" i="5"/>
  <c r="K102" i="5"/>
  <c r="L102" i="5"/>
  <c r="M102" i="5"/>
  <c r="J103" i="5"/>
  <c r="K103" i="5"/>
  <c r="L103" i="5"/>
  <c r="M103" i="5"/>
  <c r="J104" i="5"/>
  <c r="K104" i="5"/>
  <c r="L104" i="5"/>
  <c r="M104" i="5"/>
  <c r="J105" i="5"/>
  <c r="K105" i="5"/>
  <c r="L105" i="5"/>
  <c r="M105" i="5"/>
  <c r="J106" i="5"/>
  <c r="K106" i="5"/>
  <c r="L106" i="5"/>
  <c r="M106" i="5"/>
  <c r="J107" i="5"/>
  <c r="K107" i="5"/>
  <c r="L107" i="5"/>
  <c r="M107" i="5"/>
  <c r="J108" i="5"/>
  <c r="K108" i="5"/>
  <c r="L108" i="5"/>
  <c r="M108" i="5"/>
  <c r="J109" i="5"/>
  <c r="K109" i="5"/>
  <c r="L109" i="5"/>
  <c r="M109" i="5"/>
  <c r="J110" i="5"/>
  <c r="K110" i="5"/>
  <c r="L110" i="5"/>
  <c r="M110" i="5"/>
  <c r="J111" i="5"/>
  <c r="K111" i="5"/>
  <c r="L111" i="5"/>
  <c r="M111" i="5"/>
  <c r="J112" i="5"/>
  <c r="K112" i="5"/>
  <c r="L112" i="5"/>
  <c r="M112" i="5"/>
  <c r="J113" i="5"/>
  <c r="K113" i="5"/>
  <c r="L113" i="5"/>
  <c r="M113" i="5"/>
  <c r="J114" i="5"/>
  <c r="K114" i="5"/>
  <c r="L114" i="5"/>
  <c r="M114" i="5"/>
  <c r="J115" i="5"/>
  <c r="K115" i="5"/>
  <c r="L115" i="5"/>
  <c r="M115" i="5"/>
  <c r="J116" i="5"/>
  <c r="K116" i="5"/>
  <c r="L116" i="5"/>
  <c r="M116" i="5"/>
  <c r="J117" i="5"/>
  <c r="K117" i="5"/>
  <c r="L117" i="5"/>
  <c r="M117" i="5"/>
  <c r="J118" i="5"/>
  <c r="K118" i="5"/>
  <c r="L118" i="5"/>
  <c r="M118" i="5"/>
  <c r="J119" i="5"/>
  <c r="K119" i="5"/>
  <c r="L119" i="5"/>
  <c r="M119" i="5"/>
  <c r="J120" i="5"/>
  <c r="K120" i="5"/>
  <c r="L120" i="5"/>
  <c r="M120" i="5"/>
  <c r="J121" i="5"/>
  <c r="K121" i="5"/>
  <c r="L121" i="5"/>
  <c r="M121" i="5"/>
  <c r="J122" i="5"/>
  <c r="K122" i="5"/>
  <c r="L122" i="5"/>
  <c r="M122" i="5"/>
  <c r="J123" i="5"/>
  <c r="K123" i="5"/>
  <c r="L123" i="5"/>
  <c r="M123" i="5"/>
  <c r="J124" i="5"/>
  <c r="K124" i="5"/>
  <c r="L124" i="5"/>
  <c r="M124" i="5"/>
  <c r="J125" i="5"/>
  <c r="K125" i="5"/>
  <c r="L125" i="5"/>
  <c r="M125" i="5"/>
  <c r="J126" i="5"/>
  <c r="K126" i="5"/>
  <c r="L126" i="5"/>
  <c r="M126" i="5"/>
  <c r="J127" i="5"/>
  <c r="K127" i="5"/>
  <c r="L127" i="5"/>
  <c r="M127" i="5"/>
  <c r="J128" i="5"/>
  <c r="K128" i="5"/>
  <c r="L128" i="5"/>
  <c r="M128" i="5"/>
  <c r="J129" i="5"/>
  <c r="K129" i="5"/>
  <c r="L129" i="5"/>
  <c r="M129" i="5"/>
  <c r="J130" i="5"/>
  <c r="K130" i="5"/>
  <c r="L130" i="5"/>
  <c r="M130" i="5"/>
  <c r="J131" i="5"/>
  <c r="K131" i="5"/>
  <c r="L131" i="5"/>
  <c r="M131" i="5"/>
  <c r="J132" i="5"/>
  <c r="K132" i="5"/>
  <c r="L132" i="5"/>
  <c r="M132" i="5"/>
  <c r="J133" i="5"/>
  <c r="K133" i="5"/>
  <c r="L133" i="5"/>
  <c r="M133" i="5"/>
  <c r="J134" i="5"/>
  <c r="K134" i="5"/>
  <c r="L134" i="5"/>
  <c r="M134" i="5"/>
  <c r="J135" i="5"/>
  <c r="K135" i="5"/>
  <c r="L135" i="5"/>
  <c r="M135" i="5"/>
  <c r="J136" i="5"/>
  <c r="K136" i="5"/>
  <c r="L136" i="5"/>
  <c r="M136" i="5"/>
  <c r="J137" i="5"/>
  <c r="K137" i="5"/>
  <c r="L137" i="5"/>
  <c r="M137" i="5"/>
  <c r="J138" i="5"/>
  <c r="K138" i="5"/>
  <c r="L138" i="5"/>
  <c r="M138" i="5"/>
  <c r="J139" i="5"/>
  <c r="K139" i="5"/>
  <c r="L139" i="5"/>
  <c r="M139" i="5"/>
  <c r="J140" i="5"/>
  <c r="K140" i="5"/>
  <c r="L140" i="5"/>
  <c r="M140" i="5"/>
  <c r="J141" i="5"/>
  <c r="K141" i="5"/>
  <c r="L141" i="5"/>
  <c r="M141" i="5"/>
  <c r="J142" i="5"/>
  <c r="K142" i="5"/>
  <c r="L142" i="5"/>
  <c r="M142" i="5"/>
  <c r="J143" i="5"/>
  <c r="K143" i="5"/>
  <c r="L143" i="5"/>
  <c r="M143" i="5"/>
  <c r="J144" i="5"/>
  <c r="K144" i="5"/>
  <c r="L144" i="5"/>
  <c r="M144" i="5"/>
  <c r="J145" i="5"/>
  <c r="K145" i="5"/>
  <c r="L145" i="5"/>
  <c r="M145" i="5"/>
  <c r="J146" i="5"/>
  <c r="K146" i="5"/>
  <c r="L146" i="5"/>
  <c r="M146" i="5"/>
  <c r="J147" i="5"/>
  <c r="K147" i="5"/>
  <c r="L147" i="5"/>
  <c r="M147" i="5"/>
  <c r="J148" i="5"/>
  <c r="K148" i="5"/>
  <c r="L148" i="5"/>
  <c r="M148" i="5"/>
  <c r="J149" i="5"/>
  <c r="K149" i="5"/>
  <c r="L149" i="5"/>
  <c r="M149" i="5"/>
  <c r="J150" i="5"/>
  <c r="K150" i="5"/>
  <c r="L150" i="5"/>
  <c r="M150" i="5"/>
  <c r="J151" i="5"/>
  <c r="K151" i="5"/>
  <c r="L151" i="5"/>
  <c r="M151" i="5"/>
  <c r="J152" i="5"/>
  <c r="K152" i="5"/>
  <c r="L152" i="5"/>
  <c r="M152" i="5"/>
  <c r="J153" i="5"/>
  <c r="K153" i="5"/>
  <c r="L153" i="5"/>
  <c r="M153" i="5"/>
  <c r="J154" i="5"/>
  <c r="K154" i="5"/>
  <c r="L154" i="5"/>
  <c r="M154" i="5"/>
  <c r="J155" i="5"/>
  <c r="K155" i="5"/>
  <c r="L155" i="5"/>
  <c r="M155" i="5"/>
  <c r="J156" i="5"/>
  <c r="K156" i="5"/>
  <c r="L156" i="5"/>
  <c r="M156" i="5"/>
  <c r="J157" i="5"/>
  <c r="K157" i="5"/>
  <c r="L157" i="5"/>
  <c r="M157" i="5"/>
  <c r="J158" i="5"/>
  <c r="K158" i="5"/>
  <c r="L158" i="5"/>
  <c r="M158" i="5"/>
  <c r="J159" i="5"/>
  <c r="K159" i="5"/>
  <c r="L159" i="5"/>
  <c r="M159" i="5"/>
  <c r="J160" i="5"/>
  <c r="K160" i="5"/>
  <c r="L160" i="5"/>
  <c r="M160" i="5"/>
  <c r="J161" i="5"/>
  <c r="K161" i="5"/>
  <c r="L161" i="5"/>
  <c r="M161" i="5"/>
  <c r="J162" i="5"/>
  <c r="K162" i="5"/>
  <c r="L162" i="5"/>
  <c r="M162" i="5"/>
  <c r="J163" i="5"/>
  <c r="K163" i="5"/>
  <c r="L163" i="5"/>
  <c r="M163" i="5"/>
  <c r="J164" i="5"/>
  <c r="K164" i="5"/>
  <c r="L164" i="5"/>
  <c r="M164" i="5"/>
  <c r="J165" i="5"/>
  <c r="K165" i="5"/>
  <c r="L165" i="5"/>
  <c r="M165" i="5"/>
  <c r="J166" i="5"/>
  <c r="K166" i="5"/>
  <c r="L166" i="5"/>
  <c r="M166" i="5"/>
  <c r="J167" i="5"/>
  <c r="K167" i="5"/>
  <c r="L167" i="5"/>
  <c r="M167" i="5"/>
  <c r="J168" i="5"/>
  <c r="K168" i="5"/>
  <c r="L168" i="5"/>
  <c r="M168" i="5"/>
  <c r="J169" i="5"/>
  <c r="K169" i="5"/>
  <c r="L169" i="5"/>
  <c r="M169" i="5"/>
  <c r="J170" i="5"/>
  <c r="K170" i="5"/>
  <c r="L170" i="5"/>
  <c r="M170" i="5"/>
  <c r="J171" i="5"/>
  <c r="K171" i="5"/>
  <c r="L171" i="5"/>
  <c r="M171" i="5"/>
  <c r="J172" i="5"/>
  <c r="K172" i="5"/>
  <c r="L172" i="5"/>
  <c r="M172" i="5"/>
  <c r="J173" i="5"/>
  <c r="K173" i="5"/>
  <c r="L173" i="5"/>
  <c r="M173" i="5"/>
  <c r="J174" i="5"/>
  <c r="K174" i="5"/>
  <c r="L174" i="5"/>
  <c r="M174" i="5"/>
  <c r="J175" i="5"/>
  <c r="K175" i="5"/>
  <c r="L175" i="5"/>
  <c r="M175" i="5"/>
  <c r="J176" i="5"/>
  <c r="K176" i="5"/>
  <c r="L176" i="5"/>
  <c r="M176" i="5"/>
  <c r="J177" i="5"/>
  <c r="K177" i="5"/>
  <c r="L177" i="5"/>
  <c r="M177" i="5"/>
  <c r="J178" i="5"/>
  <c r="K178" i="5"/>
  <c r="L178" i="5"/>
  <c r="M178" i="5"/>
  <c r="J179" i="5"/>
  <c r="K179" i="5"/>
  <c r="L179" i="5"/>
  <c r="M179" i="5"/>
  <c r="J180" i="5"/>
  <c r="K180" i="5"/>
  <c r="L180" i="5"/>
  <c r="M180" i="5"/>
  <c r="J181" i="5"/>
  <c r="K181" i="5"/>
  <c r="L181" i="5"/>
  <c r="M181" i="5"/>
  <c r="J182" i="5"/>
  <c r="K182" i="5"/>
  <c r="L182" i="5"/>
  <c r="M182" i="5"/>
  <c r="J183" i="5"/>
  <c r="K183" i="5"/>
  <c r="L183" i="5"/>
  <c r="M183" i="5"/>
  <c r="J184" i="5"/>
  <c r="K184" i="5"/>
  <c r="L184" i="5"/>
  <c r="M184" i="5"/>
  <c r="J185" i="5"/>
  <c r="K185" i="5"/>
  <c r="L185" i="5"/>
  <c r="M185" i="5"/>
  <c r="J186" i="5"/>
  <c r="K186" i="5"/>
  <c r="L186" i="5"/>
  <c r="M186" i="5"/>
  <c r="J187" i="5"/>
  <c r="K187" i="5"/>
  <c r="L187" i="5"/>
  <c r="M187" i="5"/>
  <c r="J188" i="5"/>
  <c r="K188" i="5"/>
  <c r="L188" i="5"/>
  <c r="M188" i="5"/>
  <c r="J189" i="5"/>
  <c r="K189" i="5"/>
  <c r="L189" i="5"/>
  <c r="M189" i="5"/>
  <c r="J190" i="5"/>
  <c r="K190" i="5"/>
  <c r="L190" i="5"/>
  <c r="M190" i="5"/>
  <c r="J191" i="5"/>
  <c r="K191" i="5"/>
  <c r="L191" i="5"/>
  <c r="M191" i="5"/>
  <c r="J192" i="5"/>
  <c r="K192" i="5"/>
  <c r="L192" i="5"/>
  <c r="M192" i="5"/>
  <c r="J193" i="5"/>
  <c r="K193" i="5"/>
  <c r="L193" i="5"/>
  <c r="M193" i="5"/>
  <c r="J194" i="5"/>
  <c r="K194" i="5"/>
  <c r="L194" i="5"/>
  <c r="M194" i="5"/>
  <c r="J195" i="5"/>
  <c r="K195" i="5"/>
  <c r="L195" i="5"/>
  <c r="M195" i="5"/>
  <c r="J196" i="5"/>
  <c r="K196" i="5"/>
  <c r="L196" i="5"/>
  <c r="M196" i="5"/>
  <c r="J197" i="5"/>
  <c r="K197" i="5"/>
  <c r="L197" i="5"/>
  <c r="M197" i="5"/>
  <c r="J198" i="5"/>
  <c r="K198" i="5"/>
  <c r="L198" i="5"/>
  <c r="M198" i="5"/>
  <c r="J199" i="5"/>
  <c r="K199" i="5"/>
  <c r="L199" i="5"/>
  <c r="M199" i="5"/>
  <c r="J200" i="5"/>
  <c r="K200" i="5"/>
  <c r="L200" i="5"/>
  <c r="M200" i="5"/>
  <c r="J201" i="5"/>
  <c r="K201" i="5"/>
  <c r="L201" i="5"/>
  <c r="M201" i="5"/>
  <c r="J202" i="5"/>
  <c r="K202" i="5"/>
  <c r="L202" i="5"/>
  <c r="M202" i="5"/>
  <c r="J203" i="5"/>
  <c r="K203" i="5"/>
  <c r="L203" i="5"/>
  <c r="M203" i="5"/>
  <c r="J204" i="5"/>
  <c r="K204" i="5"/>
  <c r="L204" i="5"/>
  <c r="M204" i="5"/>
  <c r="J205" i="5"/>
  <c r="K205" i="5"/>
  <c r="L205" i="5"/>
  <c r="M205" i="5"/>
  <c r="J206" i="5"/>
  <c r="K206" i="5"/>
  <c r="L206" i="5"/>
  <c r="M206" i="5"/>
  <c r="J207" i="5"/>
  <c r="K207" i="5"/>
  <c r="L207" i="5"/>
  <c r="M207" i="5"/>
  <c r="J208" i="5"/>
  <c r="K208" i="5"/>
  <c r="L208" i="5"/>
  <c r="M208" i="5"/>
  <c r="J209" i="5"/>
  <c r="K209" i="5"/>
  <c r="L209" i="5"/>
  <c r="M209" i="5"/>
  <c r="J210" i="5"/>
  <c r="K210" i="5"/>
  <c r="L210" i="5"/>
  <c r="M210" i="5"/>
  <c r="J211" i="5"/>
  <c r="K211" i="5"/>
  <c r="L211" i="5"/>
  <c r="M211" i="5"/>
  <c r="J212" i="5"/>
  <c r="K212" i="5"/>
  <c r="L212" i="5"/>
  <c r="M212" i="5"/>
  <c r="J213" i="5"/>
  <c r="K213" i="5"/>
  <c r="L213" i="5"/>
  <c r="M213" i="5"/>
  <c r="J214" i="5"/>
  <c r="K214" i="5"/>
  <c r="L214" i="5"/>
  <c r="M214" i="5"/>
  <c r="J215" i="5"/>
  <c r="K215" i="5"/>
  <c r="L215" i="5"/>
  <c r="M215" i="5"/>
  <c r="J216" i="5"/>
  <c r="K216" i="5"/>
  <c r="L216" i="5"/>
  <c r="M216" i="5"/>
  <c r="J217" i="5"/>
  <c r="K217" i="5"/>
  <c r="L217" i="5"/>
  <c r="M217" i="5"/>
  <c r="J218" i="5"/>
  <c r="K218" i="5"/>
  <c r="L218" i="5"/>
  <c r="M218" i="5"/>
  <c r="J219" i="5"/>
  <c r="K219" i="5"/>
  <c r="L219" i="5"/>
  <c r="M219" i="5"/>
  <c r="J220" i="5"/>
  <c r="K220" i="5"/>
  <c r="L220" i="5"/>
  <c r="M220" i="5"/>
  <c r="J221" i="5"/>
  <c r="K221" i="5"/>
  <c r="L221" i="5"/>
  <c r="M221" i="5"/>
  <c r="J222" i="5"/>
  <c r="K222" i="5"/>
  <c r="L222" i="5"/>
  <c r="M222" i="5"/>
  <c r="J223" i="5"/>
  <c r="K223" i="5"/>
  <c r="L223" i="5"/>
  <c r="M223" i="5"/>
  <c r="J224" i="5"/>
  <c r="K224" i="5"/>
  <c r="L224" i="5"/>
  <c r="M224" i="5"/>
  <c r="J225" i="5"/>
  <c r="K225" i="5"/>
  <c r="L225" i="5"/>
  <c r="M225" i="5"/>
  <c r="J226" i="5"/>
  <c r="K226" i="5"/>
  <c r="L226" i="5"/>
  <c r="M226" i="5"/>
  <c r="J227" i="5"/>
  <c r="K227" i="5"/>
  <c r="L227" i="5"/>
  <c r="M227" i="5"/>
  <c r="J228" i="5"/>
  <c r="K228" i="5"/>
  <c r="L228" i="5"/>
  <c r="M228" i="5"/>
  <c r="J229" i="5"/>
  <c r="K229" i="5"/>
  <c r="L229" i="5"/>
  <c r="M229" i="5"/>
  <c r="J230" i="5"/>
  <c r="K230" i="5"/>
  <c r="L230" i="5"/>
  <c r="M230" i="5"/>
  <c r="J231" i="5"/>
  <c r="K231" i="5"/>
  <c r="L231" i="5"/>
  <c r="M231" i="5"/>
  <c r="J232" i="5"/>
  <c r="K232" i="5"/>
  <c r="L232" i="5"/>
  <c r="M232" i="5"/>
  <c r="J233" i="5"/>
  <c r="K233" i="5"/>
  <c r="L233" i="5"/>
  <c r="M233" i="5"/>
  <c r="J234" i="5"/>
  <c r="K234" i="5"/>
  <c r="L234" i="5"/>
  <c r="M234" i="5"/>
  <c r="J235" i="5"/>
  <c r="K235" i="5"/>
  <c r="L235" i="5"/>
  <c r="M235" i="5"/>
  <c r="J236" i="5"/>
  <c r="K236" i="5"/>
  <c r="L236" i="5"/>
  <c r="M236" i="5"/>
  <c r="J237" i="5"/>
  <c r="K237" i="5"/>
  <c r="L237" i="5"/>
  <c r="M237" i="5"/>
  <c r="J238" i="5"/>
  <c r="K238" i="5"/>
  <c r="L238" i="5"/>
  <c r="M238" i="5"/>
  <c r="J239" i="5"/>
  <c r="K239" i="5"/>
  <c r="L239" i="5"/>
  <c r="M239" i="5"/>
  <c r="J240" i="5"/>
  <c r="K240" i="5"/>
  <c r="L240" i="5"/>
  <c r="M240" i="5"/>
  <c r="J241" i="5"/>
  <c r="K241" i="5"/>
  <c r="L241" i="5"/>
  <c r="M241" i="5"/>
  <c r="J242" i="5"/>
  <c r="K242" i="5"/>
  <c r="L242" i="5"/>
  <c r="M242" i="5"/>
  <c r="J243" i="5"/>
  <c r="K243" i="5"/>
  <c r="L243" i="5"/>
  <c r="M243" i="5"/>
  <c r="J244" i="5"/>
  <c r="K244" i="5"/>
  <c r="L244" i="5"/>
  <c r="M244" i="5"/>
  <c r="J245" i="5"/>
  <c r="K245" i="5"/>
  <c r="L245" i="5"/>
  <c r="M245" i="5"/>
  <c r="J246" i="5"/>
  <c r="K246" i="5"/>
  <c r="L246" i="5"/>
  <c r="M246" i="5"/>
  <c r="J247" i="5"/>
  <c r="K247" i="5"/>
  <c r="L247" i="5"/>
  <c r="M247" i="5"/>
  <c r="J248" i="5"/>
  <c r="K248" i="5"/>
  <c r="L248" i="5"/>
  <c r="M248" i="5"/>
  <c r="J249" i="5"/>
  <c r="K249" i="5"/>
  <c r="L249" i="5"/>
  <c r="M249" i="5"/>
  <c r="J250" i="5"/>
  <c r="K250" i="5"/>
  <c r="L250" i="5"/>
  <c r="M250" i="5"/>
  <c r="J251" i="5"/>
  <c r="K251" i="5"/>
  <c r="L251" i="5"/>
  <c r="M251" i="5"/>
  <c r="J252" i="5"/>
  <c r="K252" i="5"/>
  <c r="L252" i="5"/>
  <c r="M252" i="5"/>
  <c r="J253" i="5"/>
  <c r="K253" i="5"/>
  <c r="L253" i="5"/>
  <c r="M253" i="5"/>
  <c r="J254" i="5"/>
  <c r="K254" i="5"/>
  <c r="L254" i="5"/>
  <c r="M254" i="5"/>
  <c r="J255" i="5"/>
  <c r="K255" i="5"/>
  <c r="L255" i="5"/>
  <c r="M255" i="5"/>
  <c r="J256" i="5"/>
  <c r="K256" i="5"/>
  <c r="L256" i="5"/>
  <c r="M256" i="5"/>
  <c r="J257" i="5"/>
  <c r="K257" i="5"/>
  <c r="L257" i="5"/>
  <c r="M257" i="5"/>
  <c r="J258" i="5"/>
  <c r="K258" i="5"/>
  <c r="L258" i="5"/>
  <c r="M258" i="5"/>
  <c r="J259" i="5"/>
  <c r="K259" i="5"/>
  <c r="L259" i="5"/>
  <c r="M259" i="5"/>
  <c r="J260" i="5"/>
  <c r="K260" i="5"/>
  <c r="L260" i="5"/>
  <c r="M260" i="5"/>
  <c r="J261" i="5"/>
  <c r="K261" i="5"/>
  <c r="L261" i="5"/>
  <c r="M261" i="5"/>
  <c r="J262" i="5"/>
  <c r="K262" i="5"/>
  <c r="L262" i="5"/>
  <c r="M262" i="5"/>
  <c r="J263" i="5"/>
  <c r="K263" i="5"/>
  <c r="L263" i="5"/>
  <c r="M263" i="5"/>
  <c r="J264" i="5"/>
  <c r="K264" i="5"/>
  <c r="L264" i="5"/>
  <c r="M264" i="5"/>
  <c r="J265" i="5"/>
  <c r="K265" i="5"/>
  <c r="L265" i="5"/>
  <c r="M265" i="5"/>
  <c r="J266" i="5"/>
  <c r="K266" i="5"/>
  <c r="L266" i="5"/>
  <c r="M266" i="5"/>
  <c r="J267" i="5"/>
  <c r="K267" i="5"/>
  <c r="L267" i="5"/>
  <c r="M267" i="5"/>
  <c r="J268" i="5"/>
  <c r="K268" i="5"/>
  <c r="L268" i="5"/>
  <c r="M268" i="5"/>
  <c r="J269" i="5"/>
  <c r="K269" i="5"/>
  <c r="L269" i="5"/>
  <c r="M269" i="5"/>
  <c r="J270" i="5"/>
  <c r="K270" i="5"/>
  <c r="L270" i="5"/>
  <c r="M270" i="5"/>
  <c r="J271" i="5"/>
  <c r="K271" i="5"/>
  <c r="L271" i="5"/>
  <c r="M271" i="5"/>
  <c r="J272" i="5"/>
  <c r="K272" i="5"/>
  <c r="L272" i="5"/>
  <c r="M272" i="5"/>
  <c r="J273" i="5"/>
  <c r="K273" i="5"/>
  <c r="L273" i="5"/>
  <c r="M273" i="5"/>
  <c r="J274" i="5"/>
  <c r="K274" i="5"/>
  <c r="L274" i="5"/>
  <c r="M274" i="5"/>
  <c r="J275" i="5"/>
  <c r="K275" i="5"/>
  <c r="L275" i="5"/>
  <c r="M275" i="5"/>
  <c r="J276" i="5"/>
  <c r="K276" i="5"/>
  <c r="L276" i="5"/>
  <c r="M276" i="5"/>
  <c r="J277" i="5"/>
  <c r="K277" i="5"/>
  <c r="L277" i="5"/>
  <c r="M277" i="5"/>
  <c r="J278" i="5"/>
  <c r="K278" i="5"/>
  <c r="L278" i="5"/>
  <c r="M278" i="5"/>
  <c r="J279" i="5"/>
  <c r="K279" i="5"/>
  <c r="L279" i="5"/>
  <c r="M279" i="5"/>
  <c r="J280" i="5"/>
  <c r="K280" i="5"/>
  <c r="L280" i="5"/>
  <c r="M280" i="5"/>
  <c r="J281" i="5"/>
  <c r="K281" i="5"/>
  <c r="L281" i="5"/>
  <c r="M281" i="5"/>
  <c r="J282" i="5"/>
  <c r="K282" i="5"/>
  <c r="L282" i="5"/>
  <c r="M282" i="5"/>
  <c r="J283" i="5"/>
  <c r="K283" i="5"/>
  <c r="L283" i="5"/>
  <c r="M283" i="5"/>
  <c r="J284" i="5"/>
  <c r="K284" i="5"/>
  <c r="L284" i="5"/>
  <c r="M284" i="5"/>
  <c r="J285" i="5"/>
  <c r="K285" i="5"/>
  <c r="L285" i="5"/>
  <c r="M285" i="5"/>
  <c r="J286" i="5"/>
  <c r="K286" i="5"/>
  <c r="L286" i="5"/>
  <c r="M286" i="5"/>
  <c r="J287" i="5"/>
  <c r="K287" i="5"/>
  <c r="L287" i="5"/>
  <c r="M287" i="5"/>
  <c r="J288" i="5"/>
  <c r="K288" i="5"/>
  <c r="L288" i="5"/>
  <c r="M288" i="5"/>
  <c r="J289" i="5"/>
  <c r="K289" i="5"/>
  <c r="L289" i="5"/>
  <c r="M289" i="5"/>
  <c r="J290" i="5"/>
  <c r="K290" i="5"/>
  <c r="L290" i="5"/>
  <c r="M290" i="5"/>
  <c r="J291" i="5"/>
  <c r="K291" i="5"/>
  <c r="L291" i="5"/>
  <c r="M291" i="5"/>
  <c r="J292" i="5"/>
  <c r="K292" i="5"/>
  <c r="L292" i="5"/>
  <c r="M292" i="5"/>
  <c r="J293" i="5"/>
  <c r="K293" i="5"/>
  <c r="L293" i="5"/>
  <c r="M293" i="5"/>
  <c r="J294" i="5"/>
  <c r="K294" i="5"/>
  <c r="L294" i="5"/>
  <c r="M294" i="5"/>
  <c r="J295" i="5"/>
  <c r="K295" i="5"/>
  <c r="L295" i="5"/>
  <c r="M295" i="5"/>
  <c r="J296" i="5"/>
  <c r="K296" i="5"/>
  <c r="L296" i="5"/>
  <c r="M296" i="5"/>
  <c r="J297" i="5"/>
  <c r="K297" i="5"/>
  <c r="L297" i="5"/>
  <c r="M297" i="5"/>
  <c r="J298" i="5"/>
  <c r="K298" i="5"/>
  <c r="L298" i="5"/>
  <c r="M298" i="5"/>
  <c r="J299" i="5"/>
  <c r="K299" i="5"/>
  <c r="L299" i="5"/>
  <c r="M299" i="5"/>
  <c r="J300" i="5"/>
  <c r="K300" i="5"/>
  <c r="L300" i="5"/>
  <c r="M300" i="5"/>
  <c r="J301" i="5"/>
  <c r="K301" i="5"/>
  <c r="L301" i="5"/>
  <c r="M301" i="5"/>
  <c r="J302" i="5"/>
  <c r="K302" i="5"/>
  <c r="L302" i="5"/>
  <c r="M302" i="5"/>
  <c r="J303" i="5"/>
  <c r="K303" i="5"/>
  <c r="L303" i="5"/>
  <c r="M303" i="5"/>
  <c r="J304" i="5"/>
  <c r="K304" i="5"/>
  <c r="L304" i="5"/>
  <c r="M304" i="5"/>
  <c r="J305" i="5"/>
  <c r="K305" i="5"/>
  <c r="L305" i="5"/>
  <c r="M305" i="5"/>
  <c r="J306" i="5"/>
  <c r="K306" i="5"/>
  <c r="L306" i="5"/>
  <c r="M306" i="5"/>
  <c r="J307" i="5"/>
  <c r="K307" i="5"/>
  <c r="L307" i="5"/>
  <c r="M307" i="5"/>
  <c r="J308" i="5"/>
  <c r="K308" i="5"/>
  <c r="L308" i="5"/>
  <c r="M308" i="5"/>
  <c r="J309" i="5"/>
  <c r="K309" i="5"/>
  <c r="L309" i="5"/>
  <c r="M309" i="5"/>
  <c r="J310" i="5"/>
  <c r="K310" i="5"/>
  <c r="L310" i="5"/>
  <c r="M310" i="5"/>
  <c r="J311" i="5"/>
  <c r="K311" i="5"/>
  <c r="L311" i="5"/>
  <c r="M311" i="5"/>
  <c r="J312" i="5"/>
  <c r="K312" i="5"/>
  <c r="L312" i="5"/>
  <c r="M312" i="5"/>
  <c r="J313" i="5"/>
  <c r="K313" i="5"/>
  <c r="L313" i="5"/>
  <c r="M313" i="5"/>
  <c r="J314" i="5"/>
  <c r="K314" i="5"/>
  <c r="L314" i="5"/>
  <c r="M314" i="5"/>
  <c r="J315" i="5"/>
  <c r="K315" i="5"/>
  <c r="L315" i="5"/>
  <c r="M315" i="5"/>
  <c r="J316" i="5"/>
  <c r="K316" i="5"/>
  <c r="L316" i="5"/>
  <c r="M316" i="5"/>
  <c r="J317" i="5"/>
  <c r="K317" i="5"/>
  <c r="L317" i="5"/>
  <c r="M317" i="5"/>
  <c r="J318" i="5"/>
  <c r="K318" i="5"/>
  <c r="L318" i="5"/>
  <c r="M318" i="5"/>
  <c r="J319" i="5"/>
  <c r="K319" i="5"/>
  <c r="L319" i="5"/>
  <c r="M319" i="5"/>
  <c r="J320" i="5"/>
  <c r="K320" i="5"/>
  <c r="L320" i="5"/>
  <c r="M320" i="5"/>
  <c r="J321" i="5"/>
  <c r="K321" i="5"/>
  <c r="L321" i="5"/>
  <c r="M321" i="5"/>
  <c r="J322" i="5"/>
  <c r="K322" i="5"/>
  <c r="L322" i="5"/>
  <c r="M322" i="5"/>
  <c r="J323" i="5"/>
  <c r="K323" i="5"/>
  <c r="L323" i="5"/>
  <c r="M323" i="5"/>
  <c r="J324" i="5"/>
  <c r="K324" i="5"/>
  <c r="L324" i="5"/>
  <c r="M324" i="5"/>
  <c r="J325" i="5"/>
  <c r="K325" i="5"/>
  <c r="L325" i="5"/>
  <c r="M325" i="5"/>
  <c r="J326" i="5"/>
  <c r="K326" i="5"/>
  <c r="L326" i="5"/>
  <c r="M326" i="5"/>
  <c r="J327" i="5"/>
  <c r="K327" i="5"/>
  <c r="L327" i="5"/>
  <c r="M327" i="5"/>
  <c r="J328" i="5"/>
  <c r="K328" i="5"/>
  <c r="L328" i="5"/>
  <c r="M328" i="5"/>
  <c r="J329" i="5"/>
  <c r="K329" i="5"/>
  <c r="L329" i="5"/>
  <c r="M329" i="5"/>
  <c r="J330" i="5"/>
  <c r="K330" i="5"/>
  <c r="L330" i="5"/>
  <c r="M330" i="5"/>
  <c r="J331" i="5"/>
  <c r="K331" i="5"/>
  <c r="L331" i="5"/>
  <c r="M331" i="5"/>
  <c r="J332" i="5"/>
  <c r="K332" i="5"/>
  <c r="L332" i="5"/>
  <c r="M332" i="5"/>
  <c r="J333" i="5"/>
  <c r="K333" i="5"/>
  <c r="L333" i="5"/>
  <c r="M333" i="5"/>
  <c r="J334" i="5"/>
  <c r="K334" i="5"/>
  <c r="L334" i="5"/>
  <c r="M334" i="5"/>
  <c r="J335" i="5"/>
  <c r="K335" i="5"/>
  <c r="L335" i="5"/>
  <c r="M335" i="5"/>
  <c r="J336" i="5"/>
  <c r="K336" i="5"/>
  <c r="L336" i="5"/>
  <c r="M336" i="5"/>
  <c r="J337" i="5"/>
  <c r="K337" i="5"/>
  <c r="L337" i="5"/>
  <c r="M337" i="5"/>
  <c r="J338" i="5"/>
  <c r="K338" i="5"/>
  <c r="L338" i="5"/>
  <c r="M338" i="5"/>
  <c r="J339" i="5"/>
  <c r="K339" i="5"/>
  <c r="L339" i="5"/>
  <c r="M339" i="5"/>
  <c r="J340" i="5"/>
  <c r="K340" i="5"/>
  <c r="L340" i="5"/>
  <c r="M340" i="5"/>
  <c r="J341" i="5"/>
  <c r="K341" i="5"/>
  <c r="L341" i="5"/>
  <c r="M341" i="5"/>
  <c r="J342" i="5"/>
  <c r="K342" i="5"/>
  <c r="L342" i="5"/>
  <c r="M342" i="5"/>
  <c r="J343" i="5"/>
  <c r="K343" i="5"/>
  <c r="L343" i="5"/>
  <c r="M343" i="5"/>
  <c r="J344" i="5"/>
  <c r="K344" i="5"/>
  <c r="L344" i="5"/>
  <c r="M344" i="5"/>
  <c r="J345" i="5"/>
  <c r="K345" i="5"/>
  <c r="L345" i="5"/>
  <c r="M345" i="5"/>
  <c r="J346" i="5"/>
  <c r="K346" i="5"/>
  <c r="L346" i="5"/>
  <c r="M346" i="5"/>
  <c r="J347" i="5"/>
  <c r="K347" i="5"/>
  <c r="L347" i="5"/>
  <c r="M347" i="5"/>
  <c r="J348" i="5"/>
  <c r="K348" i="5"/>
  <c r="L348" i="5"/>
  <c r="M348" i="5"/>
  <c r="J349" i="5"/>
  <c r="K349" i="5"/>
  <c r="L349" i="5"/>
  <c r="M349" i="5"/>
  <c r="J350" i="5"/>
  <c r="K350" i="5"/>
  <c r="L350" i="5"/>
  <c r="M350" i="5"/>
  <c r="J351" i="5"/>
  <c r="K351" i="5"/>
  <c r="L351" i="5"/>
  <c r="M351" i="5"/>
  <c r="J352" i="5"/>
  <c r="K352" i="5"/>
  <c r="L352" i="5"/>
  <c r="M352" i="5"/>
  <c r="J353" i="5"/>
  <c r="K353" i="5"/>
  <c r="L353" i="5"/>
  <c r="M353" i="5"/>
  <c r="J354" i="5"/>
  <c r="K354" i="5"/>
  <c r="L354" i="5"/>
  <c r="M354" i="5"/>
  <c r="J355" i="5"/>
  <c r="K355" i="5"/>
  <c r="L355" i="5"/>
  <c r="M355" i="5"/>
  <c r="J356" i="5"/>
  <c r="K356" i="5"/>
  <c r="L356" i="5"/>
  <c r="M356" i="5"/>
  <c r="J357" i="5"/>
  <c r="K357" i="5"/>
  <c r="L357" i="5"/>
  <c r="M357" i="5"/>
  <c r="J358" i="5"/>
  <c r="K358" i="5"/>
  <c r="L358" i="5"/>
  <c r="M358" i="5"/>
  <c r="J359" i="5"/>
  <c r="K359" i="5"/>
  <c r="L359" i="5"/>
  <c r="M359" i="5"/>
  <c r="J360" i="5"/>
  <c r="K360" i="5"/>
  <c r="L360" i="5"/>
  <c r="M360" i="5"/>
  <c r="J361" i="5"/>
  <c r="K361" i="5"/>
  <c r="L361" i="5"/>
  <c r="M361" i="5"/>
  <c r="J362" i="5"/>
  <c r="K362" i="5"/>
  <c r="L362" i="5"/>
  <c r="M362" i="5"/>
  <c r="J363" i="5"/>
  <c r="K363" i="5"/>
  <c r="L363" i="5"/>
  <c r="M363" i="5"/>
  <c r="J364" i="5"/>
  <c r="K364" i="5"/>
  <c r="L364" i="5"/>
  <c r="M364" i="5"/>
  <c r="J365" i="5"/>
  <c r="K365" i="5"/>
  <c r="L365" i="5"/>
  <c r="M365" i="5"/>
  <c r="J366" i="5"/>
  <c r="K366" i="5"/>
  <c r="L366" i="5"/>
  <c r="M366" i="5"/>
  <c r="J367" i="5"/>
  <c r="K367" i="5"/>
  <c r="L367" i="5"/>
  <c r="M367" i="5"/>
  <c r="J368" i="5"/>
  <c r="K368" i="5"/>
  <c r="L368" i="5"/>
  <c r="M368" i="5"/>
  <c r="J369" i="5"/>
  <c r="K369" i="5"/>
  <c r="L369" i="5"/>
  <c r="M369" i="5"/>
  <c r="J370" i="5"/>
  <c r="K370" i="5"/>
  <c r="L370" i="5"/>
  <c r="M370" i="5"/>
  <c r="J371" i="5"/>
  <c r="K371" i="5"/>
  <c r="L371" i="5"/>
  <c r="M371" i="5"/>
  <c r="J372" i="5"/>
  <c r="K372" i="5"/>
  <c r="L372" i="5"/>
  <c r="M372" i="5"/>
  <c r="J373" i="5"/>
  <c r="K373" i="5"/>
  <c r="L373" i="5"/>
  <c r="M373" i="5"/>
  <c r="J374" i="5"/>
  <c r="K374" i="5"/>
  <c r="L374" i="5"/>
  <c r="M374" i="5"/>
  <c r="J375" i="5"/>
  <c r="K375" i="5"/>
  <c r="L375" i="5"/>
  <c r="M375" i="5"/>
  <c r="J376" i="5"/>
  <c r="K376" i="5"/>
  <c r="L376" i="5"/>
  <c r="M376" i="5"/>
  <c r="J377" i="5"/>
  <c r="K377" i="5"/>
  <c r="L377" i="5"/>
  <c r="M377" i="5"/>
  <c r="J378" i="5"/>
  <c r="K378" i="5"/>
  <c r="L378" i="5"/>
  <c r="M378" i="5"/>
  <c r="J379" i="5"/>
  <c r="K379" i="5"/>
  <c r="L379" i="5"/>
  <c r="M379" i="5"/>
  <c r="J380" i="5"/>
  <c r="K380" i="5"/>
  <c r="L380" i="5"/>
  <c r="M380" i="5"/>
  <c r="J381" i="5"/>
  <c r="K381" i="5"/>
  <c r="L381" i="5"/>
  <c r="M381" i="5"/>
  <c r="J382" i="5"/>
  <c r="K382" i="5"/>
  <c r="L382" i="5"/>
  <c r="M382" i="5"/>
  <c r="J383" i="5"/>
  <c r="K383" i="5"/>
  <c r="L383" i="5"/>
  <c r="M383" i="5"/>
  <c r="J384" i="5"/>
  <c r="K384" i="5"/>
  <c r="L384" i="5"/>
  <c r="M384" i="5"/>
  <c r="J385" i="5"/>
  <c r="K385" i="5"/>
  <c r="L385" i="5"/>
  <c r="M385" i="5"/>
  <c r="J386" i="5"/>
  <c r="K386" i="5"/>
  <c r="L386" i="5"/>
  <c r="M386" i="5"/>
  <c r="J387" i="5"/>
  <c r="K387" i="5"/>
  <c r="L387" i="5"/>
  <c r="M387" i="5"/>
  <c r="J388" i="5"/>
  <c r="K388" i="5"/>
  <c r="L388" i="5"/>
  <c r="M388" i="5"/>
  <c r="J389" i="5"/>
  <c r="K389" i="5"/>
  <c r="L389" i="5"/>
  <c r="M389" i="5"/>
  <c r="J390" i="5"/>
  <c r="K390" i="5"/>
  <c r="L390" i="5"/>
  <c r="M390" i="5"/>
  <c r="J391" i="5"/>
  <c r="K391" i="5"/>
  <c r="L391" i="5"/>
  <c r="M391" i="5"/>
  <c r="J392" i="5"/>
  <c r="K392" i="5"/>
  <c r="L392" i="5"/>
  <c r="M392" i="5"/>
  <c r="J393" i="5"/>
  <c r="K393" i="5"/>
  <c r="L393" i="5"/>
  <c r="M393" i="5"/>
  <c r="J394" i="5"/>
  <c r="K394" i="5"/>
  <c r="L394" i="5"/>
  <c r="M394" i="5"/>
  <c r="J395" i="5"/>
  <c r="K395" i="5"/>
  <c r="L395" i="5"/>
  <c r="M395" i="5"/>
  <c r="J396" i="5"/>
  <c r="K396" i="5"/>
  <c r="L396" i="5"/>
  <c r="M396" i="5"/>
  <c r="J397" i="5"/>
  <c r="K397" i="5"/>
  <c r="L397" i="5"/>
  <c r="M397" i="5"/>
  <c r="J398" i="5"/>
  <c r="K398" i="5"/>
  <c r="L398" i="5"/>
  <c r="M398" i="5"/>
  <c r="J399" i="5"/>
  <c r="K399" i="5"/>
  <c r="L399" i="5"/>
  <c r="M399" i="5"/>
  <c r="J400" i="5"/>
  <c r="K400" i="5"/>
  <c r="L400" i="5"/>
  <c r="M400" i="5"/>
  <c r="J401" i="5"/>
  <c r="K401" i="5"/>
  <c r="L401" i="5"/>
  <c r="M401" i="5"/>
  <c r="J402" i="5"/>
  <c r="K402" i="5"/>
  <c r="L402" i="5"/>
  <c r="M402" i="5"/>
  <c r="J403" i="5"/>
  <c r="K403" i="5"/>
  <c r="L403" i="5"/>
  <c r="M403" i="5"/>
  <c r="J404" i="5"/>
  <c r="K404" i="5"/>
  <c r="L404" i="5"/>
  <c r="M404" i="5"/>
  <c r="J405" i="5"/>
  <c r="K405" i="5"/>
  <c r="L405" i="5"/>
  <c r="M405" i="5"/>
  <c r="J406" i="5"/>
  <c r="K406" i="5"/>
  <c r="L406" i="5"/>
  <c r="M406" i="5"/>
  <c r="J407" i="5"/>
  <c r="K407" i="5"/>
  <c r="L407" i="5"/>
  <c r="M407" i="5"/>
  <c r="J408" i="5"/>
  <c r="K408" i="5"/>
  <c r="L408" i="5"/>
  <c r="M408" i="5"/>
  <c r="J409" i="5"/>
  <c r="K409" i="5"/>
  <c r="L409" i="5"/>
  <c r="M409" i="5"/>
  <c r="J410" i="5"/>
  <c r="K410" i="5"/>
  <c r="L410" i="5"/>
  <c r="M410" i="5"/>
  <c r="J411" i="5"/>
  <c r="K411" i="5"/>
  <c r="L411" i="5"/>
  <c r="M411" i="5"/>
  <c r="J412" i="5"/>
  <c r="K412" i="5"/>
  <c r="L412" i="5"/>
  <c r="M412" i="5"/>
  <c r="J413" i="5"/>
  <c r="K413" i="5"/>
  <c r="L413" i="5"/>
  <c r="M413" i="5"/>
  <c r="J414" i="5"/>
  <c r="K414" i="5"/>
  <c r="L414" i="5"/>
  <c r="M414" i="5"/>
  <c r="J415" i="5"/>
  <c r="K415" i="5"/>
  <c r="L415" i="5"/>
  <c r="M415" i="5"/>
  <c r="J416" i="5"/>
  <c r="K416" i="5"/>
  <c r="L416" i="5"/>
  <c r="M416" i="5"/>
  <c r="J417" i="5"/>
  <c r="K417" i="5"/>
  <c r="L417" i="5"/>
  <c r="M417" i="5"/>
  <c r="J418" i="5"/>
  <c r="K418" i="5"/>
  <c r="L418" i="5"/>
  <c r="M418" i="5"/>
  <c r="J419" i="5"/>
  <c r="K419" i="5"/>
  <c r="L419" i="5"/>
  <c r="M419" i="5"/>
  <c r="J420" i="5"/>
  <c r="K420" i="5"/>
  <c r="L420" i="5"/>
  <c r="M420" i="5"/>
  <c r="J421" i="5"/>
  <c r="K421" i="5"/>
  <c r="L421" i="5"/>
  <c r="M421" i="5"/>
  <c r="J422" i="5"/>
  <c r="K422" i="5"/>
  <c r="L422" i="5"/>
  <c r="M422" i="5"/>
  <c r="J423" i="5"/>
  <c r="K423" i="5"/>
  <c r="L423" i="5"/>
  <c r="M423" i="5"/>
  <c r="J424" i="5"/>
  <c r="K424" i="5"/>
  <c r="L424" i="5"/>
  <c r="M424" i="5"/>
  <c r="J425" i="5"/>
  <c r="K425" i="5"/>
  <c r="L425" i="5"/>
  <c r="M425" i="5"/>
  <c r="J426" i="5"/>
  <c r="K426" i="5"/>
  <c r="L426" i="5"/>
  <c r="M426" i="5"/>
  <c r="J427" i="5"/>
  <c r="K427" i="5"/>
  <c r="L427" i="5"/>
  <c r="M427" i="5"/>
  <c r="J428" i="5"/>
  <c r="K428" i="5"/>
  <c r="L428" i="5"/>
  <c r="M428" i="5"/>
  <c r="J429" i="5"/>
  <c r="K429" i="5"/>
  <c r="L429" i="5"/>
  <c r="M429" i="5"/>
  <c r="J430" i="5"/>
  <c r="K430" i="5"/>
  <c r="L430" i="5"/>
  <c r="M430" i="5"/>
  <c r="J431" i="5"/>
  <c r="K431" i="5"/>
  <c r="L431" i="5"/>
  <c r="M431" i="5"/>
  <c r="J432" i="5"/>
  <c r="K432" i="5"/>
  <c r="L432" i="5"/>
  <c r="M432" i="5"/>
  <c r="J433" i="5"/>
  <c r="K433" i="5"/>
  <c r="L433" i="5"/>
  <c r="M433" i="5"/>
  <c r="J434" i="5"/>
  <c r="K434" i="5"/>
  <c r="L434" i="5"/>
  <c r="M434" i="5"/>
  <c r="J435" i="5"/>
  <c r="K435" i="5"/>
  <c r="L435" i="5"/>
  <c r="M435" i="5"/>
  <c r="J436" i="5"/>
  <c r="K436" i="5"/>
  <c r="L436" i="5"/>
  <c r="M436" i="5"/>
  <c r="J437" i="5"/>
  <c r="K437" i="5"/>
  <c r="L437" i="5"/>
  <c r="M437" i="5"/>
  <c r="J438" i="5"/>
  <c r="K438" i="5"/>
  <c r="L438" i="5"/>
  <c r="M438" i="5"/>
  <c r="J439" i="5"/>
  <c r="K439" i="5"/>
  <c r="L439" i="5"/>
  <c r="M439" i="5"/>
  <c r="J440" i="5"/>
  <c r="K440" i="5"/>
  <c r="L440" i="5"/>
  <c r="M440" i="5"/>
  <c r="J441" i="5"/>
  <c r="K441" i="5"/>
  <c r="L441" i="5"/>
  <c r="M441" i="5"/>
  <c r="J442" i="5"/>
  <c r="K442" i="5"/>
  <c r="L442" i="5"/>
  <c r="M442" i="5"/>
  <c r="J443" i="5"/>
  <c r="K443" i="5"/>
  <c r="L443" i="5"/>
  <c r="M443" i="5"/>
  <c r="J444" i="5"/>
  <c r="K444" i="5"/>
  <c r="L444" i="5"/>
  <c r="M444" i="5"/>
  <c r="J445" i="5"/>
  <c r="K445" i="5"/>
  <c r="L445" i="5"/>
  <c r="M445" i="5"/>
  <c r="J446" i="5"/>
  <c r="K446" i="5"/>
  <c r="L446" i="5"/>
  <c r="M446" i="5"/>
  <c r="J447" i="5"/>
  <c r="K447" i="5"/>
  <c r="L447" i="5"/>
  <c r="M447" i="5"/>
  <c r="J448" i="5"/>
  <c r="K448" i="5"/>
  <c r="L448" i="5"/>
  <c r="M448" i="5"/>
  <c r="J449" i="5"/>
  <c r="K449" i="5"/>
  <c r="L449" i="5"/>
  <c r="M449" i="5"/>
  <c r="J450" i="5"/>
  <c r="K450" i="5"/>
  <c r="L450" i="5"/>
  <c r="M450" i="5"/>
  <c r="J451" i="5"/>
  <c r="K451" i="5"/>
  <c r="L451" i="5"/>
  <c r="M451" i="5"/>
  <c r="J452" i="5"/>
  <c r="K452" i="5"/>
  <c r="L452" i="5"/>
  <c r="M452" i="5"/>
  <c r="J453" i="5"/>
  <c r="K453" i="5"/>
  <c r="L453" i="5"/>
  <c r="M453" i="5"/>
  <c r="J454" i="5"/>
  <c r="K454" i="5"/>
  <c r="L454" i="5"/>
  <c r="M454" i="5"/>
  <c r="J455" i="5"/>
  <c r="K455" i="5"/>
  <c r="L455" i="5"/>
  <c r="M455" i="5"/>
  <c r="J456" i="5"/>
  <c r="K456" i="5"/>
  <c r="L456" i="5"/>
  <c r="M456" i="5"/>
  <c r="J457" i="5"/>
  <c r="K457" i="5"/>
  <c r="L457" i="5"/>
  <c r="M457" i="5"/>
  <c r="J458" i="5"/>
  <c r="K458" i="5"/>
  <c r="L458" i="5"/>
  <c r="M458" i="5"/>
  <c r="J459" i="5"/>
  <c r="K459" i="5"/>
  <c r="L459" i="5"/>
  <c r="M459" i="5"/>
  <c r="J460" i="5"/>
  <c r="K460" i="5"/>
  <c r="L460" i="5"/>
  <c r="M460" i="5"/>
  <c r="J461" i="5"/>
  <c r="K461" i="5"/>
  <c r="L461" i="5"/>
  <c r="M461" i="5"/>
  <c r="J462" i="5"/>
  <c r="K462" i="5"/>
  <c r="L462" i="5"/>
  <c r="M462" i="5"/>
  <c r="J463" i="5"/>
  <c r="K463" i="5"/>
  <c r="L463" i="5"/>
  <c r="M463" i="5"/>
  <c r="J464" i="5"/>
  <c r="K464" i="5"/>
  <c r="L464" i="5"/>
  <c r="M464" i="5"/>
  <c r="J465" i="5"/>
  <c r="K465" i="5"/>
  <c r="L465" i="5"/>
  <c r="M465" i="5"/>
  <c r="J466" i="5"/>
  <c r="K466" i="5"/>
  <c r="L466" i="5"/>
  <c r="M466" i="5"/>
  <c r="J467" i="5"/>
  <c r="K467" i="5"/>
  <c r="L467" i="5"/>
  <c r="M467" i="5"/>
  <c r="J468" i="5"/>
  <c r="K468" i="5"/>
  <c r="L468" i="5"/>
  <c r="M468" i="5"/>
  <c r="J469" i="5"/>
  <c r="K469" i="5"/>
  <c r="L469" i="5"/>
  <c r="M469" i="5"/>
  <c r="J470" i="5"/>
  <c r="K470" i="5"/>
  <c r="L470" i="5"/>
  <c r="M470" i="5"/>
  <c r="J471" i="5"/>
  <c r="K471" i="5"/>
  <c r="L471" i="5"/>
  <c r="M471" i="5"/>
  <c r="J472" i="5"/>
  <c r="K472" i="5"/>
  <c r="L472" i="5"/>
  <c r="M472" i="5"/>
  <c r="J473" i="5"/>
  <c r="K473" i="5"/>
  <c r="L473" i="5"/>
  <c r="M473" i="5"/>
  <c r="J474" i="5"/>
  <c r="K474" i="5"/>
  <c r="L474" i="5"/>
  <c r="M474" i="5"/>
  <c r="J475" i="5"/>
  <c r="K475" i="5"/>
  <c r="L475" i="5"/>
  <c r="M475" i="5"/>
  <c r="J476" i="5"/>
  <c r="K476" i="5"/>
  <c r="L476" i="5"/>
  <c r="M476" i="5"/>
  <c r="J477" i="5"/>
  <c r="K477" i="5"/>
  <c r="L477" i="5"/>
  <c r="M477" i="5"/>
  <c r="J478" i="5"/>
  <c r="K478" i="5"/>
  <c r="L478" i="5"/>
  <c r="M478" i="5"/>
  <c r="J479" i="5"/>
  <c r="K479" i="5"/>
  <c r="L479" i="5"/>
  <c r="M479" i="5"/>
  <c r="J480" i="5"/>
  <c r="K480" i="5"/>
  <c r="L480" i="5"/>
  <c r="M480" i="5"/>
  <c r="J481" i="5"/>
  <c r="K481" i="5"/>
  <c r="L481" i="5"/>
  <c r="M481" i="5"/>
  <c r="J482" i="5"/>
  <c r="K482" i="5"/>
  <c r="L482" i="5"/>
  <c r="M482" i="5"/>
  <c r="J483" i="5"/>
  <c r="K483" i="5"/>
  <c r="L483" i="5"/>
  <c r="M483" i="5"/>
  <c r="J484" i="5"/>
  <c r="K484" i="5"/>
  <c r="L484" i="5"/>
  <c r="M484" i="5"/>
  <c r="J485" i="5"/>
  <c r="K485" i="5"/>
  <c r="L485" i="5"/>
  <c r="M485" i="5"/>
  <c r="J486" i="5"/>
  <c r="K486" i="5"/>
  <c r="L486" i="5"/>
  <c r="M486" i="5"/>
  <c r="J487" i="5"/>
  <c r="K487" i="5"/>
  <c r="L487" i="5"/>
  <c r="M487" i="5"/>
  <c r="J488" i="5"/>
  <c r="K488" i="5"/>
  <c r="L488" i="5"/>
  <c r="M488" i="5"/>
  <c r="J489" i="5"/>
  <c r="K489" i="5"/>
  <c r="L489" i="5"/>
  <c r="M489" i="5"/>
  <c r="J490" i="5"/>
  <c r="K490" i="5"/>
  <c r="L490" i="5"/>
  <c r="M490" i="5"/>
  <c r="J491" i="5"/>
  <c r="K491" i="5"/>
  <c r="L491" i="5"/>
  <c r="M491" i="5"/>
  <c r="J492" i="5"/>
  <c r="K492" i="5"/>
  <c r="L492" i="5"/>
  <c r="M492" i="5"/>
  <c r="J493" i="5"/>
  <c r="K493" i="5"/>
  <c r="L493" i="5"/>
  <c r="M493" i="5"/>
  <c r="J494" i="5"/>
  <c r="K494" i="5"/>
  <c r="L494" i="5"/>
  <c r="M494" i="5"/>
  <c r="J495" i="5"/>
  <c r="K495" i="5"/>
  <c r="L495" i="5"/>
  <c r="M495" i="5"/>
  <c r="J496" i="5"/>
  <c r="K496" i="5"/>
  <c r="L496" i="5"/>
  <c r="M496" i="5"/>
  <c r="J497" i="5"/>
  <c r="K497" i="5"/>
  <c r="L497" i="5"/>
  <c r="M497" i="5"/>
  <c r="J498" i="5"/>
  <c r="K498" i="5"/>
  <c r="L498" i="5"/>
  <c r="M498" i="5"/>
  <c r="J499" i="5"/>
  <c r="K499" i="5"/>
  <c r="L499" i="5"/>
  <c r="M499" i="5"/>
  <c r="J500" i="5"/>
  <c r="K500" i="5"/>
  <c r="L500" i="5"/>
  <c r="M500" i="5"/>
  <c r="J501" i="5"/>
  <c r="K501" i="5"/>
  <c r="L501" i="5"/>
  <c r="M501" i="5"/>
  <c r="J502" i="5"/>
  <c r="K502" i="5"/>
  <c r="L502" i="5"/>
  <c r="M502" i="5"/>
  <c r="J503" i="5"/>
  <c r="K503" i="5"/>
  <c r="L503" i="5"/>
  <c r="M503" i="5"/>
  <c r="J504" i="5"/>
  <c r="K504" i="5"/>
  <c r="L504" i="5"/>
  <c r="M504" i="5"/>
  <c r="J505" i="5"/>
  <c r="K505" i="5"/>
  <c r="L505" i="5"/>
  <c r="M505" i="5"/>
  <c r="J506" i="5"/>
  <c r="K506" i="5"/>
  <c r="L506" i="5"/>
  <c r="M506" i="5"/>
  <c r="J507" i="5"/>
  <c r="K507" i="5"/>
  <c r="L507" i="5"/>
  <c r="M507" i="5"/>
  <c r="J508" i="5"/>
  <c r="K508" i="5"/>
  <c r="L508" i="5"/>
  <c r="M508" i="5"/>
  <c r="J509" i="5"/>
  <c r="K509" i="5"/>
  <c r="L509" i="5"/>
  <c r="M509" i="5"/>
  <c r="J510" i="5"/>
  <c r="K510" i="5"/>
  <c r="L510" i="5"/>
  <c r="M510" i="5"/>
  <c r="J511" i="5"/>
  <c r="K511" i="5"/>
  <c r="L511" i="5"/>
  <c r="M511" i="5"/>
  <c r="J512" i="5"/>
  <c r="K512" i="5"/>
  <c r="L512" i="5"/>
  <c r="M512" i="5"/>
  <c r="J513" i="5"/>
  <c r="K513" i="5"/>
  <c r="L513" i="5"/>
  <c r="M513" i="5"/>
  <c r="J514" i="5"/>
  <c r="K514" i="5"/>
  <c r="L514" i="5"/>
  <c r="M514" i="5"/>
  <c r="J515" i="5"/>
  <c r="K515" i="5"/>
  <c r="L515" i="5"/>
  <c r="M515" i="5"/>
  <c r="J516" i="5"/>
  <c r="K516" i="5"/>
  <c r="L516" i="5"/>
  <c r="M516" i="5"/>
  <c r="J517" i="5"/>
  <c r="K517" i="5"/>
  <c r="L517" i="5"/>
  <c r="M517" i="5"/>
  <c r="J518" i="5"/>
  <c r="K518" i="5"/>
  <c r="L518" i="5"/>
  <c r="M518" i="5"/>
  <c r="J519" i="5"/>
  <c r="K519" i="5"/>
  <c r="L519" i="5"/>
  <c r="M519" i="5"/>
  <c r="J520" i="5"/>
  <c r="K520" i="5"/>
  <c r="L520" i="5"/>
  <c r="M520" i="5"/>
  <c r="J521" i="5"/>
  <c r="K521" i="5"/>
  <c r="L521" i="5"/>
  <c r="M521" i="5"/>
  <c r="J522" i="5"/>
  <c r="K522" i="5"/>
  <c r="L522" i="5"/>
  <c r="M522" i="5"/>
  <c r="J523" i="5"/>
  <c r="K523" i="5"/>
  <c r="L523" i="5"/>
  <c r="M523" i="5"/>
  <c r="J524" i="5"/>
  <c r="K524" i="5"/>
  <c r="L524" i="5"/>
  <c r="M524" i="5"/>
  <c r="J525" i="5"/>
  <c r="K525" i="5"/>
  <c r="L525" i="5"/>
  <c r="M525" i="5"/>
  <c r="J526" i="5"/>
  <c r="K526" i="5"/>
  <c r="L526" i="5"/>
  <c r="M526" i="5"/>
  <c r="J527" i="5"/>
  <c r="K527" i="5"/>
  <c r="L527" i="5"/>
  <c r="M527" i="5"/>
  <c r="J528" i="5"/>
  <c r="K528" i="5"/>
  <c r="L528" i="5"/>
  <c r="M528" i="5"/>
  <c r="J529" i="5"/>
  <c r="K529" i="5"/>
  <c r="L529" i="5"/>
  <c r="M529" i="5"/>
  <c r="J530" i="5"/>
  <c r="K530" i="5"/>
  <c r="L530" i="5"/>
  <c r="M530" i="5"/>
  <c r="J531" i="5"/>
  <c r="K531" i="5"/>
  <c r="L531" i="5"/>
  <c r="M531" i="5"/>
  <c r="J532" i="5"/>
  <c r="K532" i="5"/>
  <c r="L532" i="5"/>
  <c r="M532" i="5"/>
  <c r="J533" i="5"/>
  <c r="K533" i="5"/>
  <c r="L533" i="5"/>
  <c r="M533" i="5"/>
  <c r="J534" i="5"/>
  <c r="K534" i="5"/>
  <c r="L534" i="5"/>
  <c r="M534" i="5"/>
  <c r="J535" i="5"/>
  <c r="K535" i="5"/>
  <c r="L535" i="5"/>
  <c r="M535" i="5"/>
  <c r="J536" i="5"/>
  <c r="K536" i="5"/>
  <c r="L536" i="5"/>
  <c r="M536" i="5"/>
  <c r="J537" i="5"/>
  <c r="K537" i="5"/>
  <c r="L537" i="5"/>
  <c r="M537" i="5"/>
  <c r="J538" i="5"/>
  <c r="K538" i="5"/>
  <c r="L538" i="5"/>
  <c r="M538" i="5"/>
  <c r="J539" i="5"/>
  <c r="K539" i="5"/>
  <c r="L539" i="5"/>
  <c r="M539" i="5"/>
  <c r="J540" i="5"/>
  <c r="K540" i="5"/>
  <c r="L540" i="5"/>
  <c r="M540" i="5"/>
  <c r="J541" i="5"/>
  <c r="K541" i="5"/>
  <c r="L541" i="5"/>
  <c r="M541" i="5"/>
  <c r="J542" i="5"/>
  <c r="K542" i="5"/>
  <c r="L542" i="5"/>
  <c r="M542" i="5"/>
  <c r="J543" i="5"/>
  <c r="K543" i="5"/>
  <c r="L543" i="5"/>
  <c r="M543" i="5"/>
  <c r="J544" i="5"/>
  <c r="K544" i="5"/>
  <c r="L544" i="5"/>
  <c r="M544" i="5"/>
  <c r="J545" i="5"/>
  <c r="K545" i="5"/>
  <c r="L545" i="5"/>
  <c r="M545" i="5"/>
  <c r="J546" i="5"/>
  <c r="K546" i="5"/>
  <c r="L546" i="5"/>
  <c r="M546" i="5"/>
  <c r="J547" i="5"/>
  <c r="K547" i="5"/>
  <c r="L547" i="5"/>
  <c r="M547" i="5"/>
  <c r="J548" i="5"/>
  <c r="K548" i="5"/>
  <c r="L548" i="5"/>
  <c r="M548" i="5"/>
  <c r="J549" i="5"/>
  <c r="K549" i="5"/>
  <c r="L549" i="5"/>
  <c r="M549" i="5"/>
  <c r="J550" i="5"/>
  <c r="K550" i="5"/>
  <c r="L550" i="5"/>
  <c r="M550" i="5"/>
  <c r="J551" i="5"/>
  <c r="K551" i="5"/>
  <c r="L551" i="5"/>
  <c r="M551" i="5"/>
  <c r="J552" i="5"/>
  <c r="K552" i="5"/>
  <c r="L552" i="5"/>
  <c r="M552" i="5"/>
  <c r="J553" i="5"/>
  <c r="K553" i="5"/>
  <c r="L553" i="5"/>
  <c r="M553" i="5"/>
  <c r="J554" i="5"/>
  <c r="K554" i="5"/>
  <c r="L554" i="5"/>
  <c r="M554" i="5"/>
  <c r="J555" i="5"/>
  <c r="K555" i="5"/>
  <c r="L555" i="5"/>
  <c r="M555" i="5"/>
  <c r="J556" i="5"/>
  <c r="K556" i="5"/>
  <c r="L556" i="5"/>
  <c r="M556" i="5"/>
  <c r="J557" i="5"/>
  <c r="K557" i="5"/>
  <c r="L557" i="5"/>
  <c r="M557" i="5"/>
  <c r="J558" i="5"/>
  <c r="K558" i="5"/>
  <c r="L558" i="5"/>
  <c r="M558" i="5"/>
  <c r="J559" i="5"/>
  <c r="K559" i="5"/>
  <c r="L559" i="5"/>
  <c r="M559" i="5"/>
  <c r="J560" i="5"/>
  <c r="K560" i="5"/>
  <c r="L560" i="5"/>
  <c r="M560" i="5"/>
  <c r="J561" i="5"/>
  <c r="K561" i="5"/>
  <c r="L561" i="5"/>
  <c r="M561" i="5"/>
  <c r="J562" i="5"/>
  <c r="K562" i="5"/>
  <c r="L562" i="5"/>
  <c r="M562" i="5"/>
  <c r="J563" i="5"/>
  <c r="K563" i="5"/>
  <c r="L563" i="5"/>
  <c r="M563" i="5"/>
  <c r="J564" i="5"/>
  <c r="K564" i="5"/>
  <c r="L564" i="5"/>
  <c r="M564" i="5"/>
  <c r="J565" i="5"/>
  <c r="K565" i="5"/>
  <c r="L565" i="5"/>
  <c r="M565" i="5"/>
  <c r="J566" i="5"/>
  <c r="K566" i="5"/>
  <c r="L566" i="5"/>
  <c r="M566" i="5"/>
  <c r="J567" i="5"/>
  <c r="K567" i="5"/>
  <c r="L567" i="5"/>
  <c r="M567" i="5"/>
  <c r="J568" i="5"/>
  <c r="K568" i="5"/>
  <c r="L568" i="5"/>
  <c r="M568" i="5"/>
  <c r="J569" i="5"/>
  <c r="K569" i="5"/>
  <c r="L569" i="5"/>
  <c r="M569" i="5"/>
  <c r="J570" i="5"/>
  <c r="K570" i="5"/>
  <c r="L570" i="5"/>
  <c r="M570" i="5"/>
  <c r="J571" i="5"/>
  <c r="K571" i="5"/>
  <c r="L571" i="5"/>
  <c r="M571" i="5"/>
  <c r="J572" i="5"/>
  <c r="K572" i="5"/>
  <c r="L572" i="5"/>
  <c r="M572" i="5"/>
  <c r="J573" i="5"/>
  <c r="K573" i="5"/>
  <c r="L573" i="5"/>
  <c r="M573" i="5"/>
  <c r="J574" i="5"/>
  <c r="K574" i="5"/>
  <c r="L574" i="5"/>
  <c r="M574" i="5"/>
  <c r="J575" i="5"/>
  <c r="K575" i="5"/>
  <c r="L575" i="5"/>
  <c r="M575" i="5"/>
  <c r="J576" i="5"/>
  <c r="K576" i="5"/>
  <c r="L576" i="5"/>
  <c r="M576" i="5"/>
  <c r="J577" i="5"/>
  <c r="K577" i="5"/>
  <c r="L577" i="5"/>
  <c r="M577" i="5"/>
  <c r="J578" i="5"/>
  <c r="K578" i="5"/>
  <c r="L578" i="5"/>
  <c r="M578" i="5"/>
  <c r="J579" i="5"/>
  <c r="K579" i="5"/>
  <c r="L579" i="5"/>
  <c r="M579" i="5"/>
  <c r="J580" i="5"/>
  <c r="K580" i="5"/>
  <c r="L580" i="5"/>
  <c r="M580" i="5"/>
  <c r="J581" i="5"/>
  <c r="K581" i="5"/>
  <c r="L581" i="5"/>
  <c r="M581" i="5"/>
  <c r="J582" i="5"/>
  <c r="K582" i="5"/>
  <c r="L582" i="5"/>
  <c r="M582" i="5"/>
  <c r="J583" i="5"/>
  <c r="K583" i="5"/>
  <c r="L583" i="5"/>
  <c r="M583" i="5"/>
  <c r="J584" i="5"/>
  <c r="K584" i="5"/>
  <c r="L584" i="5"/>
  <c r="M584" i="5"/>
  <c r="J585" i="5"/>
  <c r="K585" i="5"/>
  <c r="L585" i="5"/>
  <c r="M585" i="5"/>
  <c r="J586" i="5"/>
  <c r="K586" i="5"/>
  <c r="L586" i="5"/>
  <c r="M586" i="5"/>
  <c r="J587" i="5"/>
  <c r="K587" i="5"/>
  <c r="L587" i="5"/>
  <c r="M587" i="5"/>
  <c r="J588" i="5"/>
  <c r="K588" i="5"/>
  <c r="L588" i="5"/>
  <c r="M588" i="5"/>
  <c r="J589" i="5"/>
  <c r="K589" i="5"/>
  <c r="L589" i="5"/>
  <c r="M589" i="5"/>
  <c r="J590" i="5"/>
  <c r="K590" i="5"/>
  <c r="L590" i="5"/>
  <c r="M590" i="5"/>
  <c r="J591" i="5"/>
  <c r="K591" i="5"/>
  <c r="L591" i="5"/>
  <c r="M591" i="5"/>
  <c r="J592" i="5"/>
  <c r="K592" i="5"/>
  <c r="L592" i="5"/>
  <c r="M592" i="5"/>
  <c r="J593" i="5"/>
  <c r="K593" i="5"/>
  <c r="L593" i="5"/>
  <c r="M593" i="5"/>
  <c r="J594" i="5"/>
  <c r="K594" i="5"/>
  <c r="L594" i="5"/>
  <c r="M594" i="5"/>
  <c r="J595" i="5"/>
  <c r="K595" i="5"/>
  <c r="L595" i="5"/>
  <c r="M595" i="5"/>
  <c r="J596" i="5"/>
  <c r="K596" i="5"/>
  <c r="L596" i="5"/>
  <c r="M596" i="5"/>
  <c r="J597" i="5"/>
  <c r="K597" i="5"/>
  <c r="L597" i="5"/>
  <c r="M597" i="5"/>
  <c r="J598" i="5"/>
  <c r="K598" i="5"/>
  <c r="L598" i="5"/>
  <c r="M598" i="5"/>
  <c r="J599" i="5"/>
  <c r="K599" i="5"/>
  <c r="L599" i="5"/>
  <c r="M599" i="5"/>
  <c r="J600" i="5"/>
  <c r="K600" i="5"/>
  <c r="L600" i="5"/>
  <c r="M600" i="5"/>
  <c r="J601" i="5"/>
  <c r="K601" i="5"/>
  <c r="L601" i="5"/>
  <c r="M601" i="5"/>
  <c r="J602" i="5"/>
  <c r="K602" i="5"/>
  <c r="L602" i="5"/>
  <c r="M602" i="5"/>
  <c r="J603" i="5"/>
  <c r="K603" i="5"/>
  <c r="L603" i="5"/>
  <c r="M603" i="5"/>
  <c r="J604" i="5"/>
  <c r="K604" i="5"/>
  <c r="L604" i="5"/>
  <c r="M604" i="5"/>
  <c r="J605" i="5"/>
  <c r="K605" i="5"/>
  <c r="L605" i="5"/>
  <c r="M605" i="5"/>
  <c r="J606" i="5"/>
  <c r="K606" i="5"/>
  <c r="L606" i="5"/>
  <c r="M606" i="5"/>
  <c r="J607" i="5"/>
  <c r="K607" i="5"/>
  <c r="L607" i="5"/>
  <c r="M607" i="5"/>
  <c r="J608" i="5"/>
  <c r="K608" i="5"/>
  <c r="L608" i="5"/>
  <c r="M608" i="5"/>
  <c r="J609" i="5"/>
  <c r="K609" i="5"/>
  <c r="L609" i="5"/>
  <c r="M609" i="5"/>
  <c r="J610" i="5"/>
  <c r="K610" i="5"/>
  <c r="L610" i="5"/>
  <c r="M610" i="5"/>
  <c r="J611" i="5"/>
  <c r="K611" i="5"/>
  <c r="L611" i="5"/>
  <c r="M611" i="5"/>
  <c r="J612" i="5"/>
  <c r="K612" i="5"/>
  <c r="L612" i="5"/>
  <c r="M612" i="5"/>
  <c r="J613" i="5"/>
  <c r="K613" i="5"/>
  <c r="L613" i="5"/>
  <c r="M613" i="5"/>
  <c r="J614" i="5"/>
  <c r="K614" i="5"/>
  <c r="L614" i="5"/>
  <c r="M614" i="5"/>
  <c r="J615" i="5"/>
  <c r="K615" i="5"/>
  <c r="L615" i="5"/>
  <c r="M615" i="5"/>
  <c r="J616" i="5"/>
  <c r="K616" i="5"/>
  <c r="L616" i="5"/>
  <c r="M616" i="5"/>
  <c r="J617" i="5"/>
  <c r="K617" i="5"/>
  <c r="L617" i="5"/>
  <c r="M617" i="5"/>
  <c r="J618" i="5"/>
  <c r="K618" i="5"/>
  <c r="L618" i="5"/>
  <c r="M618" i="5"/>
  <c r="J619" i="5"/>
  <c r="K619" i="5"/>
  <c r="L619" i="5"/>
  <c r="M619" i="5"/>
  <c r="J620" i="5"/>
  <c r="K620" i="5"/>
  <c r="L620" i="5"/>
  <c r="M620" i="5"/>
  <c r="J621" i="5"/>
  <c r="K621" i="5"/>
  <c r="L621" i="5"/>
  <c r="M621" i="5"/>
  <c r="J622" i="5"/>
  <c r="K622" i="5"/>
  <c r="L622" i="5"/>
  <c r="M622" i="5"/>
  <c r="J623" i="5"/>
  <c r="K623" i="5"/>
  <c r="L623" i="5"/>
  <c r="M623" i="5"/>
  <c r="J624" i="5"/>
  <c r="K624" i="5"/>
  <c r="L624" i="5"/>
  <c r="M624" i="5"/>
  <c r="J625" i="5"/>
  <c r="K625" i="5"/>
  <c r="L625" i="5"/>
  <c r="M625" i="5"/>
  <c r="J626" i="5"/>
  <c r="K626" i="5"/>
  <c r="L626" i="5"/>
  <c r="M626" i="5"/>
  <c r="J627" i="5"/>
  <c r="K627" i="5"/>
  <c r="L627" i="5"/>
  <c r="M627" i="5"/>
  <c r="J628" i="5"/>
  <c r="K628" i="5"/>
  <c r="L628" i="5"/>
  <c r="M628" i="5"/>
  <c r="J629" i="5"/>
  <c r="K629" i="5"/>
  <c r="L629" i="5"/>
  <c r="M629" i="5"/>
  <c r="J630" i="5"/>
  <c r="K630" i="5"/>
  <c r="L630" i="5"/>
  <c r="M630" i="5"/>
  <c r="J631" i="5"/>
  <c r="K631" i="5"/>
  <c r="L631" i="5"/>
  <c r="M631" i="5"/>
  <c r="J632" i="5"/>
  <c r="K632" i="5"/>
  <c r="L632" i="5"/>
  <c r="M632" i="5"/>
  <c r="J633" i="5"/>
  <c r="K633" i="5"/>
  <c r="L633" i="5"/>
  <c r="M633" i="5"/>
  <c r="J634" i="5"/>
  <c r="K634" i="5"/>
  <c r="L634" i="5"/>
  <c r="M634" i="5"/>
  <c r="J635" i="5"/>
  <c r="K635" i="5"/>
  <c r="L635" i="5"/>
  <c r="M635" i="5"/>
  <c r="J636" i="5"/>
  <c r="K636" i="5"/>
  <c r="L636" i="5"/>
  <c r="M636" i="5"/>
  <c r="J637" i="5"/>
  <c r="K637" i="5"/>
  <c r="L637" i="5"/>
  <c r="M637" i="5"/>
  <c r="J638" i="5"/>
  <c r="K638" i="5"/>
  <c r="L638" i="5"/>
  <c r="M638" i="5"/>
  <c r="J639" i="5"/>
  <c r="K639" i="5"/>
  <c r="L639" i="5"/>
  <c r="M639" i="5"/>
  <c r="J640" i="5"/>
  <c r="K640" i="5"/>
  <c r="L640" i="5"/>
  <c r="M640" i="5"/>
  <c r="J641" i="5"/>
  <c r="K641" i="5"/>
  <c r="L641" i="5"/>
  <c r="M641" i="5"/>
  <c r="J642" i="5"/>
  <c r="K642" i="5"/>
  <c r="L642" i="5"/>
  <c r="M642" i="5"/>
  <c r="J643" i="5"/>
  <c r="K643" i="5"/>
  <c r="L643" i="5"/>
  <c r="M643" i="5"/>
  <c r="J644" i="5"/>
  <c r="K644" i="5"/>
  <c r="L644" i="5"/>
  <c r="M644" i="5"/>
  <c r="J645" i="5"/>
  <c r="K645" i="5"/>
  <c r="L645" i="5"/>
  <c r="M645" i="5"/>
  <c r="J646" i="5"/>
  <c r="K646" i="5"/>
  <c r="L646" i="5"/>
  <c r="M646" i="5"/>
  <c r="J647" i="5"/>
  <c r="K647" i="5"/>
  <c r="L647" i="5"/>
  <c r="M647" i="5"/>
  <c r="J648" i="5"/>
  <c r="K648" i="5"/>
  <c r="L648" i="5"/>
  <c r="M648" i="5"/>
  <c r="J649" i="5"/>
  <c r="K649" i="5"/>
  <c r="L649" i="5"/>
  <c r="M649" i="5"/>
  <c r="J650" i="5"/>
  <c r="K650" i="5"/>
  <c r="L650" i="5"/>
  <c r="M650" i="5"/>
  <c r="J651" i="5"/>
  <c r="K651" i="5"/>
  <c r="L651" i="5"/>
  <c r="M651" i="5"/>
  <c r="J652" i="5"/>
  <c r="K652" i="5"/>
  <c r="L652" i="5"/>
  <c r="M652" i="5"/>
  <c r="J653" i="5"/>
  <c r="K653" i="5"/>
  <c r="L653" i="5"/>
  <c r="M653" i="5"/>
  <c r="J654" i="5"/>
  <c r="K654" i="5"/>
  <c r="L654" i="5"/>
  <c r="M654" i="5"/>
  <c r="J655" i="5"/>
  <c r="K655" i="5"/>
  <c r="L655" i="5"/>
  <c r="M655" i="5"/>
  <c r="J656" i="5"/>
  <c r="K656" i="5"/>
  <c r="L656" i="5"/>
  <c r="M656" i="5"/>
  <c r="J657" i="5"/>
  <c r="K657" i="5"/>
  <c r="L657" i="5"/>
  <c r="M657" i="5"/>
  <c r="J658" i="5"/>
  <c r="K658" i="5"/>
  <c r="L658" i="5"/>
  <c r="M658" i="5"/>
  <c r="J659" i="5"/>
  <c r="K659" i="5"/>
  <c r="L659" i="5"/>
  <c r="M659" i="5"/>
  <c r="J660" i="5"/>
  <c r="K660" i="5"/>
  <c r="L660" i="5"/>
  <c r="M660" i="5"/>
  <c r="J661" i="5"/>
  <c r="K661" i="5"/>
  <c r="L661" i="5"/>
  <c r="M661" i="5"/>
  <c r="J662" i="5"/>
  <c r="K662" i="5"/>
  <c r="L662" i="5"/>
  <c r="M662" i="5"/>
  <c r="J663" i="5"/>
  <c r="K663" i="5"/>
  <c r="L663" i="5"/>
  <c r="M663" i="5"/>
  <c r="J664" i="5"/>
  <c r="K664" i="5"/>
  <c r="L664" i="5"/>
  <c r="M664" i="5"/>
  <c r="J665" i="5"/>
  <c r="K665" i="5"/>
  <c r="L665" i="5"/>
  <c r="M665" i="5"/>
  <c r="J666" i="5"/>
  <c r="K666" i="5"/>
  <c r="L666" i="5"/>
  <c r="M666" i="5"/>
  <c r="J667" i="5"/>
  <c r="K667" i="5"/>
  <c r="L667" i="5"/>
  <c r="M667" i="5"/>
  <c r="J668" i="5"/>
  <c r="K668" i="5"/>
  <c r="L668" i="5"/>
  <c r="M668" i="5"/>
  <c r="J669" i="5"/>
  <c r="K669" i="5"/>
  <c r="L669" i="5"/>
  <c r="M669" i="5"/>
  <c r="J670" i="5"/>
  <c r="K670" i="5"/>
  <c r="L670" i="5"/>
  <c r="M670" i="5"/>
  <c r="J671" i="5"/>
  <c r="K671" i="5"/>
  <c r="L671" i="5"/>
  <c r="M671" i="5"/>
  <c r="J672" i="5"/>
  <c r="K672" i="5"/>
  <c r="L672" i="5"/>
  <c r="M672" i="5"/>
  <c r="J673" i="5"/>
  <c r="K673" i="5"/>
  <c r="L673" i="5"/>
  <c r="M673" i="5"/>
  <c r="J674" i="5"/>
  <c r="K674" i="5"/>
  <c r="L674" i="5"/>
  <c r="M674" i="5"/>
  <c r="J675" i="5"/>
  <c r="K675" i="5"/>
  <c r="L675" i="5"/>
  <c r="M675" i="5"/>
  <c r="J676" i="5"/>
  <c r="K676" i="5"/>
  <c r="L676" i="5"/>
  <c r="M676" i="5"/>
  <c r="J677" i="5"/>
  <c r="K677" i="5"/>
  <c r="L677" i="5"/>
  <c r="M677" i="5"/>
  <c r="J678" i="5"/>
  <c r="K678" i="5"/>
  <c r="L678" i="5"/>
  <c r="M678" i="5"/>
  <c r="J679" i="5"/>
  <c r="K679" i="5"/>
  <c r="L679" i="5"/>
  <c r="M679" i="5"/>
  <c r="J680" i="5"/>
  <c r="K680" i="5"/>
  <c r="L680" i="5"/>
  <c r="M680" i="5"/>
  <c r="J681" i="5"/>
  <c r="K681" i="5"/>
  <c r="L681" i="5"/>
  <c r="M681" i="5"/>
  <c r="J682" i="5"/>
  <c r="K682" i="5"/>
  <c r="L682" i="5"/>
  <c r="M682" i="5"/>
  <c r="J683" i="5"/>
  <c r="K683" i="5"/>
  <c r="L683" i="5"/>
  <c r="M683" i="5"/>
  <c r="J684" i="5"/>
  <c r="K684" i="5"/>
  <c r="L684" i="5"/>
  <c r="M684" i="5"/>
  <c r="J685" i="5"/>
  <c r="K685" i="5"/>
  <c r="L685" i="5"/>
  <c r="M685" i="5"/>
  <c r="J686" i="5"/>
  <c r="K686" i="5"/>
  <c r="L686" i="5"/>
  <c r="M686" i="5"/>
  <c r="J687" i="5"/>
  <c r="K687" i="5"/>
  <c r="L687" i="5"/>
  <c r="M687" i="5"/>
  <c r="J688" i="5"/>
  <c r="K688" i="5"/>
  <c r="L688" i="5"/>
  <c r="M688" i="5"/>
  <c r="J689" i="5"/>
  <c r="K689" i="5"/>
  <c r="L689" i="5"/>
  <c r="M689" i="5"/>
  <c r="J690" i="5"/>
  <c r="K690" i="5"/>
  <c r="L690" i="5"/>
  <c r="M690" i="5"/>
  <c r="J691" i="5"/>
  <c r="K691" i="5"/>
  <c r="L691" i="5"/>
  <c r="M691" i="5"/>
  <c r="J692" i="5"/>
  <c r="K692" i="5"/>
  <c r="L692" i="5"/>
  <c r="M692" i="5"/>
  <c r="J693" i="5"/>
  <c r="K693" i="5"/>
  <c r="L693" i="5"/>
  <c r="M693" i="5"/>
  <c r="J694" i="5"/>
  <c r="K694" i="5"/>
  <c r="L694" i="5"/>
  <c r="M694" i="5"/>
  <c r="J695" i="5"/>
  <c r="K695" i="5"/>
  <c r="L695" i="5"/>
  <c r="M695" i="5"/>
  <c r="J696" i="5"/>
  <c r="K696" i="5"/>
  <c r="L696" i="5"/>
  <c r="M696" i="5"/>
  <c r="J697" i="5"/>
  <c r="K697" i="5"/>
  <c r="L697" i="5"/>
  <c r="M697" i="5"/>
  <c r="J698" i="5"/>
  <c r="K698" i="5"/>
  <c r="L698" i="5"/>
  <c r="M698" i="5"/>
  <c r="J699" i="5"/>
  <c r="K699" i="5"/>
  <c r="L699" i="5"/>
  <c r="M699" i="5"/>
  <c r="J700" i="5"/>
  <c r="K700" i="5"/>
  <c r="L700" i="5"/>
  <c r="M700" i="5"/>
  <c r="J701" i="5"/>
  <c r="K701" i="5"/>
  <c r="L701" i="5"/>
  <c r="M701" i="5"/>
  <c r="J702" i="5"/>
  <c r="K702" i="5"/>
  <c r="L702" i="5"/>
  <c r="M702" i="5"/>
  <c r="J703" i="5"/>
  <c r="K703" i="5"/>
  <c r="L703" i="5"/>
  <c r="M703" i="5"/>
  <c r="J704" i="5"/>
  <c r="K704" i="5"/>
  <c r="L704" i="5"/>
  <c r="M704" i="5"/>
  <c r="J705" i="5"/>
  <c r="K705" i="5"/>
  <c r="L705" i="5"/>
  <c r="M705" i="5"/>
  <c r="J706" i="5"/>
  <c r="K706" i="5"/>
  <c r="L706" i="5"/>
  <c r="M706" i="5"/>
  <c r="J707" i="5"/>
  <c r="K707" i="5"/>
  <c r="L707" i="5"/>
  <c r="M707" i="5"/>
  <c r="J708" i="5"/>
  <c r="K708" i="5"/>
  <c r="L708" i="5"/>
  <c r="M708" i="5"/>
  <c r="J709" i="5"/>
  <c r="K709" i="5"/>
  <c r="L709" i="5"/>
  <c r="M709" i="5"/>
  <c r="J710" i="5"/>
  <c r="K710" i="5"/>
  <c r="L710" i="5"/>
  <c r="M710" i="5"/>
  <c r="J711" i="5"/>
  <c r="K711" i="5"/>
  <c r="L711" i="5"/>
  <c r="M711" i="5"/>
  <c r="J712" i="5"/>
  <c r="K712" i="5"/>
  <c r="L712" i="5"/>
  <c r="M712" i="5"/>
  <c r="J713" i="5"/>
  <c r="K713" i="5"/>
  <c r="L713" i="5"/>
  <c r="M713" i="5"/>
  <c r="J714" i="5"/>
  <c r="K714" i="5"/>
  <c r="L714" i="5"/>
  <c r="M714" i="5"/>
  <c r="J715" i="5"/>
  <c r="K715" i="5"/>
  <c r="L715" i="5"/>
  <c r="M715" i="5"/>
  <c r="J716" i="5"/>
  <c r="K716" i="5"/>
  <c r="L716" i="5"/>
  <c r="M716" i="5"/>
  <c r="J717" i="5"/>
  <c r="K717" i="5"/>
  <c r="L717" i="5"/>
  <c r="M717" i="5"/>
  <c r="J718" i="5"/>
  <c r="K718" i="5"/>
  <c r="L718" i="5"/>
  <c r="M718" i="5"/>
  <c r="J719" i="5"/>
  <c r="K719" i="5"/>
  <c r="L719" i="5"/>
  <c r="M719" i="5"/>
  <c r="J720" i="5"/>
  <c r="K720" i="5"/>
  <c r="L720" i="5"/>
  <c r="M720" i="5"/>
  <c r="J721" i="5"/>
  <c r="K721" i="5"/>
  <c r="L721" i="5"/>
  <c r="M721" i="5"/>
  <c r="J722" i="5"/>
  <c r="K722" i="5"/>
  <c r="L722" i="5"/>
  <c r="M722" i="5"/>
  <c r="J723" i="5"/>
  <c r="K723" i="5"/>
  <c r="L723" i="5"/>
  <c r="M723" i="5"/>
  <c r="J724" i="5"/>
  <c r="K724" i="5"/>
  <c r="L724" i="5"/>
  <c r="M724" i="5"/>
  <c r="J725" i="5"/>
  <c r="K725" i="5"/>
  <c r="L725" i="5"/>
  <c r="M725" i="5"/>
  <c r="J726" i="5"/>
  <c r="K726" i="5"/>
  <c r="L726" i="5"/>
  <c r="M726" i="5"/>
  <c r="J727" i="5"/>
  <c r="K727" i="5"/>
  <c r="L727" i="5"/>
  <c r="M727" i="5"/>
  <c r="J728" i="5"/>
  <c r="K728" i="5"/>
  <c r="L728" i="5"/>
  <c r="M728" i="5"/>
  <c r="J729" i="5"/>
  <c r="K729" i="5"/>
  <c r="L729" i="5"/>
  <c r="M729" i="5"/>
  <c r="J730" i="5"/>
  <c r="K730" i="5"/>
  <c r="L730" i="5"/>
  <c r="M730" i="5"/>
  <c r="J731" i="5"/>
  <c r="K731" i="5"/>
  <c r="L731" i="5"/>
  <c r="M731" i="5"/>
  <c r="J732" i="5"/>
  <c r="K732" i="5"/>
  <c r="L732" i="5"/>
  <c r="M732" i="5"/>
  <c r="J733" i="5"/>
  <c r="K733" i="5"/>
  <c r="L733" i="5"/>
  <c r="M733" i="5"/>
  <c r="J734" i="5"/>
  <c r="K734" i="5"/>
  <c r="L734" i="5"/>
  <c r="M734" i="5"/>
  <c r="J735" i="5"/>
  <c r="K735" i="5"/>
  <c r="L735" i="5"/>
  <c r="M735" i="5"/>
  <c r="J736" i="5"/>
  <c r="K736" i="5"/>
  <c r="L736" i="5"/>
  <c r="M736" i="5"/>
  <c r="J737" i="5"/>
  <c r="K737" i="5"/>
  <c r="L737" i="5"/>
  <c r="M737" i="5"/>
  <c r="J738" i="5"/>
  <c r="K738" i="5"/>
  <c r="L738" i="5"/>
  <c r="M738" i="5"/>
  <c r="J739" i="5"/>
  <c r="K739" i="5"/>
  <c r="L739" i="5"/>
  <c r="M739" i="5"/>
  <c r="J740" i="5"/>
  <c r="K740" i="5"/>
  <c r="L740" i="5"/>
  <c r="M740" i="5"/>
  <c r="J741" i="5"/>
  <c r="K741" i="5"/>
  <c r="L741" i="5"/>
  <c r="M741" i="5"/>
  <c r="J742" i="5"/>
  <c r="K742" i="5"/>
  <c r="L742" i="5"/>
  <c r="M742" i="5"/>
  <c r="J743" i="5"/>
  <c r="K743" i="5"/>
  <c r="L743" i="5"/>
  <c r="M743" i="5"/>
  <c r="J744" i="5"/>
  <c r="K744" i="5"/>
  <c r="L744" i="5"/>
  <c r="M744" i="5"/>
  <c r="J745" i="5"/>
  <c r="K745" i="5"/>
  <c r="L745" i="5"/>
  <c r="M745" i="5"/>
  <c r="J746" i="5"/>
  <c r="K746" i="5"/>
  <c r="L746" i="5"/>
  <c r="M746" i="5"/>
  <c r="J747" i="5"/>
  <c r="K747" i="5"/>
  <c r="L747" i="5"/>
  <c r="M747" i="5"/>
  <c r="J748" i="5"/>
  <c r="K748" i="5"/>
  <c r="L748" i="5"/>
  <c r="M748" i="5"/>
  <c r="J749" i="5"/>
  <c r="K749" i="5"/>
  <c r="L749" i="5"/>
  <c r="M749" i="5"/>
  <c r="J750" i="5"/>
  <c r="K750" i="5"/>
  <c r="L750" i="5"/>
  <c r="M750" i="5"/>
  <c r="J751" i="5"/>
  <c r="K751" i="5"/>
  <c r="L751" i="5"/>
  <c r="M751" i="5"/>
  <c r="J752" i="5"/>
  <c r="K752" i="5"/>
  <c r="L752" i="5"/>
  <c r="M752" i="5"/>
  <c r="J753" i="5"/>
  <c r="K753" i="5"/>
  <c r="L753" i="5"/>
  <c r="M753" i="5"/>
  <c r="J754" i="5"/>
  <c r="K754" i="5"/>
  <c r="L754" i="5"/>
  <c r="M754" i="5"/>
  <c r="J755" i="5"/>
  <c r="K755" i="5"/>
  <c r="L755" i="5"/>
  <c r="M755" i="5"/>
  <c r="J756" i="5"/>
  <c r="K756" i="5"/>
  <c r="L756" i="5"/>
  <c r="M756" i="5"/>
  <c r="J757" i="5"/>
  <c r="K757" i="5"/>
  <c r="L757" i="5"/>
  <c r="M757" i="5"/>
  <c r="J758" i="5"/>
  <c r="K758" i="5"/>
  <c r="L758" i="5"/>
  <c r="M758" i="5"/>
  <c r="J759" i="5"/>
  <c r="K759" i="5"/>
  <c r="L759" i="5"/>
  <c r="M759" i="5"/>
  <c r="J760" i="5"/>
  <c r="K760" i="5"/>
  <c r="L760" i="5"/>
  <c r="M760" i="5"/>
  <c r="J761" i="5"/>
  <c r="K761" i="5"/>
  <c r="L761" i="5"/>
  <c r="M761" i="5"/>
  <c r="J762" i="5"/>
  <c r="K762" i="5"/>
  <c r="L762" i="5"/>
  <c r="M762" i="5"/>
  <c r="J763" i="5"/>
  <c r="K763" i="5"/>
  <c r="L763" i="5"/>
  <c r="M763" i="5"/>
  <c r="J764" i="5"/>
  <c r="K764" i="5"/>
  <c r="L764" i="5"/>
  <c r="M764" i="5"/>
  <c r="J765" i="5"/>
  <c r="K765" i="5"/>
  <c r="L765" i="5"/>
  <c r="M765" i="5"/>
  <c r="J766" i="5"/>
  <c r="K766" i="5"/>
  <c r="L766" i="5"/>
  <c r="M766" i="5"/>
  <c r="J767" i="5"/>
  <c r="K767" i="5"/>
  <c r="L767" i="5"/>
  <c r="M767" i="5"/>
  <c r="J768" i="5"/>
  <c r="K768" i="5"/>
  <c r="L768" i="5"/>
  <c r="M768" i="5"/>
  <c r="J769" i="5"/>
  <c r="K769" i="5"/>
  <c r="L769" i="5"/>
  <c r="M769" i="5"/>
  <c r="J770" i="5"/>
  <c r="K770" i="5"/>
  <c r="L770" i="5"/>
  <c r="M770" i="5"/>
  <c r="J771" i="5"/>
  <c r="K771" i="5"/>
  <c r="L771" i="5"/>
  <c r="M771" i="5"/>
  <c r="J772" i="5"/>
  <c r="K772" i="5"/>
  <c r="L772" i="5"/>
  <c r="M772" i="5"/>
  <c r="J773" i="5"/>
  <c r="K773" i="5"/>
  <c r="L773" i="5"/>
  <c r="M773" i="5"/>
  <c r="J774" i="5"/>
  <c r="K774" i="5"/>
  <c r="L774" i="5"/>
  <c r="M774" i="5"/>
  <c r="J775" i="5"/>
  <c r="K775" i="5"/>
  <c r="L775" i="5"/>
  <c r="M775" i="5"/>
  <c r="J776" i="5"/>
  <c r="K776" i="5"/>
  <c r="L776" i="5"/>
  <c r="M776" i="5"/>
  <c r="J777" i="5"/>
  <c r="K777" i="5"/>
  <c r="L777" i="5"/>
  <c r="M777" i="5"/>
  <c r="J778" i="5"/>
  <c r="K778" i="5"/>
  <c r="L778" i="5"/>
  <c r="M778" i="5"/>
  <c r="J779" i="5"/>
  <c r="K779" i="5"/>
  <c r="L779" i="5"/>
  <c r="M779" i="5"/>
  <c r="J780" i="5"/>
  <c r="K780" i="5"/>
  <c r="L780" i="5"/>
  <c r="M780" i="5"/>
  <c r="J781" i="5"/>
  <c r="K781" i="5"/>
  <c r="L781" i="5"/>
  <c r="M781" i="5"/>
  <c r="J782" i="5"/>
  <c r="K782" i="5"/>
  <c r="L782" i="5"/>
  <c r="M782" i="5"/>
  <c r="J783" i="5"/>
  <c r="K783" i="5"/>
  <c r="L783" i="5"/>
  <c r="M783" i="5"/>
  <c r="J784" i="5"/>
  <c r="K784" i="5"/>
  <c r="L784" i="5"/>
  <c r="M784" i="5"/>
  <c r="J785" i="5"/>
  <c r="K785" i="5"/>
  <c r="L785" i="5"/>
  <c r="M785" i="5"/>
  <c r="J786" i="5"/>
  <c r="K786" i="5"/>
  <c r="L786" i="5"/>
  <c r="M786" i="5"/>
  <c r="J787" i="5"/>
  <c r="K787" i="5"/>
  <c r="L787" i="5"/>
  <c r="M787" i="5"/>
  <c r="J788" i="5"/>
  <c r="K788" i="5"/>
  <c r="L788" i="5"/>
  <c r="M788" i="5"/>
  <c r="J789" i="5"/>
  <c r="K789" i="5"/>
  <c r="L789" i="5"/>
  <c r="M789" i="5"/>
  <c r="J790" i="5"/>
  <c r="K790" i="5"/>
  <c r="L790" i="5"/>
  <c r="M790" i="5"/>
  <c r="J791" i="5"/>
  <c r="K791" i="5"/>
  <c r="L791" i="5"/>
  <c r="M791" i="5"/>
  <c r="J792" i="5"/>
  <c r="K792" i="5"/>
  <c r="L792" i="5"/>
  <c r="M792" i="5"/>
  <c r="J793" i="5"/>
  <c r="K793" i="5"/>
  <c r="L793" i="5"/>
  <c r="M793" i="5"/>
  <c r="J794" i="5"/>
  <c r="K794" i="5"/>
  <c r="L794" i="5"/>
  <c r="M794" i="5"/>
  <c r="J795" i="5"/>
  <c r="K795" i="5"/>
  <c r="L795" i="5"/>
  <c r="M795" i="5"/>
  <c r="J796" i="5"/>
  <c r="K796" i="5"/>
  <c r="L796" i="5"/>
  <c r="M796" i="5"/>
  <c r="J797" i="5"/>
  <c r="K797" i="5"/>
  <c r="L797" i="5"/>
  <c r="M797" i="5"/>
  <c r="J798" i="5"/>
  <c r="K798" i="5"/>
  <c r="L798" i="5"/>
  <c r="M798" i="5"/>
  <c r="J799" i="5"/>
  <c r="K799" i="5"/>
  <c r="L799" i="5"/>
  <c r="M799" i="5"/>
  <c r="J800" i="5"/>
  <c r="K800" i="5"/>
  <c r="L800" i="5"/>
  <c r="M800" i="5"/>
  <c r="J801" i="5"/>
  <c r="K801" i="5"/>
  <c r="L801" i="5"/>
  <c r="M801" i="5"/>
  <c r="J802" i="5"/>
  <c r="K802" i="5"/>
  <c r="L802" i="5"/>
  <c r="M802" i="5"/>
  <c r="J803" i="5"/>
  <c r="K803" i="5"/>
  <c r="L803" i="5"/>
  <c r="M803" i="5"/>
  <c r="J804" i="5"/>
  <c r="K804" i="5"/>
  <c r="L804" i="5"/>
  <c r="M804" i="5"/>
  <c r="J805" i="5"/>
  <c r="K805" i="5"/>
  <c r="L805" i="5"/>
  <c r="M805" i="5"/>
  <c r="J806" i="5"/>
  <c r="K806" i="5"/>
  <c r="L806" i="5"/>
  <c r="M806" i="5"/>
  <c r="J807" i="5"/>
  <c r="K807" i="5"/>
  <c r="L807" i="5"/>
  <c r="M807" i="5"/>
  <c r="J808" i="5"/>
  <c r="K808" i="5"/>
  <c r="L808" i="5"/>
  <c r="M808" i="5"/>
  <c r="J809" i="5"/>
  <c r="K809" i="5"/>
  <c r="L809" i="5"/>
  <c r="M809" i="5"/>
  <c r="J810" i="5"/>
  <c r="K810" i="5"/>
  <c r="L810" i="5"/>
  <c r="M810" i="5"/>
  <c r="J811" i="5"/>
  <c r="K811" i="5"/>
  <c r="L811" i="5"/>
  <c r="M811" i="5"/>
  <c r="J812" i="5"/>
  <c r="K812" i="5"/>
  <c r="L812" i="5"/>
  <c r="M812" i="5"/>
  <c r="J813" i="5"/>
  <c r="K813" i="5"/>
  <c r="L813" i="5"/>
  <c r="M813" i="5"/>
  <c r="J814" i="5"/>
  <c r="K814" i="5"/>
  <c r="L814" i="5"/>
  <c r="M814" i="5"/>
  <c r="J815" i="5"/>
  <c r="K815" i="5"/>
  <c r="L815" i="5"/>
  <c r="M815" i="5"/>
  <c r="J816" i="5"/>
  <c r="K816" i="5"/>
  <c r="L816" i="5"/>
  <c r="M816" i="5"/>
  <c r="J817" i="5"/>
  <c r="K817" i="5"/>
  <c r="L817" i="5"/>
  <c r="M817" i="5"/>
  <c r="J818" i="5"/>
  <c r="K818" i="5"/>
  <c r="L818" i="5"/>
  <c r="M818" i="5"/>
  <c r="J819" i="5"/>
  <c r="K819" i="5"/>
  <c r="L819" i="5"/>
  <c r="M819" i="5"/>
  <c r="J820" i="5"/>
  <c r="K820" i="5"/>
  <c r="L820" i="5"/>
  <c r="M820" i="5"/>
  <c r="J821" i="5"/>
  <c r="K821" i="5"/>
  <c r="L821" i="5"/>
  <c r="M821" i="5"/>
  <c r="J822" i="5"/>
  <c r="K822" i="5"/>
  <c r="L822" i="5"/>
  <c r="M822" i="5"/>
  <c r="J823" i="5"/>
  <c r="K823" i="5"/>
  <c r="L823" i="5"/>
  <c r="M823" i="5"/>
  <c r="J824" i="5"/>
  <c r="K824" i="5"/>
  <c r="L824" i="5"/>
  <c r="M824" i="5"/>
  <c r="J825" i="5"/>
  <c r="K825" i="5"/>
  <c r="L825" i="5"/>
  <c r="M825" i="5"/>
  <c r="J826" i="5"/>
  <c r="K826" i="5"/>
  <c r="L826" i="5"/>
  <c r="M826" i="5"/>
  <c r="J827" i="5"/>
  <c r="K827" i="5"/>
  <c r="L827" i="5"/>
  <c r="M827" i="5"/>
  <c r="J828" i="5"/>
  <c r="K828" i="5"/>
  <c r="L828" i="5"/>
  <c r="M828" i="5"/>
  <c r="J829" i="5"/>
  <c r="K829" i="5"/>
  <c r="L829" i="5"/>
  <c r="M829" i="5"/>
  <c r="J830" i="5"/>
  <c r="K830" i="5"/>
  <c r="L830" i="5"/>
  <c r="M830" i="5"/>
  <c r="J831" i="5"/>
  <c r="K831" i="5"/>
  <c r="L831" i="5"/>
  <c r="M831" i="5"/>
  <c r="J832" i="5"/>
  <c r="K832" i="5"/>
  <c r="L832" i="5"/>
  <c r="M832" i="5"/>
  <c r="J833" i="5"/>
  <c r="K833" i="5"/>
  <c r="L833" i="5"/>
  <c r="M833" i="5"/>
  <c r="J834" i="5"/>
  <c r="K834" i="5"/>
  <c r="L834" i="5"/>
  <c r="M834" i="5"/>
  <c r="J835" i="5"/>
  <c r="K835" i="5"/>
  <c r="L835" i="5"/>
  <c r="M835" i="5"/>
  <c r="J836" i="5"/>
  <c r="K836" i="5"/>
  <c r="L836" i="5"/>
  <c r="M836" i="5"/>
  <c r="J837" i="5"/>
  <c r="K837" i="5"/>
  <c r="L837" i="5"/>
  <c r="M837" i="5"/>
  <c r="J838" i="5"/>
  <c r="K838" i="5"/>
  <c r="L838" i="5"/>
  <c r="M838" i="5"/>
  <c r="J839" i="5"/>
  <c r="K839" i="5"/>
  <c r="L839" i="5"/>
  <c r="M839" i="5"/>
  <c r="J840" i="5"/>
  <c r="K840" i="5"/>
  <c r="L840" i="5"/>
  <c r="M840" i="5"/>
  <c r="J841" i="5"/>
  <c r="K841" i="5"/>
  <c r="L841" i="5"/>
  <c r="M841" i="5"/>
  <c r="J842" i="5"/>
  <c r="K842" i="5"/>
  <c r="L842" i="5"/>
  <c r="M842" i="5"/>
  <c r="J843" i="5"/>
  <c r="K843" i="5"/>
  <c r="L843" i="5"/>
  <c r="M843" i="5"/>
  <c r="J844" i="5"/>
  <c r="K844" i="5"/>
  <c r="L844" i="5"/>
  <c r="M844" i="5"/>
  <c r="J845" i="5"/>
  <c r="K845" i="5"/>
  <c r="L845" i="5"/>
  <c r="M845" i="5"/>
  <c r="J846" i="5"/>
  <c r="K846" i="5"/>
  <c r="L846" i="5"/>
  <c r="M846" i="5"/>
  <c r="J847" i="5"/>
  <c r="K847" i="5"/>
  <c r="L847" i="5"/>
  <c r="M847" i="5"/>
  <c r="J848" i="5"/>
  <c r="K848" i="5"/>
  <c r="L848" i="5"/>
  <c r="M848" i="5"/>
  <c r="J849" i="5"/>
  <c r="K849" i="5"/>
  <c r="L849" i="5"/>
  <c r="M849" i="5"/>
  <c r="J850" i="5"/>
  <c r="K850" i="5"/>
  <c r="L850" i="5"/>
  <c r="M850" i="5"/>
  <c r="J851" i="5"/>
  <c r="K851" i="5"/>
  <c r="L851" i="5"/>
  <c r="M851" i="5"/>
  <c r="J852" i="5"/>
  <c r="K852" i="5"/>
  <c r="L852" i="5"/>
  <c r="M852" i="5"/>
  <c r="J853" i="5"/>
  <c r="K853" i="5"/>
  <c r="L853" i="5"/>
  <c r="M853" i="5"/>
  <c r="J854" i="5"/>
  <c r="K854" i="5"/>
  <c r="L854" i="5"/>
  <c r="M854" i="5"/>
  <c r="J855" i="5"/>
  <c r="K855" i="5"/>
  <c r="L855" i="5"/>
  <c r="M855" i="5"/>
  <c r="J856" i="5"/>
  <c r="K856" i="5"/>
  <c r="L856" i="5"/>
  <c r="M856" i="5"/>
  <c r="J857" i="5"/>
  <c r="K857" i="5"/>
  <c r="L857" i="5"/>
  <c r="M857" i="5"/>
  <c r="J858" i="5"/>
  <c r="K858" i="5"/>
  <c r="L858" i="5"/>
  <c r="M858" i="5"/>
  <c r="J859" i="5"/>
  <c r="K859" i="5"/>
  <c r="L859" i="5"/>
  <c r="M859" i="5"/>
  <c r="J860" i="5"/>
  <c r="K860" i="5"/>
  <c r="L860" i="5"/>
  <c r="M860" i="5"/>
  <c r="J861" i="5"/>
  <c r="K861" i="5"/>
  <c r="L861" i="5"/>
  <c r="M861" i="5"/>
  <c r="J862" i="5"/>
  <c r="K862" i="5"/>
  <c r="L862" i="5"/>
  <c r="M862" i="5"/>
  <c r="J863" i="5"/>
  <c r="K863" i="5"/>
  <c r="L863" i="5"/>
  <c r="M863" i="5"/>
  <c r="J864" i="5"/>
  <c r="K864" i="5"/>
  <c r="L864" i="5"/>
  <c r="M864" i="5"/>
  <c r="J865" i="5"/>
  <c r="K865" i="5"/>
  <c r="L865" i="5"/>
  <c r="M865" i="5"/>
  <c r="J866" i="5"/>
  <c r="K866" i="5"/>
  <c r="L866" i="5"/>
  <c r="M866" i="5"/>
  <c r="J867" i="5"/>
  <c r="K867" i="5"/>
  <c r="L867" i="5"/>
  <c r="M867" i="5"/>
  <c r="J868" i="5"/>
  <c r="K868" i="5"/>
  <c r="L868" i="5"/>
  <c r="M868" i="5"/>
  <c r="J869" i="5"/>
  <c r="K869" i="5"/>
  <c r="L869" i="5"/>
  <c r="M869" i="5"/>
  <c r="J870" i="5"/>
  <c r="K870" i="5"/>
  <c r="L870" i="5"/>
  <c r="M870" i="5"/>
  <c r="J871" i="5"/>
  <c r="K871" i="5"/>
  <c r="L871" i="5"/>
  <c r="M871" i="5"/>
  <c r="J872" i="5"/>
  <c r="K872" i="5"/>
  <c r="L872" i="5"/>
  <c r="M872" i="5"/>
  <c r="J873" i="5"/>
  <c r="K873" i="5"/>
  <c r="L873" i="5"/>
  <c r="M873" i="5"/>
  <c r="J874" i="5"/>
  <c r="K874" i="5"/>
  <c r="L874" i="5"/>
  <c r="M874" i="5"/>
  <c r="J875" i="5"/>
  <c r="K875" i="5"/>
  <c r="L875" i="5"/>
  <c r="M875" i="5"/>
  <c r="J876" i="5"/>
  <c r="K876" i="5"/>
  <c r="L876" i="5"/>
  <c r="M876" i="5"/>
  <c r="J877" i="5"/>
  <c r="K877" i="5"/>
  <c r="L877" i="5"/>
  <c r="M877" i="5"/>
  <c r="J878" i="5"/>
  <c r="K878" i="5"/>
  <c r="L878" i="5"/>
  <c r="M878" i="5"/>
  <c r="J879" i="5"/>
  <c r="K879" i="5"/>
  <c r="L879" i="5"/>
  <c r="M879" i="5"/>
  <c r="J880" i="5"/>
  <c r="K880" i="5"/>
  <c r="L880" i="5"/>
  <c r="M880" i="5"/>
  <c r="J881" i="5"/>
  <c r="K881" i="5"/>
  <c r="L881" i="5"/>
  <c r="M881" i="5"/>
  <c r="J882" i="5"/>
  <c r="K882" i="5"/>
  <c r="L882" i="5"/>
  <c r="M882" i="5"/>
  <c r="J883" i="5"/>
  <c r="K883" i="5"/>
  <c r="L883" i="5"/>
  <c r="M883" i="5"/>
  <c r="J884" i="5"/>
  <c r="K884" i="5"/>
  <c r="L884" i="5"/>
  <c r="M884" i="5"/>
  <c r="J885" i="5"/>
  <c r="K885" i="5"/>
  <c r="L885" i="5"/>
  <c r="M885" i="5"/>
  <c r="J886" i="5"/>
  <c r="K886" i="5"/>
  <c r="L886" i="5"/>
  <c r="M886" i="5"/>
  <c r="J887" i="5"/>
  <c r="K887" i="5"/>
  <c r="L887" i="5"/>
  <c r="M887" i="5"/>
  <c r="J888" i="5"/>
  <c r="K888" i="5"/>
  <c r="L888" i="5"/>
  <c r="M888" i="5"/>
  <c r="J889" i="5"/>
  <c r="K889" i="5"/>
  <c r="L889" i="5"/>
  <c r="M889" i="5"/>
  <c r="J890" i="5"/>
  <c r="K890" i="5"/>
  <c r="L890" i="5"/>
  <c r="M890" i="5"/>
  <c r="J891" i="5"/>
  <c r="K891" i="5"/>
  <c r="L891" i="5"/>
  <c r="M891" i="5"/>
  <c r="J892" i="5"/>
  <c r="K892" i="5"/>
  <c r="L892" i="5"/>
  <c r="M892" i="5"/>
  <c r="J893" i="5"/>
  <c r="K893" i="5"/>
  <c r="L893" i="5"/>
  <c r="M893" i="5"/>
  <c r="J894" i="5"/>
  <c r="K894" i="5"/>
  <c r="L894" i="5"/>
  <c r="M894" i="5"/>
  <c r="J895" i="5"/>
  <c r="K895" i="5"/>
  <c r="L895" i="5"/>
  <c r="M895" i="5"/>
  <c r="J896" i="5"/>
  <c r="K896" i="5"/>
  <c r="L896" i="5"/>
  <c r="M896" i="5"/>
  <c r="J897" i="5"/>
  <c r="K897" i="5"/>
  <c r="L897" i="5"/>
  <c r="M897" i="5"/>
  <c r="J898" i="5"/>
  <c r="K898" i="5"/>
  <c r="L898" i="5"/>
  <c r="M898" i="5"/>
  <c r="J899" i="5"/>
  <c r="K899" i="5"/>
  <c r="L899" i="5"/>
  <c r="M899" i="5"/>
  <c r="J900" i="5"/>
  <c r="K900" i="5"/>
  <c r="L900" i="5"/>
  <c r="M900" i="5"/>
  <c r="J901" i="5"/>
  <c r="K901" i="5"/>
  <c r="L901" i="5"/>
  <c r="M901" i="5"/>
  <c r="J902" i="5"/>
  <c r="K902" i="5"/>
  <c r="L902" i="5"/>
  <c r="M902" i="5"/>
  <c r="J903" i="5"/>
  <c r="K903" i="5"/>
  <c r="L903" i="5"/>
  <c r="M903" i="5"/>
  <c r="J904" i="5"/>
  <c r="K904" i="5"/>
  <c r="L904" i="5"/>
  <c r="M904" i="5"/>
  <c r="J905" i="5"/>
  <c r="K905" i="5"/>
  <c r="L905" i="5"/>
  <c r="M905" i="5"/>
  <c r="J906" i="5"/>
  <c r="K906" i="5"/>
  <c r="L906" i="5"/>
  <c r="M906" i="5"/>
  <c r="J907" i="5"/>
  <c r="K907" i="5"/>
  <c r="L907" i="5"/>
  <c r="M907" i="5"/>
  <c r="J908" i="5"/>
  <c r="K908" i="5"/>
  <c r="L908" i="5"/>
  <c r="M908" i="5"/>
  <c r="J909" i="5"/>
  <c r="K909" i="5"/>
  <c r="L909" i="5"/>
  <c r="M909" i="5"/>
  <c r="J910" i="5"/>
  <c r="K910" i="5"/>
  <c r="L910" i="5"/>
  <c r="M910" i="5"/>
  <c r="J911" i="5"/>
  <c r="K911" i="5"/>
  <c r="L911" i="5"/>
  <c r="M911" i="5"/>
  <c r="J912" i="5"/>
  <c r="K912" i="5"/>
  <c r="L912" i="5"/>
  <c r="M912" i="5"/>
  <c r="J913" i="5"/>
  <c r="K913" i="5"/>
  <c r="L913" i="5"/>
  <c r="M913" i="5"/>
  <c r="J914" i="5"/>
  <c r="K914" i="5"/>
  <c r="L914" i="5"/>
  <c r="M914" i="5"/>
  <c r="J915" i="5"/>
  <c r="K915" i="5"/>
  <c r="L915" i="5"/>
  <c r="M915" i="5"/>
  <c r="J916" i="5"/>
  <c r="K916" i="5"/>
  <c r="L916" i="5"/>
  <c r="M916" i="5"/>
  <c r="J917" i="5"/>
  <c r="K917" i="5"/>
  <c r="L917" i="5"/>
  <c r="M917" i="5"/>
  <c r="J918" i="5"/>
  <c r="K918" i="5"/>
  <c r="L918" i="5"/>
  <c r="M918" i="5"/>
  <c r="J919" i="5"/>
  <c r="K919" i="5"/>
  <c r="L919" i="5"/>
  <c r="M919" i="5"/>
  <c r="J920" i="5"/>
  <c r="K920" i="5"/>
  <c r="L920" i="5"/>
  <c r="M920" i="5"/>
  <c r="J921" i="5"/>
  <c r="K921" i="5"/>
  <c r="L921" i="5"/>
  <c r="M921" i="5"/>
  <c r="J922" i="5"/>
  <c r="K922" i="5"/>
  <c r="L922" i="5"/>
  <c r="M922" i="5"/>
  <c r="J923" i="5"/>
  <c r="K923" i="5"/>
  <c r="L923" i="5"/>
  <c r="M923" i="5"/>
  <c r="J924" i="5"/>
  <c r="K924" i="5"/>
  <c r="L924" i="5"/>
  <c r="M924" i="5"/>
  <c r="J925" i="5"/>
  <c r="K925" i="5"/>
  <c r="L925" i="5"/>
  <c r="M925" i="5"/>
  <c r="J926" i="5"/>
  <c r="K926" i="5"/>
  <c r="L926" i="5"/>
  <c r="M926" i="5"/>
  <c r="J927" i="5"/>
  <c r="K927" i="5"/>
  <c r="L927" i="5"/>
  <c r="M927" i="5"/>
  <c r="J928" i="5"/>
  <c r="K928" i="5"/>
  <c r="L928" i="5"/>
  <c r="M928" i="5"/>
  <c r="J929" i="5"/>
  <c r="K929" i="5"/>
  <c r="L929" i="5"/>
  <c r="M929" i="5"/>
  <c r="J930" i="5"/>
  <c r="K930" i="5"/>
  <c r="L930" i="5"/>
  <c r="M930" i="5"/>
  <c r="J931" i="5"/>
  <c r="K931" i="5"/>
  <c r="L931" i="5"/>
  <c r="M931" i="5"/>
  <c r="J932" i="5"/>
  <c r="K932" i="5"/>
  <c r="L932" i="5"/>
  <c r="M932" i="5"/>
  <c r="J933" i="5"/>
  <c r="K933" i="5"/>
  <c r="L933" i="5"/>
  <c r="M933" i="5"/>
  <c r="J934" i="5"/>
  <c r="K934" i="5"/>
  <c r="L934" i="5"/>
  <c r="M934" i="5"/>
  <c r="J935" i="5"/>
  <c r="K935" i="5"/>
  <c r="L935" i="5"/>
  <c r="M935" i="5"/>
  <c r="J936" i="5"/>
  <c r="K936" i="5"/>
  <c r="L936" i="5"/>
  <c r="M936" i="5"/>
  <c r="J937" i="5"/>
  <c r="K937" i="5"/>
  <c r="L937" i="5"/>
  <c r="M937" i="5"/>
  <c r="J938" i="5"/>
  <c r="K938" i="5"/>
  <c r="L938" i="5"/>
  <c r="M938" i="5"/>
  <c r="J939" i="5"/>
  <c r="K939" i="5"/>
  <c r="L939" i="5"/>
  <c r="M939" i="5"/>
  <c r="J940" i="5"/>
  <c r="K940" i="5"/>
  <c r="L940" i="5"/>
  <c r="M940" i="5"/>
  <c r="J941" i="5"/>
  <c r="K941" i="5"/>
  <c r="L941" i="5"/>
  <c r="M941" i="5"/>
  <c r="J942" i="5"/>
  <c r="K942" i="5"/>
  <c r="L942" i="5"/>
  <c r="M942" i="5"/>
  <c r="J943" i="5"/>
  <c r="K943" i="5"/>
  <c r="L943" i="5"/>
  <c r="M943" i="5"/>
  <c r="J944" i="5"/>
  <c r="K944" i="5"/>
  <c r="L944" i="5"/>
  <c r="M944" i="5"/>
  <c r="J945" i="5"/>
  <c r="K945" i="5"/>
  <c r="L945" i="5"/>
  <c r="M945" i="5"/>
  <c r="J946" i="5"/>
  <c r="K946" i="5"/>
  <c r="L946" i="5"/>
  <c r="M946" i="5"/>
  <c r="J947" i="5"/>
  <c r="K947" i="5"/>
  <c r="L947" i="5"/>
  <c r="M947" i="5"/>
  <c r="J948" i="5"/>
  <c r="K948" i="5"/>
  <c r="L948" i="5"/>
  <c r="M948" i="5"/>
  <c r="J949" i="5"/>
  <c r="K949" i="5"/>
  <c r="L949" i="5"/>
  <c r="M949" i="5"/>
  <c r="J950" i="5"/>
  <c r="K950" i="5"/>
  <c r="L950" i="5"/>
  <c r="M950" i="5"/>
  <c r="J951" i="5"/>
  <c r="K951" i="5"/>
  <c r="L951" i="5"/>
  <c r="M951" i="5"/>
  <c r="J952" i="5"/>
  <c r="K952" i="5"/>
  <c r="L952" i="5"/>
  <c r="M952" i="5"/>
  <c r="J953" i="5"/>
  <c r="K953" i="5"/>
  <c r="L953" i="5"/>
  <c r="M953" i="5"/>
  <c r="J954" i="5"/>
  <c r="K954" i="5"/>
  <c r="L954" i="5"/>
  <c r="M954" i="5"/>
  <c r="J955" i="5"/>
  <c r="K955" i="5"/>
  <c r="L955" i="5"/>
  <c r="M955" i="5"/>
  <c r="J956" i="5"/>
  <c r="K956" i="5"/>
  <c r="L956" i="5"/>
  <c r="M956" i="5"/>
  <c r="J957" i="5"/>
  <c r="K957" i="5"/>
  <c r="L957" i="5"/>
  <c r="M957" i="5"/>
  <c r="J958" i="5"/>
  <c r="K958" i="5"/>
  <c r="L958" i="5"/>
  <c r="M958" i="5"/>
  <c r="J959" i="5"/>
  <c r="K959" i="5"/>
  <c r="L959" i="5"/>
  <c r="M959" i="5"/>
  <c r="J960" i="5"/>
  <c r="K960" i="5"/>
  <c r="L960" i="5"/>
  <c r="M960" i="5"/>
  <c r="J961" i="5"/>
  <c r="K961" i="5"/>
  <c r="L961" i="5"/>
  <c r="M961" i="5"/>
  <c r="J962" i="5"/>
  <c r="K962" i="5"/>
  <c r="L962" i="5"/>
  <c r="M962" i="5"/>
  <c r="J963" i="5"/>
  <c r="K963" i="5"/>
  <c r="L963" i="5"/>
  <c r="M963" i="5"/>
  <c r="J964" i="5"/>
  <c r="K964" i="5"/>
  <c r="L964" i="5"/>
  <c r="M964" i="5"/>
  <c r="J965" i="5"/>
  <c r="K965" i="5"/>
  <c r="L965" i="5"/>
  <c r="M965" i="5"/>
  <c r="J966" i="5"/>
  <c r="K966" i="5"/>
  <c r="L966" i="5"/>
  <c r="M966" i="5"/>
  <c r="J967" i="5"/>
  <c r="K967" i="5"/>
  <c r="L967" i="5"/>
  <c r="M967" i="5"/>
  <c r="J968" i="5"/>
  <c r="K968" i="5"/>
  <c r="L968" i="5"/>
  <c r="M968" i="5"/>
  <c r="J969" i="5"/>
  <c r="K969" i="5"/>
  <c r="L969" i="5"/>
  <c r="M969" i="5"/>
  <c r="J970" i="5"/>
  <c r="K970" i="5"/>
  <c r="L970" i="5"/>
  <c r="M970" i="5"/>
  <c r="J971" i="5"/>
  <c r="K971" i="5"/>
  <c r="L971" i="5"/>
  <c r="M971" i="5"/>
  <c r="J972" i="5"/>
  <c r="K972" i="5"/>
  <c r="L972" i="5"/>
  <c r="M972" i="5"/>
  <c r="J973" i="5"/>
  <c r="K973" i="5"/>
  <c r="L973" i="5"/>
  <c r="M973" i="5"/>
  <c r="J974" i="5"/>
  <c r="K974" i="5"/>
  <c r="L974" i="5"/>
  <c r="M974" i="5"/>
  <c r="J975" i="5"/>
  <c r="K975" i="5"/>
  <c r="L975" i="5"/>
  <c r="M975" i="5"/>
  <c r="J976" i="5"/>
  <c r="K976" i="5"/>
  <c r="L976" i="5"/>
  <c r="M976" i="5"/>
  <c r="J977" i="5"/>
  <c r="K977" i="5"/>
  <c r="L977" i="5"/>
  <c r="M977" i="5"/>
  <c r="J978" i="5"/>
  <c r="K978" i="5"/>
  <c r="L978" i="5"/>
  <c r="M978" i="5"/>
  <c r="J979" i="5"/>
  <c r="K979" i="5"/>
  <c r="L979" i="5"/>
  <c r="M979" i="5"/>
  <c r="J980" i="5"/>
  <c r="K980" i="5"/>
  <c r="L980" i="5"/>
  <c r="M980" i="5"/>
  <c r="J981" i="5"/>
  <c r="K981" i="5"/>
  <c r="L981" i="5"/>
  <c r="M981" i="5"/>
  <c r="J982" i="5"/>
  <c r="K982" i="5"/>
  <c r="L982" i="5"/>
  <c r="M982" i="5"/>
  <c r="J983" i="5"/>
  <c r="K983" i="5"/>
  <c r="L983" i="5"/>
  <c r="M983" i="5"/>
  <c r="J984" i="5"/>
  <c r="K984" i="5"/>
  <c r="L984" i="5"/>
  <c r="M984" i="5"/>
  <c r="J985" i="5"/>
  <c r="K985" i="5"/>
  <c r="L985" i="5"/>
  <c r="M985" i="5"/>
  <c r="J986" i="5"/>
  <c r="K986" i="5"/>
  <c r="L986" i="5"/>
  <c r="M986" i="5"/>
  <c r="J987" i="5"/>
  <c r="K987" i="5"/>
  <c r="L987" i="5"/>
  <c r="M987" i="5"/>
  <c r="J988" i="5"/>
  <c r="K988" i="5"/>
  <c r="L988" i="5"/>
  <c r="M988" i="5"/>
  <c r="J989" i="5"/>
  <c r="K989" i="5"/>
  <c r="L989" i="5"/>
  <c r="M989" i="5"/>
  <c r="J990" i="5"/>
  <c r="K990" i="5"/>
  <c r="L990" i="5"/>
  <c r="M990" i="5"/>
  <c r="J991" i="5"/>
  <c r="K991" i="5"/>
  <c r="L991" i="5"/>
  <c r="M991" i="5"/>
  <c r="J992" i="5"/>
  <c r="K992" i="5"/>
  <c r="L992" i="5"/>
  <c r="M992" i="5"/>
  <c r="J993" i="5"/>
  <c r="K993" i="5"/>
  <c r="L993" i="5"/>
  <c r="M993" i="5"/>
  <c r="J994" i="5"/>
  <c r="K994" i="5"/>
  <c r="L994" i="5"/>
  <c r="M994" i="5"/>
  <c r="J995" i="5"/>
  <c r="K995" i="5"/>
  <c r="L995" i="5"/>
  <c r="M995" i="5"/>
  <c r="J996" i="5"/>
  <c r="K996" i="5"/>
  <c r="L996" i="5"/>
  <c r="M996" i="5"/>
  <c r="J997" i="5"/>
  <c r="K997" i="5"/>
  <c r="L997" i="5"/>
  <c r="M997" i="5"/>
  <c r="J998" i="5"/>
  <c r="K998" i="5"/>
  <c r="L998" i="5"/>
  <c r="M998" i="5"/>
  <c r="J999" i="5"/>
  <c r="K999" i="5"/>
  <c r="L999" i="5"/>
  <c r="M999" i="5"/>
  <c r="J1000" i="5"/>
  <c r="K1000" i="5"/>
  <c r="L1000" i="5"/>
  <c r="M1000" i="5"/>
  <c r="K3" i="5"/>
  <c r="L3" i="5"/>
  <c r="M3" i="5"/>
  <c r="J3" i="5"/>
  <c r="N2" i="5"/>
  <c r="P2" i="5"/>
  <c r="H2" i="5"/>
  <c r="I2" i="5"/>
  <c r="J2" i="5"/>
  <c r="K2" i="5"/>
  <c r="L2" i="5"/>
  <c r="M2" i="5"/>
  <c r="G2" i="5"/>
  <c r="F2" i="5"/>
  <c r="E2" i="5"/>
  <c r="C2" i="5"/>
  <c r="B2" i="5"/>
  <c r="B57" i="1" l="1"/>
  <c r="A48" i="5"/>
  <c r="B108" i="1"/>
  <c r="A100" i="5" s="1"/>
  <c r="A99" i="5"/>
  <c r="B15" i="1"/>
  <c r="A6" i="5"/>
  <c r="D7" i="6"/>
  <c r="C8" i="6"/>
  <c r="G16" i="5"/>
  <c r="N16" i="5" s="1"/>
  <c r="D16" i="5"/>
  <c r="G10" i="5"/>
  <c r="D10" i="5"/>
  <c r="G7" i="5"/>
  <c r="D7" i="5"/>
  <c r="G18" i="5"/>
  <c r="F18" i="5" s="1"/>
  <c r="D18" i="5"/>
  <c r="G15" i="5"/>
  <c r="D15" i="5"/>
  <c r="G12" i="5"/>
  <c r="D12" i="5"/>
  <c r="G9" i="5"/>
  <c r="D9" i="5"/>
  <c r="G6" i="5"/>
  <c r="D6" i="5"/>
  <c r="G992" i="5"/>
  <c r="D992" i="5"/>
  <c r="G983" i="5"/>
  <c r="F983" i="5" s="1"/>
  <c r="D983" i="5"/>
  <c r="G974" i="5"/>
  <c r="E974" i="5" s="1"/>
  <c r="D974" i="5"/>
  <c r="G965" i="5"/>
  <c r="D965" i="5"/>
  <c r="G956" i="5"/>
  <c r="B956" i="5" s="1"/>
  <c r="D956" i="5"/>
  <c r="G947" i="5"/>
  <c r="F947" i="5" s="1"/>
  <c r="D947" i="5"/>
  <c r="G938" i="5"/>
  <c r="D938" i="5"/>
  <c r="G929" i="5"/>
  <c r="B929" i="5" s="1"/>
  <c r="D929" i="5"/>
  <c r="G920" i="5"/>
  <c r="F920" i="5" s="1"/>
  <c r="D920" i="5"/>
  <c r="G911" i="5"/>
  <c r="D911" i="5"/>
  <c r="G902" i="5"/>
  <c r="F902" i="5" s="1"/>
  <c r="D902" i="5"/>
  <c r="G893" i="5"/>
  <c r="C893" i="5" s="1"/>
  <c r="D893" i="5"/>
  <c r="G884" i="5"/>
  <c r="D884" i="5"/>
  <c r="G875" i="5"/>
  <c r="C875" i="5" s="1"/>
  <c r="D875" i="5"/>
  <c r="G866" i="5"/>
  <c r="F866" i="5" s="1"/>
  <c r="D866" i="5"/>
  <c r="G857" i="5"/>
  <c r="D857" i="5"/>
  <c r="G851" i="5"/>
  <c r="F851" i="5" s="1"/>
  <c r="D851" i="5"/>
  <c r="G830" i="5"/>
  <c r="C830" i="5" s="1"/>
  <c r="D830" i="5"/>
  <c r="G824" i="5"/>
  <c r="D824" i="5"/>
  <c r="G803" i="5"/>
  <c r="C803" i="5" s="1"/>
  <c r="D803" i="5"/>
  <c r="G797" i="5"/>
  <c r="E797" i="5" s="1"/>
  <c r="D797" i="5"/>
  <c r="G776" i="5"/>
  <c r="D776" i="5"/>
  <c r="G770" i="5"/>
  <c r="E770" i="5" s="1"/>
  <c r="D770" i="5"/>
  <c r="G749" i="5"/>
  <c r="F749" i="5" s="1"/>
  <c r="D749" i="5"/>
  <c r="G743" i="5"/>
  <c r="D743" i="5"/>
  <c r="G722" i="5"/>
  <c r="F722" i="5" s="1"/>
  <c r="D722" i="5"/>
  <c r="G716" i="5"/>
  <c r="F716" i="5" s="1"/>
  <c r="D716" i="5"/>
  <c r="G695" i="5"/>
  <c r="D695" i="5"/>
  <c r="G689" i="5"/>
  <c r="C689" i="5" s="1"/>
  <c r="D689" i="5"/>
  <c r="G668" i="5"/>
  <c r="F668" i="5" s="1"/>
  <c r="D668" i="5"/>
  <c r="G662" i="5"/>
  <c r="D662" i="5"/>
  <c r="G641" i="5"/>
  <c r="F641" i="5" s="1"/>
  <c r="D641" i="5"/>
  <c r="G635" i="5"/>
  <c r="F635" i="5" s="1"/>
  <c r="D635" i="5"/>
  <c r="G584" i="5"/>
  <c r="D584" i="5"/>
  <c r="G575" i="5"/>
  <c r="I575" i="5" s="1"/>
  <c r="D575" i="5"/>
  <c r="G563" i="5"/>
  <c r="C563" i="5" s="1"/>
  <c r="D563" i="5"/>
  <c r="G554" i="5"/>
  <c r="D554" i="5"/>
  <c r="G503" i="5"/>
  <c r="I503" i="5" s="1"/>
  <c r="D503" i="5"/>
  <c r="G494" i="5"/>
  <c r="F494" i="5" s="1"/>
  <c r="D494" i="5"/>
  <c r="G482" i="5"/>
  <c r="D482" i="5"/>
  <c r="G473" i="5"/>
  <c r="F473" i="5" s="1"/>
  <c r="D473" i="5"/>
  <c r="G422" i="5"/>
  <c r="F422" i="5" s="1"/>
  <c r="D422" i="5"/>
  <c r="G413" i="5"/>
  <c r="F413" i="5" s="1"/>
  <c r="D413" i="5"/>
  <c r="G401" i="5"/>
  <c r="E401" i="5" s="1"/>
  <c r="D401" i="5"/>
  <c r="G392" i="5"/>
  <c r="C392" i="5" s="1"/>
  <c r="D392" i="5"/>
  <c r="G359" i="5"/>
  <c r="F359" i="5" s="1"/>
  <c r="D359" i="5"/>
  <c r="G338" i="5"/>
  <c r="E338" i="5" s="1"/>
  <c r="D338" i="5"/>
  <c r="G278" i="5"/>
  <c r="F278" i="5" s="1"/>
  <c r="D278" i="5"/>
  <c r="G257" i="5"/>
  <c r="N257" i="5" s="1"/>
  <c r="D257" i="5"/>
  <c r="G197" i="5"/>
  <c r="I197" i="5" s="1"/>
  <c r="D197" i="5"/>
  <c r="G176" i="5"/>
  <c r="F176" i="5" s="1"/>
  <c r="D176" i="5"/>
  <c r="G116" i="5"/>
  <c r="E116" i="5" s="1"/>
  <c r="D116" i="5"/>
  <c r="G95" i="5"/>
  <c r="F95" i="5" s="1"/>
  <c r="D95" i="5"/>
  <c r="G35" i="5"/>
  <c r="F35" i="5" s="1"/>
  <c r="D35" i="5"/>
  <c r="G19" i="5"/>
  <c r="D19" i="5"/>
  <c r="G13" i="5"/>
  <c r="I13" i="5" s="1"/>
  <c r="D13" i="5"/>
  <c r="G4" i="5"/>
  <c r="D4" i="5"/>
  <c r="G3" i="5"/>
  <c r="D3" i="5"/>
  <c r="G17" i="5"/>
  <c r="E17" i="5" s="1"/>
  <c r="D17" i="5"/>
  <c r="G14" i="5"/>
  <c r="D14" i="5"/>
  <c r="G11" i="5"/>
  <c r="D11" i="5"/>
  <c r="G8" i="5"/>
  <c r="D8" i="5"/>
  <c r="G5" i="5"/>
  <c r="D5" i="5"/>
  <c r="G997" i="5"/>
  <c r="F997" i="5" s="1"/>
  <c r="D997" i="5"/>
  <c r="G988" i="5"/>
  <c r="E988" i="5" s="1"/>
  <c r="D988" i="5"/>
  <c r="G979" i="5"/>
  <c r="N979" i="5" s="1"/>
  <c r="D979" i="5"/>
  <c r="G970" i="5"/>
  <c r="N970" i="5" s="1"/>
  <c r="D970" i="5"/>
  <c r="G961" i="5"/>
  <c r="N961" i="5" s="1"/>
  <c r="D961" i="5"/>
  <c r="G952" i="5"/>
  <c r="N952" i="5" s="1"/>
  <c r="D952" i="5"/>
  <c r="G943" i="5"/>
  <c r="B943" i="5" s="1"/>
  <c r="D943" i="5"/>
  <c r="G934" i="5"/>
  <c r="F934" i="5" s="1"/>
  <c r="D934" i="5"/>
  <c r="G925" i="5"/>
  <c r="N925" i="5" s="1"/>
  <c r="D925" i="5"/>
  <c r="G916" i="5"/>
  <c r="C916" i="5" s="1"/>
  <c r="D916" i="5"/>
  <c r="G907" i="5"/>
  <c r="N907" i="5" s="1"/>
  <c r="D907" i="5"/>
  <c r="G898" i="5"/>
  <c r="N898" i="5" s="1"/>
  <c r="D898" i="5"/>
  <c r="G889" i="5"/>
  <c r="C889" i="5" s="1"/>
  <c r="D889" i="5"/>
  <c r="G880" i="5"/>
  <c r="N880" i="5" s="1"/>
  <c r="D880" i="5"/>
  <c r="G871" i="5"/>
  <c r="N871" i="5" s="1"/>
  <c r="D871" i="5"/>
  <c r="G862" i="5"/>
  <c r="F862" i="5" s="1"/>
  <c r="D862" i="5"/>
  <c r="G844" i="5"/>
  <c r="B844" i="5" s="1"/>
  <c r="D844" i="5"/>
  <c r="G838" i="5"/>
  <c r="N838" i="5" s="1"/>
  <c r="D838" i="5"/>
  <c r="G817" i="5"/>
  <c r="C817" i="5" s="1"/>
  <c r="D817" i="5"/>
  <c r="G811" i="5"/>
  <c r="I811" i="5" s="1"/>
  <c r="D811" i="5"/>
  <c r="G790" i="5"/>
  <c r="N790" i="5" s="1"/>
  <c r="D790" i="5"/>
  <c r="G784" i="5"/>
  <c r="F784" i="5" s="1"/>
  <c r="D784" i="5"/>
  <c r="G763" i="5"/>
  <c r="F763" i="5" s="1"/>
  <c r="D763" i="5"/>
  <c r="G757" i="5"/>
  <c r="N757" i="5" s="1"/>
  <c r="D757" i="5"/>
  <c r="G736" i="5"/>
  <c r="N736" i="5" s="1"/>
  <c r="D736" i="5"/>
  <c r="G730" i="5"/>
  <c r="I730" i="5" s="1"/>
  <c r="D730" i="5"/>
  <c r="G709" i="5"/>
  <c r="N709" i="5" s="1"/>
  <c r="D709" i="5"/>
  <c r="G703" i="5"/>
  <c r="E703" i="5" s="1"/>
  <c r="D703" i="5"/>
  <c r="G682" i="5"/>
  <c r="F682" i="5" s="1"/>
  <c r="D682" i="5"/>
  <c r="G676" i="5"/>
  <c r="N676" i="5" s="1"/>
  <c r="D676" i="5"/>
  <c r="D664" i="5"/>
  <c r="G655" i="5"/>
  <c r="C655" i="5" s="1"/>
  <c r="D655" i="5"/>
  <c r="G649" i="5"/>
  <c r="I649" i="5" s="1"/>
  <c r="D649" i="5"/>
  <c r="G625" i="5"/>
  <c r="E625" i="5" s="1"/>
  <c r="D625" i="5"/>
  <c r="G616" i="5"/>
  <c r="N616" i="5" s="1"/>
  <c r="D616" i="5"/>
  <c r="G604" i="5"/>
  <c r="E604" i="5" s="1"/>
  <c r="D604" i="5"/>
  <c r="G595" i="5"/>
  <c r="F595" i="5" s="1"/>
  <c r="D595" i="5"/>
  <c r="D556" i="5"/>
  <c r="G544" i="5"/>
  <c r="F544" i="5" s="1"/>
  <c r="D544" i="5"/>
  <c r="G535" i="5"/>
  <c r="E535" i="5" s="1"/>
  <c r="D535" i="5"/>
  <c r="G523" i="5"/>
  <c r="I523" i="5" s="1"/>
  <c r="D523" i="5"/>
  <c r="G514" i="5"/>
  <c r="F514" i="5" s="1"/>
  <c r="D514" i="5"/>
  <c r="G463" i="5"/>
  <c r="F463" i="5" s="1"/>
  <c r="D463" i="5"/>
  <c r="G454" i="5"/>
  <c r="N454" i="5" s="1"/>
  <c r="D454" i="5"/>
  <c r="G442" i="5"/>
  <c r="F442" i="5" s="1"/>
  <c r="D442" i="5"/>
  <c r="D439" i="5"/>
  <c r="G433" i="5"/>
  <c r="I433" i="5" s="1"/>
  <c r="D433" i="5"/>
  <c r="G379" i="5"/>
  <c r="N379" i="5" s="1"/>
  <c r="D379" i="5"/>
  <c r="G319" i="5"/>
  <c r="F319" i="5" s="1"/>
  <c r="D319" i="5"/>
  <c r="G298" i="5"/>
  <c r="E298" i="5" s="1"/>
  <c r="D298" i="5"/>
  <c r="G238" i="5"/>
  <c r="F238" i="5" s="1"/>
  <c r="D238" i="5"/>
  <c r="G217" i="5"/>
  <c r="N217" i="5" s="1"/>
  <c r="D217" i="5"/>
  <c r="G157" i="5"/>
  <c r="F157" i="5" s="1"/>
  <c r="D157" i="5"/>
  <c r="G136" i="5"/>
  <c r="I136" i="5" s="1"/>
  <c r="D136" i="5"/>
  <c r="G76" i="5"/>
  <c r="F76" i="5" s="1"/>
  <c r="D76" i="5"/>
  <c r="G55" i="5"/>
  <c r="E55" i="5" s="1"/>
  <c r="D55" i="5"/>
  <c r="G49" i="5"/>
  <c r="F49" i="5" s="1"/>
  <c r="D49" i="5"/>
  <c r="F974" i="5"/>
  <c r="F857" i="5"/>
  <c r="E857" i="5"/>
  <c r="C857" i="5"/>
  <c r="B857" i="5"/>
  <c r="E830" i="5"/>
  <c r="F776" i="5"/>
  <c r="E776" i="5"/>
  <c r="C776" i="5"/>
  <c r="B776" i="5"/>
  <c r="F695" i="5"/>
  <c r="E695" i="5"/>
  <c r="C695" i="5"/>
  <c r="B695" i="5"/>
  <c r="I413" i="5"/>
  <c r="C413" i="5"/>
  <c r="F401" i="5"/>
  <c r="B401" i="5"/>
  <c r="E359" i="5"/>
  <c r="C359" i="5"/>
  <c r="F338" i="5"/>
  <c r="B338" i="5"/>
  <c r="C278" i="5"/>
  <c r="F257" i="5"/>
  <c r="B257" i="5"/>
  <c r="E197" i="5"/>
  <c r="I116" i="5"/>
  <c r="F116" i="5"/>
  <c r="B116" i="5"/>
  <c r="N95" i="5"/>
  <c r="I257" i="5"/>
  <c r="E12" i="5"/>
  <c r="C12" i="5"/>
  <c r="F992" i="5"/>
  <c r="E992" i="5"/>
  <c r="C992" i="5"/>
  <c r="B992" i="5"/>
  <c r="C956" i="5"/>
  <c r="F875" i="5"/>
  <c r="E875" i="5"/>
  <c r="C851" i="5"/>
  <c r="E803" i="5"/>
  <c r="F743" i="5"/>
  <c r="E743" i="5"/>
  <c r="C743" i="5"/>
  <c r="B743" i="5"/>
  <c r="C473" i="5"/>
  <c r="N17" i="5"/>
  <c r="E997" i="5"/>
  <c r="C997" i="5"/>
  <c r="C988" i="5"/>
  <c r="F970" i="5"/>
  <c r="B970" i="5"/>
  <c r="E961" i="5"/>
  <c r="N943" i="5"/>
  <c r="C943" i="5"/>
  <c r="F943" i="5"/>
  <c r="N934" i="5"/>
  <c r="N916" i="5"/>
  <c r="B916" i="5"/>
  <c r="E907" i="5"/>
  <c r="C898" i="5"/>
  <c r="E889" i="5"/>
  <c r="B880" i="5"/>
  <c r="N862" i="5"/>
  <c r="C844" i="5"/>
  <c r="F817" i="5"/>
  <c r="C811" i="5"/>
  <c r="C763" i="5"/>
  <c r="E736" i="5"/>
  <c r="F730" i="5"/>
  <c r="N703" i="5"/>
  <c r="B682" i="5"/>
  <c r="B655" i="5"/>
  <c r="B625" i="5"/>
  <c r="F616" i="5"/>
  <c r="N595" i="5"/>
  <c r="B535" i="5"/>
  <c r="E523" i="5"/>
  <c r="N463" i="5"/>
  <c r="F454" i="5"/>
  <c r="N433" i="5"/>
  <c r="N298" i="5"/>
  <c r="E157" i="5"/>
  <c r="C983" i="5"/>
  <c r="F965" i="5"/>
  <c r="E965" i="5"/>
  <c r="C965" i="5"/>
  <c r="B965" i="5"/>
  <c r="C947" i="5"/>
  <c r="F938" i="5"/>
  <c r="E938" i="5"/>
  <c r="C938" i="5"/>
  <c r="B938" i="5"/>
  <c r="C929" i="5"/>
  <c r="F911" i="5"/>
  <c r="E911" i="5"/>
  <c r="C911" i="5"/>
  <c r="B911" i="5"/>
  <c r="E902" i="5"/>
  <c r="F884" i="5"/>
  <c r="E884" i="5"/>
  <c r="C884" i="5"/>
  <c r="B884" i="5"/>
  <c r="C866" i="5"/>
  <c r="F824" i="5"/>
  <c r="E824" i="5"/>
  <c r="C824" i="5"/>
  <c r="B824" i="5"/>
  <c r="B797" i="5"/>
  <c r="F770" i="5"/>
  <c r="B770" i="5"/>
  <c r="C722" i="5"/>
  <c r="E689" i="5"/>
  <c r="F662" i="5"/>
  <c r="E662" i="5"/>
  <c r="C662" i="5"/>
  <c r="B662" i="5"/>
  <c r="C641" i="5"/>
  <c r="I584" i="5"/>
  <c r="F584" i="5"/>
  <c r="E584" i="5"/>
  <c r="C584" i="5"/>
  <c r="B584" i="5"/>
  <c r="E575" i="5"/>
  <c r="F554" i="5"/>
  <c r="E554" i="5"/>
  <c r="C554" i="5"/>
  <c r="B554" i="5"/>
  <c r="E503" i="5"/>
  <c r="I494" i="5"/>
  <c r="F482" i="5"/>
  <c r="E482" i="5"/>
  <c r="C482" i="5"/>
  <c r="B482" i="5"/>
  <c r="I19" i="5"/>
  <c r="C19" i="5"/>
  <c r="F7" i="5"/>
  <c r="B7" i="5"/>
  <c r="G664" i="5"/>
  <c r="I664" i="5" s="1"/>
  <c r="N20" i="5"/>
  <c r="C20" i="5"/>
  <c r="F20" i="5"/>
  <c r="B20" i="5"/>
  <c r="E20" i="5"/>
  <c r="N18" i="5"/>
  <c r="N14" i="5"/>
  <c r="I20" i="5"/>
  <c r="G999" i="5"/>
  <c r="G996" i="5"/>
  <c r="G993" i="5"/>
  <c r="G990" i="5"/>
  <c r="G987" i="5"/>
  <c r="G984" i="5"/>
  <c r="G981" i="5"/>
  <c r="G978" i="5"/>
  <c r="G975" i="5"/>
  <c r="G972" i="5"/>
  <c r="G969" i="5"/>
  <c r="G966" i="5"/>
  <c r="G963" i="5"/>
  <c r="G960" i="5"/>
  <c r="G957" i="5"/>
  <c r="G954" i="5"/>
  <c r="G951" i="5"/>
  <c r="G948" i="5"/>
  <c r="G945" i="5"/>
  <c r="G942" i="5"/>
  <c r="G939" i="5"/>
  <c r="G936" i="5"/>
  <c r="G933" i="5"/>
  <c r="G930" i="5"/>
  <c r="G927" i="5"/>
  <c r="G924" i="5"/>
  <c r="G921" i="5"/>
  <c r="G918" i="5"/>
  <c r="G915" i="5"/>
  <c r="G912" i="5"/>
  <c r="G909" i="5"/>
  <c r="G906" i="5"/>
  <c r="G903" i="5"/>
  <c r="G900" i="5"/>
  <c r="G897" i="5"/>
  <c r="G894" i="5"/>
  <c r="G891" i="5"/>
  <c r="G888" i="5"/>
  <c r="G885" i="5"/>
  <c r="G882" i="5"/>
  <c r="G879" i="5"/>
  <c r="G876" i="5"/>
  <c r="G873" i="5"/>
  <c r="G870" i="5"/>
  <c r="G867" i="5"/>
  <c r="G864" i="5"/>
  <c r="G861" i="5"/>
  <c r="G858" i="5"/>
  <c r="G855" i="5"/>
  <c r="G852" i="5"/>
  <c r="G849" i="5"/>
  <c r="G846" i="5"/>
  <c r="G843" i="5"/>
  <c r="G840" i="5"/>
  <c r="G837" i="5"/>
  <c r="G834" i="5"/>
  <c r="G831" i="5"/>
  <c r="G828" i="5"/>
  <c r="G825" i="5"/>
  <c r="G822" i="5"/>
  <c r="G819" i="5"/>
  <c r="G816" i="5"/>
  <c r="G813" i="5"/>
  <c r="G810" i="5"/>
  <c r="G807" i="5"/>
  <c r="G804" i="5"/>
  <c r="G801" i="5"/>
  <c r="G798" i="5"/>
  <c r="G795" i="5"/>
  <c r="G792" i="5"/>
  <c r="G789" i="5"/>
  <c r="G786" i="5"/>
  <c r="G783" i="5"/>
  <c r="G780" i="5"/>
  <c r="G777" i="5"/>
  <c r="G774" i="5"/>
  <c r="G771" i="5"/>
  <c r="G768" i="5"/>
  <c r="G765" i="5"/>
  <c r="G762" i="5"/>
  <c r="G759" i="5"/>
  <c r="G756" i="5"/>
  <c r="G753" i="5"/>
  <c r="G750" i="5"/>
  <c r="G747" i="5"/>
  <c r="G744" i="5"/>
  <c r="G741" i="5"/>
  <c r="G738" i="5"/>
  <c r="G735" i="5"/>
  <c r="G732" i="5"/>
  <c r="G729" i="5"/>
  <c r="G726" i="5"/>
  <c r="G723" i="5"/>
  <c r="G720" i="5"/>
  <c r="G717" i="5"/>
  <c r="G714" i="5"/>
  <c r="G711" i="5"/>
  <c r="G708" i="5"/>
  <c r="G705" i="5"/>
  <c r="G702" i="5"/>
  <c r="G699" i="5"/>
  <c r="G696" i="5"/>
  <c r="G693" i="5"/>
  <c r="G690" i="5"/>
  <c r="G687" i="5"/>
  <c r="G684" i="5"/>
  <c r="G681" i="5"/>
  <c r="G678" i="5"/>
  <c r="G675" i="5"/>
  <c r="G672" i="5"/>
  <c r="G669" i="5"/>
  <c r="G666" i="5"/>
  <c r="G663" i="5"/>
  <c r="G660" i="5"/>
  <c r="G657" i="5"/>
  <c r="G654" i="5"/>
  <c r="G651" i="5"/>
  <c r="G648" i="5"/>
  <c r="G645" i="5"/>
  <c r="G642" i="5"/>
  <c r="G639" i="5"/>
  <c r="G636" i="5"/>
  <c r="G633" i="5"/>
  <c r="G630" i="5"/>
  <c r="G627" i="5"/>
  <c r="G624" i="5"/>
  <c r="G621" i="5"/>
  <c r="G618" i="5"/>
  <c r="G615" i="5"/>
  <c r="G612" i="5"/>
  <c r="G609" i="5"/>
  <c r="G606" i="5"/>
  <c r="G603" i="5"/>
  <c r="G600" i="5"/>
  <c r="G597" i="5"/>
  <c r="G594" i="5"/>
  <c r="G591" i="5"/>
  <c r="G588" i="5"/>
  <c r="G585" i="5"/>
  <c r="G582" i="5"/>
  <c r="G579" i="5"/>
  <c r="G576" i="5"/>
  <c r="G573" i="5"/>
  <c r="G570" i="5"/>
  <c r="G567" i="5"/>
  <c r="G564" i="5"/>
  <c r="G561" i="5"/>
  <c r="G558" i="5"/>
  <c r="G555" i="5"/>
  <c r="G552" i="5"/>
  <c r="G549" i="5"/>
  <c r="G546" i="5"/>
  <c r="G543" i="5"/>
  <c r="G540" i="5"/>
  <c r="G537" i="5"/>
  <c r="G534" i="5"/>
  <c r="G531" i="5"/>
  <c r="G528" i="5"/>
  <c r="G525" i="5"/>
  <c r="G522" i="5"/>
  <c r="G519" i="5"/>
  <c r="G516" i="5"/>
  <c r="G513" i="5"/>
  <c r="G510" i="5"/>
  <c r="G507" i="5"/>
  <c r="G504" i="5"/>
  <c r="G501" i="5"/>
  <c r="G498" i="5"/>
  <c r="G495" i="5"/>
  <c r="G492" i="5"/>
  <c r="G489" i="5"/>
  <c r="G486" i="5"/>
  <c r="G483" i="5"/>
  <c r="G480" i="5"/>
  <c r="G477" i="5"/>
  <c r="G474" i="5"/>
  <c r="G471" i="5"/>
  <c r="G468" i="5"/>
  <c r="G465" i="5"/>
  <c r="G462" i="5"/>
  <c r="G459" i="5"/>
  <c r="G456" i="5"/>
  <c r="G453" i="5"/>
  <c r="G450" i="5"/>
  <c r="G447" i="5"/>
  <c r="G444" i="5"/>
  <c r="G441" i="5"/>
  <c r="G438" i="5"/>
  <c r="G435" i="5"/>
  <c r="G432" i="5"/>
  <c r="G429" i="5"/>
  <c r="G426" i="5"/>
  <c r="G423" i="5"/>
  <c r="G420" i="5"/>
  <c r="G417" i="5"/>
  <c r="G414" i="5"/>
  <c r="G411" i="5"/>
  <c r="G408" i="5"/>
  <c r="G405" i="5"/>
  <c r="G402" i="5"/>
  <c r="G399" i="5"/>
  <c r="G396" i="5"/>
  <c r="G393" i="5"/>
  <c r="G390" i="5"/>
  <c r="G387" i="5"/>
  <c r="G384" i="5"/>
  <c r="G381" i="5"/>
  <c r="G378" i="5"/>
  <c r="G375" i="5"/>
  <c r="G372" i="5"/>
  <c r="G369" i="5"/>
  <c r="G366" i="5"/>
  <c r="G363" i="5"/>
  <c r="G360" i="5"/>
  <c r="G357" i="5"/>
  <c r="G354" i="5"/>
  <c r="G351" i="5"/>
  <c r="G348" i="5"/>
  <c r="G345" i="5"/>
  <c r="G342" i="5"/>
  <c r="G339" i="5"/>
  <c r="G336" i="5"/>
  <c r="G333" i="5"/>
  <c r="G330" i="5"/>
  <c r="G327" i="5"/>
  <c r="G324" i="5"/>
  <c r="G321" i="5"/>
  <c r="G318" i="5"/>
  <c r="G315" i="5"/>
  <c r="G312" i="5"/>
  <c r="G309" i="5"/>
  <c r="G306" i="5"/>
  <c r="G303" i="5"/>
  <c r="G300" i="5"/>
  <c r="G297" i="5"/>
  <c r="G294" i="5"/>
  <c r="G291" i="5"/>
  <c r="G288" i="5"/>
  <c r="G285" i="5"/>
  <c r="G282" i="5"/>
  <c r="G279" i="5"/>
  <c r="G276" i="5"/>
  <c r="G273" i="5"/>
  <c r="G270" i="5"/>
  <c r="G267" i="5"/>
  <c r="G264" i="5"/>
  <c r="G261" i="5"/>
  <c r="G258" i="5"/>
  <c r="G255" i="5"/>
  <c r="G252" i="5"/>
  <c r="G249" i="5"/>
  <c r="G246" i="5"/>
  <c r="G243" i="5"/>
  <c r="G240" i="5"/>
  <c r="G237" i="5"/>
  <c r="G234" i="5"/>
  <c r="G231" i="5"/>
  <c r="G228" i="5"/>
  <c r="G225" i="5"/>
  <c r="G222" i="5"/>
  <c r="G219" i="5"/>
  <c r="G216" i="5"/>
  <c r="G213" i="5"/>
  <c r="G210" i="5"/>
  <c r="G207" i="5"/>
  <c r="G204" i="5"/>
  <c r="G201" i="5"/>
  <c r="G198" i="5"/>
  <c r="G195" i="5"/>
  <c r="G192" i="5"/>
  <c r="G189" i="5"/>
  <c r="G186" i="5"/>
  <c r="G183" i="5"/>
  <c r="G180" i="5"/>
  <c r="G177" i="5"/>
  <c r="G174" i="5"/>
  <c r="G171" i="5"/>
  <c r="G168" i="5"/>
  <c r="G165" i="5"/>
  <c r="G162" i="5"/>
  <c r="G159" i="5"/>
  <c r="G156" i="5"/>
  <c r="G153" i="5"/>
  <c r="G150" i="5"/>
  <c r="G147" i="5"/>
  <c r="G144" i="5"/>
  <c r="G141" i="5"/>
  <c r="G138" i="5"/>
  <c r="G135" i="5"/>
  <c r="G132" i="5"/>
  <c r="G129" i="5"/>
  <c r="G126" i="5"/>
  <c r="G123" i="5"/>
  <c r="G120" i="5"/>
  <c r="G117" i="5"/>
  <c r="G114" i="5"/>
  <c r="G111" i="5"/>
  <c r="G108" i="5"/>
  <c r="G105" i="5"/>
  <c r="G102" i="5"/>
  <c r="G99" i="5"/>
  <c r="G96" i="5"/>
  <c r="G93" i="5"/>
  <c r="G90" i="5"/>
  <c r="G87" i="5"/>
  <c r="G84" i="5"/>
  <c r="G81" i="5"/>
  <c r="G78" i="5"/>
  <c r="G75" i="5"/>
  <c r="G72" i="5"/>
  <c r="G69" i="5"/>
  <c r="G66" i="5"/>
  <c r="G63" i="5"/>
  <c r="G60" i="5"/>
  <c r="G57" i="5"/>
  <c r="G54" i="5"/>
  <c r="G51" i="5"/>
  <c r="G48" i="5"/>
  <c r="G45" i="5"/>
  <c r="G42" i="5"/>
  <c r="G39" i="5"/>
  <c r="G36" i="5"/>
  <c r="G33" i="5"/>
  <c r="G30" i="5"/>
  <c r="G27" i="5"/>
  <c r="G24" i="5"/>
  <c r="G21" i="5"/>
  <c r="G998" i="5"/>
  <c r="G995" i="5"/>
  <c r="I992" i="5"/>
  <c r="N992" i="5"/>
  <c r="G989" i="5"/>
  <c r="G986" i="5"/>
  <c r="G980" i="5"/>
  <c r="G977" i="5"/>
  <c r="G971" i="5"/>
  <c r="G968" i="5"/>
  <c r="I965" i="5"/>
  <c r="N965" i="5"/>
  <c r="G962" i="5"/>
  <c r="G959" i="5"/>
  <c r="N956" i="5"/>
  <c r="G953" i="5"/>
  <c r="G950" i="5"/>
  <c r="I947" i="5"/>
  <c r="G944" i="5"/>
  <c r="G941" i="5"/>
  <c r="I938" i="5"/>
  <c r="N938" i="5"/>
  <c r="G935" i="5"/>
  <c r="G932" i="5"/>
  <c r="G926" i="5"/>
  <c r="G923" i="5"/>
  <c r="G917" i="5"/>
  <c r="G914" i="5"/>
  <c r="I911" i="5"/>
  <c r="N911" i="5"/>
  <c r="G908" i="5"/>
  <c r="G905" i="5"/>
  <c r="N902" i="5"/>
  <c r="G899" i="5"/>
  <c r="G896" i="5"/>
  <c r="G890" i="5"/>
  <c r="G887" i="5"/>
  <c r="I884" i="5"/>
  <c r="N884" i="5"/>
  <c r="G881" i="5"/>
  <c r="G878" i="5"/>
  <c r="I875" i="5"/>
  <c r="G872" i="5"/>
  <c r="G869" i="5"/>
  <c r="I866" i="5"/>
  <c r="G863" i="5"/>
  <c r="G860" i="5"/>
  <c r="I857" i="5"/>
  <c r="N857" i="5"/>
  <c r="G854" i="5"/>
  <c r="N851" i="5"/>
  <c r="G848" i="5"/>
  <c r="G845" i="5"/>
  <c r="G842" i="5"/>
  <c r="G839" i="5"/>
  <c r="G836" i="5"/>
  <c r="G833" i="5"/>
  <c r="G827" i="5"/>
  <c r="N824" i="5"/>
  <c r="I824" i="5"/>
  <c r="G821" i="5"/>
  <c r="G818" i="5"/>
  <c r="G815" i="5"/>
  <c r="G812" i="5"/>
  <c r="G809" i="5"/>
  <c r="G806" i="5"/>
  <c r="I803" i="5"/>
  <c r="G800" i="5"/>
  <c r="G794" i="5"/>
  <c r="G791" i="5"/>
  <c r="G788" i="5"/>
  <c r="G785" i="5"/>
  <c r="G782" i="5"/>
  <c r="G779" i="5"/>
  <c r="I776" i="5"/>
  <c r="N776" i="5"/>
  <c r="G773" i="5"/>
  <c r="I770" i="5"/>
  <c r="G767" i="5"/>
  <c r="G764" i="5"/>
  <c r="G761" i="5"/>
  <c r="G758" i="5"/>
  <c r="G755" i="5"/>
  <c r="G752" i="5"/>
  <c r="G746" i="5"/>
  <c r="N743" i="5"/>
  <c r="I743" i="5"/>
  <c r="G740" i="5"/>
  <c r="G737" i="5"/>
  <c r="G734" i="5"/>
  <c r="G731" i="5"/>
  <c r="G728" i="5"/>
  <c r="G725" i="5"/>
  <c r="N722" i="5"/>
  <c r="G719" i="5"/>
  <c r="G713" i="5"/>
  <c r="G710" i="5"/>
  <c r="G707" i="5"/>
  <c r="G704" i="5"/>
  <c r="G701" i="5"/>
  <c r="G698" i="5"/>
  <c r="I695" i="5"/>
  <c r="N695" i="5"/>
  <c r="G692" i="5"/>
  <c r="G686" i="5"/>
  <c r="G683" i="5"/>
  <c r="G680" i="5"/>
  <c r="G677" i="5"/>
  <c r="G674" i="5"/>
  <c r="G671" i="5"/>
  <c r="G665" i="5"/>
  <c r="N662" i="5"/>
  <c r="I662" i="5"/>
  <c r="G659" i="5"/>
  <c r="G656" i="5"/>
  <c r="G653" i="5"/>
  <c r="G650" i="5"/>
  <c r="G647" i="5"/>
  <c r="G644" i="5"/>
  <c r="G638" i="5"/>
  <c r="G632" i="5"/>
  <c r="G629" i="5"/>
  <c r="G626" i="5"/>
  <c r="G623" i="5"/>
  <c r="G620" i="5"/>
  <c r="G617" i="5"/>
  <c r="G614" i="5"/>
  <c r="G611" i="5"/>
  <c r="G608" i="5"/>
  <c r="G605" i="5"/>
  <c r="G602" i="5"/>
  <c r="G599" i="5"/>
  <c r="G596" i="5"/>
  <c r="G593" i="5"/>
  <c r="G590" i="5"/>
  <c r="G587" i="5"/>
  <c r="G581" i="5"/>
  <c r="G578" i="5"/>
  <c r="G572" i="5"/>
  <c r="G569" i="5"/>
  <c r="G566" i="5"/>
  <c r="G560" i="5"/>
  <c r="G557" i="5"/>
  <c r="N554" i="5"/>
  <c r="I554" i="5"/>
  <c r="G551" i="5"/>
  <c r="G548" i="5"/>
  <c r="G545" i="5"/>
  <c r="G542" i="5"/>
  <c r="G539" i="5"/>
  <c r="G536" i="5"/>
  <c r="G533" i="5"/>
  <c r="G530" i="5"/>
  <c r="G527" i="5"/>
  <c r="G524" i="5"/>
  <c r="G521" i="5"/>
  <c r="G518" i="5"/>
  <c r="G515" i="5"/>
  <c r="G512" i="5"/>
  <c r="G509" i="5"/>
  <c r="G506" i="5"/>
  <c r="G500" i="5"/>
  <c r="G497" i="5"/>
  <c r="G491" i="5"/>
  <c r="G488" i="5"/>
  <c r="G485" i="5"/>
  <c r="N482" i="5"/>
  <c r="I482" i="5"/>
  <c r="G479" i="5"/>
  <c r="G476" i="5"/>
  <c r="I473" i="5"/>
  <c r="G470" i="5"/>
  <c r="G467" i="5"/>
  <c r="G464" i="5"/>
  <c r="G461" i="5"/>
  <c r="G458" i="5"/>
  <c r="G455" i="5"/>
  <c r="G452" i="5"/>
  <c r="G449" i="5"/>
  <c r="G446" i="5"/>
  <c r="G443" i="5"/>
  <c r="G440" i="5"/>
  <c r="G437" i="5"/>
  <c r="G434" i="5"/>
  <c r="G431" i="5"/>
  <c r="G428" i="5"/>
  <c r="G425" i="5"/>
  <c r="G419" i="5"/>
  <c r="G416" i="5"/>
  <c r="G410" i="5"/>
  <c r="G407" i="5"/>
  <c r="G404" i="5"/>
  <c r="G398" i="5"/>
  <c r="G395" i="5"/>
  <c r="G389" i="5"/>
  <c r="G386" i="5"/>
  <c r="G383" i="5"/>
  <c r="G380" i="5"/>
  <c r="G377" i="5"/>
  <c r="G374" i="5"/>
  <c r="G371" i="5"/>
  <c r="G368" i="5"/>
  <c r="G365" i="5"/>
  <c r="G362" i="5"/>
  <c r="G356" i="5"/>
  <c r="G353" i="5"/>
  <c r="G350" i="5"/>
  <c r="G347" i="5"/>
  <c r="G344" i="5"/>
  <c r="G341" i="5"/>
  <c r="N338" i="5"/>
  <c r="G335" i="5"/>
  <c r="G332" i="5"/>
  <c r="G329" i="5"/>
  <c r="G326" i="5"/>
  <c r="G323" i="5"/>
  <c r="G320" i="5"/>
  <c r="G317" i="5"/>
  <c r="G314" i="5"/>
  <c r="G311" i="5"/>
  <c r="G308" i="5"/>
  <c r="G305" i="5"/>
  <c r="G302" i="5"/>
  <c r="G299" i="5"/>
  <c r="G296" i="5"/>
  <c r="G293" i="5"/>
  <c r="G290" i="5"/>
  <c r="G287" i="5"/>
  <c r="G284" i="5"/>
  <c r="G281" i="5"/>
  <c r="G275" i="5"/>
  <c r="G272" i="5"/>
  <c r="G269" i="5"/>
  <c r="G266" i="5"/>
  <c r="G263" i="5"/>
  <c r="G260" i="5"/>
  <c r="G254" i="5"/>
  <c r="G251" i="5"/>
  <c r="G248" i="5"/>
  <c r="G245" i="5"/>
  <c r="G242" i="5"/>
  <c r="G239" i="5"/>
  <c r="G236" i="5"/>
  <c r="G233" i="5"/>
  <c r="G230" i="5"/>
  <c r="G227" i="5"/>
  <c r="G224" i="5"/>
  <c r="G221" i="5"/>
  <c r="G218" i="5"/>
  <c r="G215" i="5"/>
  <c r="G212" i="5"/>
  <c r="G209" i="5"/>
  <c r="G206" i="5"/>
  <c r="G203" i="5"/>
  <c r="G200" i="5"/>
  <c r="G194" i="5"/>
  <c r="G191" i="5"/>
  <c r="G188" i="5"/>
  <c r="G185" i="5"/>
  <c r="G182" i="5"/>
  <c r="G179" i="5"/>
  <c r="G173" i="5"/>
  <c r="G170" i="5"/>
  <c r="G167" i="5"/>
  <c r="G164" i="5"/>
  <c r="G161" i="5"/>
  <c r="G158" i="5"/>
  <c r="G155" i="5"/>
  <c r="G152" i="5"/>
  <c r="G149" i="5"/>
  <c r="G146" i="5"/>
  <c r="G143" i="5"/>
  <c r="G140" i="5"/>
  <c r="G137" i="5"/>
  <c r="G134" i="5"/>
  <c r="G131" i="5"/>
  <c r="G128" i="5"/>
  <c r="G125" i="5"/>
  <c r="G122" i="5"/>
  <c r="G119" i="5"/>
  <c r="G113" i="5"/>
  <c r="G110" i="5"/>
  <c r="G107" i="5"/>
  <c r="G104" i="5"/>
  <c r="G101" i="5"/>
  <c r="G98" i="5"/>
  <c r="G92" i="5"/>
  <c r="G89" i="5"/>
  <c r="G86" i="5"/>
  <c r="G83" i="5"/>
  <c r="G80" i="5"/>
  <c r="G77" i="5"/>
  <c r="G74" i="5"/>
  <c r="G71" i="5"/>
  <c r="G68" i="5"/>
  <c r="G65" i="5"/>
  <c r="G62" i="5"/>
  <c r="G59" i="5"/>
  <c r="G56" i="5"/>
  <c r="G53" i="5"/>
  <c r="G50" i="5"/>
  <c r="G47" i="5"/>
  <c r="G44" i="5"/>
  <c r="G41" i="5"/>
  <c r="G38" i="5"/>
  <c r="G32" i="5"/>
  <c r="G29" i="5"/>
  <c r="G26" i="5"/>
  <c r="G23" i="5"/>
  <c r="I625" i="5"/>
  <c r="I535" i="5"/>
  <c r="I463" i="5"/>
  <c r="I319" i="5"/>
  <c r="N575" i="5"/>
  <c r="N413" i="5"/>
  <c r="N359" i="5"/>
  <c r="N197" i="5"/>
  <c r="N116" i="5"/>
  <c r="G556" i="5"/>
  <c r="G1000" i="5"/>
  <c r="G994" i="5"/>
  <c r="G991" i="5"/>
  <c r="G985" i="5"/>
  <c r="G982" i="5"/>
  <c r="G976" i="5"/>
  <c r="G973" i="5"/>
  <c r="G967" i="5"/>
  <c r="G964" i="5"/>
  <c r="G958" i="5"/>
  <c r="G955" i="5"/>
  <c r="G949" i="5"/>
  <c r="G946" i="5"/>
  <c r="G940" i="5"/>
  <c r="G937" i="5"/>
  <c r="G931" i="5"/>
  <c r="G928" i="5"/>
  <c r="G922" i="5"/>
  <c r="G919" i="5"/>
  <c r="G913" i="5"/>
  <c r="G910" i="5"/>
  <c r="G904" i="5"/>
  <c r="G901" i="5"/>
  <c r="G895" i="5"/>
  <c r="G892" i="5"/>
  <c r="G886" i="5"/>
  <c r="G883" i="5"/>
  <c r="G877" i="5"/>
  <c r="G874" i="5"/>
  <c r="G868" i="5"/>
  <c r="G865" i="5"/>
  <c r="G859" i="5"/>
  <c r="G856" i="5"/>
  <c r="G853" i="5"/>
  <c r="G850" i="5"/>
  <c r="G847" i="5"/>
  <c r="G841" i="5"/>
  <c r="G835" i="5"/>
  <c r="G832" i="5"/>
  <c r="G829" i="5"/>
  <c r="G826" i="5"/>
  <c r="G823" i="5"/>
  <c r="G820" i="5"/>
  <c r="G814" i="5"/>
  <c r="G808" i="5"/>
  <c r="G805" i="5"/>
  <c r="G802" i="5"/>
  <c r="G799" i="5"/>
  <c r="G796" i="5"/>
  <c r="G793" i="5"/>
  <c r="G787" i="5"/>
  <c r="G781" i="5"/>
  <c r="G778" i="5"/>
  <c r="G775" i="5"/>
  <c r="G772" i="5"/>
  <c r="G769" i="5"/>
  <c r="G766" i="5"/>
  <c r="G760" i="5"/>
  <c r="G754" i="5"/>
  <c r="G751" i="5"/>
  <c r="G748" i="5"/>
  <c r="G745" i="5"/>
  <c r="G742" i="5"/>
  <c r="G739" i="5"/>
  <c r="G733" i="5"/>
  <c r="G727" i="5"/>
  <c r="G724" i="5"/>
  <c r="G721" i="5"/>
  <c r="G718" i="5"/>
  <c r="G715" i="5"/>
  <c r="G712" i="5"/>
  <c r="G706" i="5"/>
  <c r="G700" i="5"/>
  <c r="G697" i="5"/>
  <c r="G694" i="5"/>
  <c r="G691" i="5"/>
  <c r="G688" i="5"/>
  <c r="G685" i="5"/>
  <c r="G679" i="5"/>
  <c r="G673" i="5"/>
  <c r="G670" i="5"/>
  <c r="G667" i="5"/>
  <c r="G661" i="5"/>
  <c r="G658" i="5"/>
  <c r="G652" i="5"/>
  <c r="G646" i="5"/>
  <c r="G643" i="5"/>
  <c r="G640" i="5"/>
  <c r="G637" i="5"/>
  <c r="G634" i="5"/>
  <c r="G631" i="5"/>
  <c r="G628" i="5"/>
  <c r="G622" i="5"/>
  <c r="G619" i="5"/>
  <c r="G613" i="5"/>
  <c r="G610" i="5"/>
  <c r="G607" i="5"/>
  <c r="G601" i="5"/>
  <c r="G598" i="5"/>
  <c r="G592" i="5"/>
  <c r="G589" i="5"/>
  <c r="G586" i="5"/>
  <c r="G583" i="5"/>
  <c r="G580" i="5"/>
  <c r="G577" i="5"/>
  <c r="G574" i="5"/>
  <c r="G571" i="5"/>
  <c r="G568" i="5"/>
  <c r="G565" i="5"/>
  <c r="G562" i="5"/>
  <c r="G559" i="5"/>
  <c r="G553" i="5"/>
  <c r="G550" i="5"/>
  <c r="G547" i="5"/>
  <c r="G541" i="5"/>
  <c r="G538" i="5"/>
  <c r="G532" i="5"/>
  <c r="G529" i="5"/>
  <c r="G526" i="5"/>
  <c r="G520" i="5"/>
  <c r="G517" i="5"/>
  <c r="G511" i="5"/>
  <c r="G508" i="5"/>
  <c r="G505" i="5"/>
  <c r="G502" i="5"/>
  <c r="G499" i="5"/>
  <c r="G496" i="5"/>
  <c r="G493" i="5"/>
  <c r="G490" i="5"/>
  <c r="G487" i="5"/>
  <c r="G484" i="5"/>
  <c r="G481" i="5"/>
  <c r="G478" i="5"/>
  <c r="G475" i="5"/>
  <c r="G472" i="5"/>
  <c r="G469" i="5"/>
  <c r="G466" i="5"/>
  <c r="G460" i="5"/>
  <c r="G457" i="5"/>
  <c r="G451" i="5"/>
  <c r="G448" i="5"/>
  <c r="G445" i="5"/>
  <c r="G436" i="5"/>
  <c r="G430" i="5"/>
  <c r="G427" i="5"/>
  <c r="G424" i="5"/>
  <c r="G421" i="5"/>
  <c r="G418" i="5"/>
  <c r="G415" i="5"/>
  <c r="G412" i="5"/>
  <c r="G409" i="5"/>
  <c r="G406" i="5"/>
  <c r="G403" i="5"/>
  <c r="G400" i="5"/>
  <c r="G397" i="5"/>
  <c r="G394" i="5"/>
  <c r="G391" i="5"/>
  <c r="G388" i="5"/>
  <c r="G385" i="5"/>
  <c r="G382" i="5"/>
  <c r="G376" i="5"/>
  <c r="G373" i="5"/>
  <c r="G370" i="5"/>
  <c r="G367" i="5"/>
  <c r="G364" i="5"/>
  <c r="G361" i="5"/>
  <c r="G358" i="5"/>
  <c r="G355" i="5"/>
  <c r="G352" i="5"/>
  <c r="G349" i="5"/>
  <c r="G346" i="5"/>
  <c r="G343" i="5"/>
  <c r="G340" i="5"/>
  <c r="G337" i="5"/>
  <c r="G334" i="5"/>
  <c r="G331" i="5"/>
  <c r="G328" i="5"/>
  <c r="G325" i="5"/>
  <c r="G322" i="5"/>
  <c r="G316" i="5"/>
  <c r="G313" i="5"/>
  <c r="G310" i="5"/>
  <c r="G307" i="5"/>
  <c r="G304" i="5"/>
  <c r="G301" i="5"/>
  <c r="G295" i="5"/>
  <c r="G292" i="5"/>
  <c r="G289" i="5"/>
  <c r="G286" i="5"/>
  <c r="G283" i="5"/>
  <c r="G280" i="5"/>
  <c r="G277" i="5"/>
  <c r="G274" i="5"/>
  <c r="G271" i="5"/>
  <c r="G268" i="5"/>
  <c r="G265" i="5"/>
  <c r="G262" i="5"/>
  <c r="G259" i="5"/>
  <c r="G256" i="5"/>
  <c r="G253" i="5"/>
  <c r="G250" i="5"/>
  <c r="G247" i="5"/>
  <c r="G244" i="5"/>
  <c r="G241" i="5"/>
  <c r="G235" i="5"/>
  <c r="G232" i="5"/>
  <c r="G229" i="5"/>
  <c r="G226" i="5"/>
  <c r="G223" i="5"/>
  <c r="G220" i="5"/>
  <c r="G214" i="5"/>
  <c r="G211" i="5"/>
  <c r="G208" i="5"/>
  <c r="G205" i="5"/>
  <c r="G202" i="5"/>
  <c r="G199" i="5"/>
  <c r="G196" i="5"/>
  <c r="G193" i="5"/>
  <c r="G190" i="5"/>
  <c r="G187" i="5"/>
  <c r="G184" i="5"/>
  <c r="G181" i="5"/>
  <c r="G178" i="5"/>
  <c r="G175" i="5"/>
  <c r="G172" i="5"/>
  <c r="G169" i="5"/>
  <c r="G166" i="5"/>
  <c r="G163" i="5"/>
  <c r="G160" i="5"/>
  <c r="N157" i="5"/>
  <c r="I157" i="5"/>
  <c r="G154" i="5"/>
  <c r="G151" i="5"/>
  <c r="G148" i="5"/>
  <c r="G145" i="5"/>
  <c r="G142" i="5"/>
  <c r="G139" i="5"/>
  <c r="G133" i="5"/>
  <c r="G130" i="5"/>
  <c r="G127" i="5"/>
  <c r="G124" i="5"/>
  <c r="G121" i="5"/>
  <c r="G118" i="5"/>
  <c r="G115" i="5"/>
  <c r="G112" i="5"/>
  <c r="G109" i="5"/>
  <c r="G106" i="5"/>
  <c r="G103" i="5"/>
  <c r="G100" i="5"/>
  <c r="G97" i="5"/>
  <c r="G94" i="5"/>
  <c r="G91" i="5"/>
  <c r="G88" i="5"/>
  <c r="G85" i="5"/>
  <c r="G82" i="5"/>
  <c r="G79" i="5"/>
  <c r="I997" i="5"/>
  <c r="I970" i="5"/>
  <c r="I961" i="5"/>
  <c r="I943" i="5"/>
  <c r="I934" i="5"/>
  <c r="I916" i="5"/>
  <c r="I889" i="5"/>
  <c r="I880" i="5"/>
  <c r="I862" i="5"/>
  <c r="I844" i="5"/>
  <c r="I817" i="5"/>
  <c r="I790" i="5"/>
  <c r="I763" i="5"/>
  <c r="I736" i="5"/>
  <c r="I709" i="5"/>
  <c r="I682" i="5"/>
  <c r="I655" i="5"/>
  <c r="N584" i="5"/>
  <c r="N503" i="5"/>
  <c r="G439" i="5"/>
  <c r="N76" i="5"/>
  <c r="I76" i="5"/>
  <c r="G73" i="5"/>
  <c r="G70" i="5"/>
  <c r="G67" i="5"/>
  <c r="G64" i="5"/>
  <c r="G61" i="5"/>
  <c r="G58" i="5"/>
  <c r="G52" i="5"/>
  <c r="G46" i="5"/>
  <c r="G43" i="5"/>
  <c r="G40" i="5"/>
  <c r="G37" i="5"/>
  <c r="G34" i="5"/>
  <c r="G31" i="5"/>
  <c r="G28" i="5"/>
  <c r="G25" i="5"/>
  <c r="G22" i="5"/>
  <c r="J16" i="5"/>
  <c r="L16" i="5" s="1"/>
  <c r="I17" i="5" l="1"/>
  <c r="N13" i="5"/>
  <c r="I5" i="5"/>
  <c r="N5" i="5"/>
  <c r="I4" i="5"/>
  <c r="N4" i="5"/>
  <c r="I18" i="5"/>
  <c r="F19" i="5"/>
  <c r="N19" i="5"/>
  <c r="I3" i="5"/>
  <c r="N3" i="5"/>
  <c r="I6" i="5"/>
  <c r="N6" i="5"/>
  <c r="I10" i="5"/>
  <c r="N10" i="5"/>
  <c r="I7" i="5"/>
  <c r="N7" i="5"/>
  <c r="I8" i="5"/>
  <c r="N8" i="5"/>
  <c r="I9" i="5"/>
  <c r="N9" i="5"/>
  <c r="I11" i="5"/>
  <c r="N11" i="5"/>
  <c r="I12" i="5"/>
  <c r="N12" i="5"/>
  <c r="B14" i="5"/>
  <c r="I14" i="5"/>
  <c r="E15" i="5"/>
  <c r="N15" i="5"/>
  <c r="C5" i="5"/>
  <c r="C4" i="5"/>
  <c r="F6" i="5"/>
  <c r="E10" i="5"/>
  <c r="F11" i="5"/>
  <c r="C3" i="5"/>
  <c r="E7" i="5"/>
  <c r="C7" i="5"/>
  <c r="I15" i="5"/>
  <c r="B12" i="5"/>
  <c r="F12" i="5"/>
  <c r="E8" i="5"/>
  <c r="F13" i="5"/>
  <c r="F9" i="5"/>
  <c r="C16" i="5"/>
  <c r="I16" i="5"/>
  <c r="K16" i="5" s="1"/>
  <c r="M16" i="5" s="1"/>
  <c r="B16" i="1"/>
  <c r="A7" i="5"/>
  <c r="B58" i="1"/>
  <c r="A49" i="5"/>
  <c r="E4" i="5"/>
  <c r="C6" i="5"/>
  <c r="C11" i="5"/>
  <c r="E3" i="5"/>
  <c r="C13" i="5"/>
  <c r="C8" i="5"/>
  <c r="F10" i="5"/>
  <c r="E16" i="5"/>
  <c r="E18" i="5"/>
  <c r="E9" i="5"/>
  <c r="I907" i="5"/>
  <c r="I988" i="5"/>
  <c r="I401" i="5"/>
  <c r="N473" i="5"/>
  <c r="N641" i="5"/>
  <c r="I689" i="5"/>
  <c r="I722" i="5"/>
  <c r="N770" i="5"/>
  <c r="I902" i="5"/>
  <c r="N929" i="5"/>
  <c r="I956" i="5"/>
  <c r="N983" i="5"/>
  <c r="I298" i="5"/>
  <c r="E13" i="5"/>
  <c r="B16" i="5"/>
  <c r="F16" i="5"/>
  <c r="B503" i="5"/>
  <c r="F503" i="5"/>
  <c r="B575" i="5"/>
  <c r="F575" i="5"/>
  <c r="E641" i="5"/>
  <c r="B689" i="5"/>
  <c r="F689" i="5"/>
  <c r="E722" i="5"/>
  <c r="C770" i="5"/>
  <c r="C902" i="5"/>
  <c r="E929" i="5"/>
  <c r="F929" i="5"/>
  <c r="E983" i="5"/>
  <c r="C18" i="5"/>
  <c r="B55" i="5"/>
  <c r="C298" i="5"/>
  <c r="B433" i="5"/>
  <c r="C454" i="5"/>
  <c r="F523" i="5"/>
  <c r="B616" i="5"/>
  <c r="F655" i="5"/>
  <c r="C682" i="5"/>
  <c r="B730" i="5"/>
  <c r="N763" i="5"/>
  <c r="F811" i="5"/>
  <c r="F844" i="5"/>
  <c r="N844" i="5"/>
  <c r="E880" i="5"/>
  <c r="F907" i="5"/>
  <c r="C934" i="5"/>
  <c r="B961" i="5"/>
  <c r="F988" i="5"/>
  <c r="F8" i="5"/>
  <c r="C17" i="5"/>
  <c r="E473" i="5"/>
  <c r="B803" i="5"/>
  <c r="F803" i="5"/>
  <c r="E851" i="5"/>
  <c r="B875" i="5"/>
  <c r="E956" i="5"/>
  <c r="F956" i="5"/>
  <c r="B197" i="5"/>
  <c r="F197" i="5"/>
  <c r="C338" i="5"/>
  <c r="C401" i="5"/>
  <c r="C9" i="5"/>
  <c r="I454" i="5"/>
  <c r="I616" i="5"/>
  <c r="I338" i="5"/>
  <c r="N401" i="5"/>
  <c r="I641" i="5"/>
  <c r="N689" i="5"/>
  <c r="N803" i="5"/>
  <c r="I851" i="5"/>
  <c r="N875" i="5"/>
  <c r="I929" i="5"/>
  <c r="I983" i="5"/>
  <c r="B13" i="5"/>
  <c r="C503" i="5"/>
  <c r="C575" i="5"/>
  <c r="B641" i="5"/>
  <c r="B722" i="5"/>
  <c r="B902" i="5"/>
  <c r="B983" i="5"/>
  <c r="B18" i="5"/>
  <c r="N55" i="5"/>
  <c r="F298" i="5"/>
  <c r="E433" i="5"/>
  <c r="E454" i="5"/>
  <c r="B523" i="5"/>
  <c r="E616" i="5"/>
  <c r="E655" i="5"/>
  <c r="N655" i="5"/>
  <c r="N682" i="5"/>
  <c r="E730" i="5"/>
  <c r="B763" i="5"/>
  <c r="B811" i="5"/>
  <c r="N811" i="5"/>
  <c r="E844" i="5"/>
  <c r="F880" i="5"/>
  <c r="B907" i="5"/>
  <c r="E934" i="5"/>
  <c r="F961" i="5"/>
  <c r="N988" i="5"/>
  <c r="B8" i="5"/>
  <c r="B473" i="5"/>
  <c r="B851" i="5"/>
  <c r="C197" i="5"/>
  <c r="B9" i="5"/>
  <c r="B157" i="5"/>
  <c r="B298" i="5"/>
  <c r="E838" i="5"/>
  <c r="I55" i="5"/>
  <c r="C55" i="5"/>
  <c r="C95" i="5"/>
  <c r="I95" i="5"/>
  <c r="F55" i="5"/>
  <c r="E95" i="5"/>
  <c r="F535" i="5"/>
  <c r="F625" i="5"/>
  <c r="B703" i="5"/>
  <c r="C736" i="5"/>
  <c r="E784" i="5"/>
  <c r="N817" i="5"/>
  <c r="F889" i="5"/>
  <c r="I595" i="5"/>
  <c r="C157" i="5"/>
  <c r="C433" i="5"/>
  <c r="F433" i="5"/>
  <c r="B454" i="5"/>
  <c r="C523" i="5"/>
  <c r="N523" i="5"/>
  <c r="E595" i="5"/>
  <c r="C616" i="5"/>
  <c r="N625" i="5"/>
  <c r="E682" i="5"/>
  <c r="C703" i="5"/>
  <c r="C730" i="5"/>
  <c r="N730" i="5"/>
  <c r="E763" i="5"/>
  <c r="N784" i="5"/>
  <c r="E811" i="5"/>
  <c r="E817" i="5"/>
  <c r="C862" i="5"/>
  <c r="C880" i="5"/>
  <c r="N889" i="5"/>
  <c r="C907" i="5"/>
  <c r="B934" i="5"/>
  <c r="C961" i="5"/>
  <c r="B988" i="5"/>
  <c r="E217" i="5"/>
  <c r="N319" i="5"/>
  <c r="I217" i="5"/>
  <c r="E76" i="5"/>
  <c r="F217" i="5"/>
  <c r="B319" i="5"/>
  <c r="E463" i="5"/>
  <c r="N535" i="5"/>
  <c r="I703" i="5"/>
  <c r="C76" i="5"/>
  <c r="C217" i="5"/>
  <c r="E319" i="5"/>
  <c r="B463" i="5"/>
  <c r="C535" i="5"/>
  <c r="C595" i="5"/>
  <c r="C625" i="5"/>
  <c r="F703" i="5"/>
  <c r="F736" i="5"/>
  <c r="C784" i="5"/>
  <c r="B817" i="5"/>
  <c r="B862" i="5"/>
  <c r="B889" i="5"/>
  <c r="F916" i="5"/>
  <c r="E943" i="5"/>
  <c r="E970" i="5"/>
  <c r="N997" i="5"/>
  <c r="E11" i="5"/>
  <c r="F3" i="5"/>
  <c r="C116" i="5"/>
  <c r="E257" i="5"/>
  <c r="I359" i="5"/>
  <c r="E413" i="5"/>
  <c r="F17" i="5"/>
  <c r="B17" i="5"/>
  <c r="E19" i="5"/>
  <c r="B19" i="5"/>
  <c r="D8" i="6"/>
  <c r="C9" i="6"/>
  <c r="B95" i="5"/>
  <c r="I784" i="5"/>
  <c r="B76" i="5"/>
  <c r="B217" i="5"/>
  <c r="C319" i="5"/>
  <c r="C463" i="5"/>
  <c r="B595" i="5"/>
  <c r="B736" i="5"/>
  <c r="B784" i="5"/>
  <c r="E862" i="5"/>
  <c r="E916" i="5"/>
  <c r="C970" i="5"/>
  <c r="B997" i="5"/>
  <c r="B11" i="5"/>
  <c r="B3" i="5"/>
  <c r="C257" i="5"/>
  <c r="B359" i="5"/>
  <c r="B413" i="5"/>
  <c r="N514" i="5"/>
  <c r="B238" i="5"/>
  <c r="N422" i="5"/>
  <c r="I920" i="5"/>
  <c r="F797" i="5"/>
  <c r="B15" i="5"/>
  <c r="N442" i="5"/>
  <c r="B604" i="5"/>
  <c r="B649" i="5"/>
  <c r="C709" i="5"/>
  <c r="C790" i="5"/>
  <c r="E5" i="5"/>
  <c r="E14" i="5"/>
  <c r="E563" i="5"/>
  <c r="E893" i="5"/>
  <c r="C176" i="5"/>
  <c r="E392" i="5"/>
  <c r="C749" i="5"/>
  <c r="N49" i="5"/>
  <c r="N563" i="5"/>
  <c r="I668" i="5"/>
  <c r="I749" i="5"/>
  <c r="I830" i="5"/>
  <c r="I893" i="5"/>
  <c r="I974" i="5"/>
  <c r="I176" i="5"/>
  <c r="I838" i="5"/>
  <c r="B10" i="5"/>
  <c r="C494" i="5"/>
  <c r="C635" i="5"/>
  <c r="C668" i="5"/>
  <c r="F15" i="5"/>
  <c r="I379" i="5"/>
  <c r="C49" i="5"/>
  <c r="F604" i="5"/>
  <c r="F649" i="5"/>
  <c r="E676" i="5"/>
  <c r="C925" i="5"/>
  <c r="C979" i="5"/>
  <c r="C716" i="5"/>
  <c r="C920" i="5"/>
  <c r="C35" i="5"/>
  <c r="C422" i="5"/>
  <c r="B974" i="5"/>
  <c r="C136" i="5"/>
  <c r="N544" i="5"/>
  <c r="F136" i="5"/>
  <c r="E379" i="5"/>
  <c r="B442" i="5"/>
  <c r="B514" i="5"/>
  <c r="C544" i="5"/>
  <c r="E757" i="5"/>
  <c r="C871" i="5"/>
  <c r="C952" i="5"/>
  <c r="I35" i="5"/>
  <c r="N176" i="5"/>
  <c r="I278" i="5"/>
  <c r="I422" i="5"/>
  <c r="I898" i="5"/>
  <c r="I925" i="5"/>
  <c r="I979" i="5"/>
  <c r="I635" i="5"/>
  <c r="I716" i="5"/>
  <c r="I797" i="5"/>
  <c r="I676" i="5"/>
  <c r="B4" i="5"/>
  <c r="F4" i="5"/>
  <c r="C10" i="5"/>
  <c r="E494" i="5"/>
  <c r="E635" i="5"/>
  <c r="E668" i="5"/>
  <c r="C797" i="5"/>
  <c r="E866" i="5"/>
  <c r="E947" i="5"/>
  <c r="E6" i="5"/>
  <c r="C15" i="5"/>
  <c r="I514" i="5"/>
  <c r="E49" i="5"/>
  <c r="B136" i="5"/>
  <c r="N136" i="5"/>
  <c r="E238" i="5"/>
  <c r="C379" i="5"/>
  <c r="F379" i="5"/>
  <c r="E442" i="5"/>
  <c r="E514" i="5"/>
  <c r="E544" i="5"/>
  <c r="C604" i="5"/>
  <c r="N604" i="5"/>
  <c r="C649" i="5"/>
  <c r="N649" i="5"/>
  <c r="B676" i="5"/>
  <c r="F676" i="5"/>
  <c r="E709" i="5"/>
  <c r="F709" i="5"/>
  <c r="B757" i="5"/>
  <c r="F757" i="5"/>
  <c r="E790" i="5"/>
  <c r="F790" i="5"/>
  <c r="B838" i="5"/>
  <c r="F838" i="5"/>
  <c r="E871" i="5"/>
  <c r="F871" i="5"/>
  <c r="E898" i="5"/>
  <c r="F898" i="5"/>
  <c r="E925" i="5"/>
  <c r="F925" i="5"/>
  <c r="E952" i="5"/>
  <c r="F952" i="5"/>
  <c r="F979" i="5"/>
  <c r="E979" i="5"/>
  <c r="B5" i="5"/>
  <c r="F5" i="5"/>
  <c r="C14" i="5"/>
  <c r="F14" i="5"/>
  <c r="B563" i="5"/>
  <c r="F563" i="5"/>
  <c r="E716" i="5"/>
  <c r="B893" i="5"/>
  <c r="F893" i="5"/>
  <c r="E920" i="5"/>
  <c r="E35" i="5"/>
  <c r="E176" i="5"/>
  <c r="E278" i="5"/>
  <c r="B392" i="5"/>
  <c r="F392" i="5"/>
  <c r="E422" i="5"/>
  <c r="E749" i="5"/>
  <c r="B830" i="5"/>
  <c r="F830" i="5"/>
  <c r="C974" i="5"/>
  <c r="I871" i="5"/>
  <c r="I952" i="5"/>
  <c r="I238" i="5"/>
  <c r="I392" i="5"/>
  <c r="I49" i="5"/>
  <c r="N238" i="5"/>
  <c r="N35" i="5"/>
  <c r="N278" i="5"/>
  <c r="N494" i="5"/>
  <c r="I544" i="5"/>
  <c r="N392" i="5"/>
  <c r="I563" i="5"/>
  <c r="N635" i="5"/>
  <c r="N668" i="5"/>
  <c r="N716" i="5"/>
  <c r="N749" i="5"/>
  <c r="N797" i="5"/>
  <c r="N830" i="5"/>
  <c r="N866" i="5"/>
  <c r="N893" i="5"/>
  <c r="N920" i="5"/>
  <c r="N947" i="5"/>
  <c r="N974" i="5"/>
  <c r="I442" i="5"/>
  <c r="I757" i="5"/>
  <c r="B494" i="5"/>
  <c r="B635" i="5"/>
  <c r="B668" i="5"/>
  <c r="B866" i="5"/>
  <c r="B947" i="5"/>
  <c r="B6" i="5"/>
  <c r="I604" i="5"/>
  <c r="B49" i="5"/>
  <c r="E136" i="5"/>
  <c r="C238" i="5"/>
  <c r="B379" i="5"/>
  <c r="C442" i="5"/>
  <c r="C514" i="5"/>
  <c r="B544" i="5"/>
  <c r="E649" i="5"/>
  <c r="C676" i="5"/>
  <c r="B709" i="5"/>
  <c r="C757" i="5"/>
  <c r="B790" i="5"/>
  <c r="C838" i="5"/>
  <c r="B871" i="5"/>
  <c r="B898" i="5"/>
  <c r="B925" i="5"/>
  <c r="B952" i="5"/>
  <c r="B979" i="5"/>
  <c r="B716" i="5"/>
  <c r="B920" i="5"/>
  <c r="B35" i="5"/>
  <c r="B176" i="5"/>
  <c r="B278" i="5"/>
  <c r="B422" i="5"/>
  <c r="B749" i="5"/>
  <c r="F70" i="5"/>
  <c r="E70" i="5"/>
  <c r="C70" i="5"/>
  <c r="B70" i="5"/>
  <c r="F85" i="5"/>
  <c r="E85" i="5"/>
  <c r="B85" i="5"/>
  <c r="C85" i="5"/>
  <c r="F103" i="5"/>
  <c r="E103" i="5"/>
  <c r="B103" i="5"/>
  <c r="C103" i="5"/>
  <c r="F121" i="5"/>
  <c r="E121" i="5"/>
  <c r="B121" i="5"/>
  <c r="C121" i="5"/>
  <c r="F142" i="5"/>
  <c r="E142" i="5"/>
  <c r="C142" i="5"/>
  <c r="B142" i="5"/>
  <c r="F151" i="5"/>
  <c r="E151" i="5"/>
  <c r="C151" i="5"/>
  <c r="B151" i="5"/>
  <c r="F160" i="5"/>
  <c r="E160" i="5"/>
  <c r="C160" i="5"/>
  <c r="B160" i="5"/>
  <c r="F169" i="5"/>
  <c r="E169" i="5"/>
  <c r="C169" i="5"/>
  <c r="B169" i="5"/>
  <c r="F187" i="5"/>
  <c r="E187" i="5"/>
  <c r="C187" i="5"/>
  <c r="B187" i="5"/>
  <c r="F205" i="5"/>
  <c r="E205" i="5"/>
  <c r="C205" i="5"/>
  <c r="B205" i="5"/>
  <c r="F226" i="5"/>
  <c r="E226" i="5"/>
  <c r="B226" i="5"/>
  <c r="C226" i="5"/>
  <c r="F235" i="5"/>
  <c r="E235" i="5"/>
  <c r="B235" i="5"/>
  <c r="C235" i="5"/>
  <c r="F244" i="5"/>
  <c r="E244" i="5"/>
  <c r="B244" i="5"/>
  <c r="C244" i="5"/>
  <c r="F253" i="5"/>
  <c r="E253" i="5"/>
  <c r="B253" i="5"/>
  <c r="C253" i="5"/>
  <c r="F262" i="5"/>
  <c r="E262" i="5"/>
  <c r="B262" i="5"/>
  <c r="C262" i="5"/>
  <c r="F271" i="5"/>
  <c r="E271" i="5"/>
  <c r="B271" i="5"/>
  <c r="C271" i="5"/>
  <c r="F289" i="5"/>
  <c r="E289" i="5"/>
  <c r="B289" i="5"/>
  <c r="C289" i="5"/>
  <c r="F310" i="5"/>
  <c r="E310" i="5"/>
  <c r="B310" i="5"/>
  <c r="C310" i="5"/>
  <c r="F331" i="5"/>
  <c r="E331" i="5"/>
  <c r="C331" i="5"/>
  <c r="B331" i="5"/>
  <c r="F340" i="5"/>
  <c r="E340" i="5"/>
  <c r="C340" i="5"/>
  <c r="B340" i="5"/>
  <c r="F349" i="5"/>
  <c r="E349" i="5"/>
  <c r="C349" i="5"/>
  <c r="B349" i="5"/>
  <c r="F358" i="5"/>
  <c r="E358" i="5"/>
  <c r="C358" i="5"/>
  <c r="B358" i="5"/>
  <c r="F367" i="5"/>
  <c r="E367" i="5"/>
  <c r="C367" i="5"/>
  <c r="B367" i="5"/>
  <c r="F376" i="5"/>
  <c r="E376" i="5"/>
  <c r="C376" i="5"/>
  <c r="B376" i="5"/>
  <c r="F397" i="5"/>
  <c r="E397" i="5"/>
  <c r="B397" i="5"/>
  <c r="C397" i="5"/>
  <c r="F415" i="5"/>
  <c r="E415" i="5"/>
  <c r="B415" i="5"/>
  <c r="C415" i="5"/>
  <c r="F436" i="5"/>
  <c r="E436" i="5"/>
  <c r="B436" i="5"/>
  <c r="C436" i="5"/>
  <c r="F451" i="5"/>
  <c r="E451" i="5"/>
  <c r="B451" i="5"/>
  <c r="C451" i="5"/>
  <c r="F484" i="5"/>
  <c r="E484" i="5"/>
  <c r="C484" i="5"/>
  <c r="B484" i="5"/>
  <c r="F511" i="5"/>
  <c r="E511" i="5"/>
  <c r="C511" i="5"/>
  <c r="B511" i="5"/>
  <c r="F538" i="5"/>
  <c r="E538" i="5"/>
  <c r="C538" i="5"/>
  <c r="B538" i="5"/>
  <c r="F562" i="5"/>
  <c r="E562" i="5"/>
  <c r="C562" i="5"/>
  <c r="B562" i="5"/>
  <c r="F580" i="5"/>
  <c r="E580" i="5"/>
  <c r="C580" i="5"/>
  <c r="B580" i="5"/>
  <c r="F646" i="5"/>
  <c r="C646" i="5"/>
  <c r="B646" i="5"/>
  <c r="E646" i="5"/>
  <c r="F661" i="5"/>
  <c r="E661" i="5"/>
  <c r="C661" i="5"/>
  <c r="B661" i="5"/>
  <c r="F673" i="5"/>
  <c r="C673" i="5"/>
  <c r="B673" i="5"/>
  <c r="E673" i="5"/>
  <c r="F688" i="5"/>
  <c r="E688" i="5"/>
  <c r="C688" i="5"/>
  <c r="B688" i="5"/>
  <c r="F697" i="5"/>
  <c r="E697" i="5"/>
  <c r="C697" i="5"/>
  <c r="B697" i="5"/>
  <c r="F712" i="5"/>
  <c r="E712" i="5"/>
  <c r="C712" i="5"/>
  <c r="B712" i="5"/>
  <c r="F733" i="5"/>
  <c r="E733" i="5"/>
  <c r="C733" i="5"/>
  <c r="B733" i="5"/>
  <c r="F754" i="5"/>
  <c r="C754" i="5"/>
  <c r="B754" i="5"/>
  <c r="E754" i="5"/>
  <c r="F778" i="5"/>
  <c r="E778" i="5"/>
  <c r="C778" i="5"/>
  <c r="B778" i="5"/>
  <c r="F802" i="5"/>
  <c r="E802" i="5"/>
  <c r="C802" i="5"/>
  <c r="B802" i="5"/>
  <c r="F814" i="5"/>
  <c r="E814" i="5"/>
  <c r="C814" i="5"/>
  <c r="B814" i="5"/>
  <c r="F826" i="5"/>
  <c r="E826" i="5"/>
  <c r="C826" i="5"/>
  <c r="B826" i="5"/>
  <c r="F835" i="5"/>
  <c r="C835" i="5"/>
  <c r="B835" i="5"/>
  <c r="E835" i="5"/>
  <c r="F850" i="5"/>
  <c r="E850" i="5"/>
  <c r="C850" i="5"/>
  <c r="B850" i="5"/>
  <c r="F859" i="5"/>
  <c r="E859" i="5"/>
  <c r="C859" i="5"/>
  <c r="B859" i="5"/>
  <c r="F874" i="5"/>
  <c r="E874" i="5"/>
  <c r="C874" i="5"/>
  <c r="B874" i="5"/>
  <c r="F886" i="5"/>
  <c r="E886" i="5"/>
  <c r="C886" i="5"/>
  <c r="B886" i="5"/>
  <c r="F913" i="5"/>
  <c r="E913" i="5"/>
  <c r="C913" i="5"/>
  <c r="B913" i="5"/>
  <c r="F928" i="5"/>
  <c r="E928" i="5"/>
  <c r="C928" i="5"/>
  <c r="B928" i="5"/>
  <c r="F940" i="5"/>
  <c r="E940" i="5"/>
  <c r="C940" i="5"/>
  <c r="B940" i="5"/>
  <c r="F955" i="5"/>
  <c r="E955" i="5"/>
  <c r="C955" i="5"/>
  <c r="B955" i="5"/>
  <c r="F967" i="5"/>
  <c r="E967" i="5"/>
  <c r="C967" i="5"/>
  <c r="B967" i="5"/>
  <c r="F982" i="5"/>
  <c r="E982" i="5"/>
  <c r="C982" i="5"/>
  <c r="B982" i="5"/>
  <c r="F556" i="5"/>
  <c r="E556" i="5"/>
  <c r="C556" i="5"/>
  <c r="B556" i="5"/>
  <c r="F23" i="5"/>
  <c r="E23" i="5"/>
  <c r="C23" i="5"/>
  <c r="B23" i="5"/>
  <c r="F44" i="5"/>
  <c r="E44" i="5"/>
  <c r="C44" i="5"/>
  <c r="B44" i="5"/>
  <c r="F62" i="5"/>
  <c r="E62" i="5"/>
  <c r="C62" i="5"/>
  <c r="B62" i="5"/>
  <c r="F71" i="5"/>
  <c r="E71" i="5"/>
  <c r="C71" i="5"/>
  <c r="B71" i="5"/>
  <c r="F80" i="5"/>
  <c r="E80" i="5"/>
  <c r="C80" i="5"/>
  <c r="B80" i="5"/>
  <c r="F89" i="5"/>
  <c r="E89" i="5"/>
  <c r="C89" i="5"/>
  <c r="B89" i="5"/>
  <c r="F101" i="5"/>
  <c r="E101" i="5"/>
  <c r="C101" i="5"/>
  <c r="B101" i="5"/>
  <c r="F110" i="5"/>
  <c r="E110" i="5"/>
  <c r="C110" i="5"/>
  <c r="B110" i="5"/>
  <c r="F218" i="5"/>
  <c r="C218" i="5"/>
  <c r="B218" i="5"/>
  <c r="E218" i="5"/>
  <c r="F236" i="5"/>
  <c r="C236" i="5"/>
  <c r="E236" i="5"/>
  <c r="B236" i="5"/>
  <c r="F254" i="5"/>
  <c r="C254" i="5"/>
  <c r="E254" i="5"/>
  <c r="B254" i="5"/>
  <c r="F314" i="5"/>
  <c r="E314" i="5"/>
  <c r="C314" i="5"/>
  <c r="B314" i="5"/>
  <c r="F389" i="5"/>
  <c r="C389" i="5"/>
  <c r="E389" i="5"/>
  <c r="B389" i="5"/>
  <c r="F440" i="5"/>
  <c r="E440" i="5"/>
  <c r="C440" i="5"/>
  <c r="B440" i="5"/>
  <c r="F28" i="5"/>
  <c r="E28" i="5"/>
  <c r="C28" i="5"/>
  <c r="B28" i="5"/>
  <c r="F37" i="5"/>
  <c r="C37" i="5"/>
  <c r="B37" i="5"/>
  <c r="E37" i="5"/>
  <c r="F58" i="5"/>
  <c r="E58" i="5"/>
  <c r="C58" i="5"/>
  <c r="B58" i="5"/>
  <c r="F67" i="5"/>
  <c r="E67" i="5"/>
  <c r="C67" i="5"/>
  <c r="B67" i="5"/>
  <c r="F82" i="5"/>
  <c r="E82" i="5"/>
  <c r="B82" i="5"/>
  <c r="C82" i="5"/>
  <c r="F91" i="5"/>
  <c r="E91" i="5"/>
  <c r="B91" i="5"/>
  <c r="C91" i="5"/>
  <c r="F100" i="5"/>
  <c r="E100" i="5"/>
  <c r="B100" i="5"/>
  <c r="C100" i="5"/>
  <c r="F109" i="5"/>
  <c r="E109" i="5"/>
  <c r="B109" i="5"/>
  <c r="C109" i="5"/>
  <c r="F127" i="5"/>
  <c r="E127" i="5"/>
  <c r="B127" i="5"/>
  <c r="C127" i="5"/>
  <c r="F139" i="5"/>
  <c r="E139" i="5"/>
  <c r="B139" i="5"/>
  <c r="C139" i="5"/>
  <c r="F166" i="5"/>
  <c r="E166" i="5"/>
  <c r="B166" i="5"/>
  <c r="C166" i="5"/>
  <c r="F175" i="5"/>
  <c r="E175" i="5"/>
  <c r="B175" i="5"/>
  <c r="C175" i="5"/>
  <c r="F184" i="5"/>
  <c r="E184" i="5"/>
  <c r="B184" i="5"/>
  <c r="C184" i="5"/>
  <c r="F202" i="5"/>
  <c r="E202" i="5"/>
  <c r="B202" i="5"/>
  <c r="C202" i="5"/>
  <c r="F211" i="5"/>
  <c r="E211" i="5"/>
  <c r="B211" i="5"/>
  <c r="C211" i="5"/>
  <c r="F232" i="5"/>
  <c r="E232" i="5"/>
  <c r="C232" i="5"/>
  <c r="B232" i="5"/>
  <c r="F241" i="5"/>
  <c r="E241" i="5"/>
  <c r="C241" i="5"/>
  <c r="B241" i="5"/>
  <c r="F259" i="5"/>
  <c r="E259" i="5"/>
  <c r="C259" i="5"/>
  <c r="B259" i="5"/>
  <c r="F268" i="5"/>
  <c r="E268" i="5"/>
  <c r="C268" i="5"/>
  <c r="B268" i="5"/>
  <c r="F286" i="5"/>
  <c r="E286" i="5"/>
  <c r="C286" i="5"/>
  <c r="B286" i="5"/>
  <c r="F295" i="5"/>
  <c r="E295" i="5"/>
  <c r="C295" i="5"/>
  <c r="B295" i="5"/>
  <c r="F307" i="5"/>
  <c r="E307" i="5"/>
  <c r="B307" i="5"/>
  <c r="C307" i="5"/>
  <c r="F328" i="5"/>
  <c r="E328" i="5"/>
  <c r="B328" i="5"/>
  <c r="C328" i="5"/>
  <c r="F337" i="5"/>
  <c r="E337" i="5"/>
  <c r="B337" i="5"/>
  <c r="C337" i="5"/>
  <c r="F355" i="5"/>
  <c r="E355" i="5"/>
  <c r="B355" i="5"/>
  <c r="C355" i="5"/>
  <c r="F364" i="5"/>
  <c r="E364" i="5"/>
  <c r="B364" i="5"/>
  <c r="C364" i="5"/>
  <c r="F385" i="5"/>
  <c r="E385" i="5"/>
  <c r="C385" i="5"/>
  <c r="B385" i="5"/>
  <c r="F394" i="5"/>
  <c r="E394" i="5"/>
  <c r="C394" i="5"/>
  <c r="B394" i="5"/>
  <c r="F412" i="5"/>
  <c r="E412" i="5"/>
  <c r="C412" i="5"/>
  <c r="B412" i="5"/>
  <c r="F421" i="5"/>
  <c r="E421" i="5"/>
  <c r="C421" i="5"/>
  <c r="B421" i="5"/>
  <c r="F460" i="5"/>
  <c r="E460" i="5"/>
  <c r="B460" i="5"/>
  <c r="C460" i="5"/>
  <c r="F481" i="5"/>
  <c r="E481" i="5"/>
  <c r="B481" i="5"/>
  <c r="C481" i="5"/>
  <c r="F490" i="5"/>
  <c r="E490" i="5"/>
  <c r="B490" i="5"/>
  <c r="C490" i="5"/>
  <c r="E508" i="5"/>
  <c r="F508" i="5"/>
  <c r="B508" i="5"/>
  <c r="C508" i="5"/>
  <c r="F529" i="5"/>
  <c r="E529" i="5"/>
  <c r="C529" i="5"/>
  <c r="B529" i="5"/>
  <c r="F559" i="5"/>
  <c r="E559" i="5"/>
  <c r="C559" i="5"/>
  <c r="B559" i="5"/>
  <c r="F574" i="5"/>
  <c r="E574" i="5"/>
  <c r="C574" i="5"/>
  <c r="B574" i="5"/>
  <c r="F577" i="5"/>
  <c r="E577" i="5"/>
  <c r="C577" i="5"/>
  <c r="B577" i="5"/>
  <c r="F586" i="5"/>
  <c r="E586" i="5"/>
  <c r="C586" i="5"/>
  <c r="B586" i="5"/>
  <c r="F622" i="5"/>
  <c r="E622" i="5"/>
  <c r="C622" i="5"/>
  <c r="B622" i="5"/>
  <c r="F643" i="5"/>
  <c r="E643" i="5"/>
  <c r="C643" i="5"/>
  <c r="B643" i="5"/>
  <c r="F658" i="5"/>
  <c r="E658" i="5"/>
  <c r="C658" i="5"/>
  <c r="B658" i="5"/>
  <c r="F685" i="5"/>
  <c r="E685" i="5"/>
  <c r="C685" i="5"/>
  <c r="B685" i="5"/>
  <c r="F694" i="5"/>
  <c r="E694" i="5"/>
  <c r="C694" i="5"/>
  <c r="B694" i="5"/>
  <c r="F718" i="5"/>
  <c r="E718" i="5"/>
  <c r="C718" i="5"/>
  <c r="B718" i="5"/>
  <c r="F727" i="5"/>
  <c r="C727" i="5"/>
  <c r="B727" i="5"/>
  <c r="E727" i="5"/>
  <c r="F742" i="5"/>
  <c r="E742" i="5"/>
  <c r="C742" i="5"/>
  <c r="B742" i="5"/>
  <c r="F766" i="5"/>
  <c r="E766" i="5"/>
  <c r="C766" i="5"/>
  <c r="B766" i="5"/>
  <c r="F775" i="5"/>
  <c r="E775" i="5"/>
  <c r="C775" i="5"/>
  <c r="B775" i="5"/>
  <c r="F799" i="5"/>
  <c r="E799" i="5"/>
  <c r="C799" i="5"/>
  <c r="B799" i="5"/>
  <c r="F808" i="5"/>
  <c r="C808" i="5"/>
  <c r="B808" i="5"/>
  <c r="E808" i="5"/>
  <c r="F832" i="5"/>
  <c r="E832" i="5"/>
  <c r="C832" i="5"/>
  <c r="B832" i="5"/>
  <c r="F847" i="5"/>
  <c r="E847" i="5"/>
  <c r="C847" i="5"/>
  <c r="B847" i="5"/>
  <c r="F883" i="5"/>
  <c r="E883" i="5"/>
  <c r="C883" i="5"/>
  <c r="B883" i="5"/>
  <c r="F895" i="5"/>
  <c r="E895" i="5"/>
  <c r="C895" i="5"/>
  <c r="B895" i="5"/>
  <c r="F922" i="5"/>
  <c r="E922" i="5"/>
  <c r="C922" i="5"/>
  <c r="B922" i="5"/>
  <c r="F937" i="5"/>
  <c r="E937" i="5"/>
  <c r="C937" i="5"/>
  <c r="B937" i="5"/>
  <c r="F964" i="5"/>
  <c r="E964" i="5"/>
  <c r="C964" i="5"/>
  <c r="B964" i="5"/>
  <c r="F976" i="5"/>
  <c r="E976" i="5"/>
  <c r="C976" i="5"/>
  <c r="B976" i="5"/>
  <c r="F29" i="5"/>
  <c r="E29" i="5"/>
  <c r="C29" i="5"/>
  <c r="B29" i="5"/>
  <c r="F41" i="5"/>
  <c r="E41" i="5"/>
  <c r="C41" i="5"/>
  <c r="B41" i="5"/>
  <c r="F59" i="5"/>
  <c r="E59" i="5"/>
  <c r="C59" i="5"/>
  <c r="B59" i="5"/>
  <c r="F68" i="5"/>
  <c r="E68" i="5"/>
  <c r="C68" i="5"/>
  <c r="B68" i="5"/>
  <c r="F86" i="5"/>
  <c r="E86" i="5"/>
  <c r="C86" i="5"/>
  <c r="B86" i="5"/>
  <c r="F98" i="5"/>
  <c r="E98" i="5"/>
  <c r="C98" i="5"/>
  <c r="B98" i="5"/>
  <c r="F119" i="5"/>
  <c r="E119" i="5"/>
  <c r="C119" i="5"/>
  <c r="B119" i="5"/>
  <c r="F128" i="5"/>
  <c r="E128" i="5"/>
  <c r="C128" i="5"/>
  <c r="B128" i="5"/>
  <c r="F146" i="5"/>
  <c r="E146" i="5"/>
  <c r="C146" i="5"/>
  <c r="B146" i="5"/>
  <c r="F155" i="5"/>
  <c r="E155" i="5"/>
  <c r="C155" i="5"/>
  <c r="B155" i="5"/>
  <c r="F173" i="5"/>
  <c r="E173" i="5"/>
  <c r="C173" i="5"/>
  <c r="B173" i="5"/>
  <c r="F185" i="5"/>
  <c r="E185" i="5"/>
  <c r="C185" i="5"/>
  <c r="B185" i="5"/>
  <c r="F206" i="5"/>
  <c r="E206" i="5"/>
  <c r="C206" i="5"/>
  <c r="B206" i="5"/>
  <c r="F215" i="5"/>
  <c r="E215" i="5"/>
  <c r="C215" i="5"/>
  <c r="B215" i="5"/>
  <c r="F233" i="5"/>
  <c r="E233" i="5"/>
  <c r="C233" i="5"/>
  <c r="B233" i="5"/>
  <c r="F242" i="5"/>
  <c r="E242" i="5"/>
  <c r="C242" i="5"/>
  <c r="B242" i="5"/>
  <c r="F263" i="5"/>
  <c r="C263" i="5"/>
  <c r="B263" i="5"/>
  <c r="E263" i="5"/>
  <c r="F272" i="5"/>
  <c r="C272" i="5"/>
  <c r="B272" i="5"/>
  <c r="E272" i="5"/>
  <c r="F293" i="5"/>
  <c r="E293" i="5"/>
  <c r="C293" i="5"/>
  <c r="B293" i="5"/>
  <c r="F302" i="5"/>
  <c r="E302" i="5"/>
  <c r="C302" i="5"/>
  <c r="B302" i="5"/>
  <c r="F320" i="5"/>
  <c r="E320" i="5"/>
  <c r="C320" i="5"/>
  <c r="B320" i="5"/>
  <c r="F329" i="5"/>
  <c r="E329" i="5"/>
  <c r="C329" i="5"/>
  <c r="B329" i="5"/>
  <c r="F347" i="5"/>
  <c r="E347" i="5"/>
  <c r="C347" i="5"/>
  <c r="B347" i="5"/>
  <c r="F356" i="5"/>
  <c r="E356" i="5"/>
  <c r="C356" i="5"/>
  <c r="B356" i="5"/>
  <c r="F377" i="5"/>
  <c r="E377" i="5"/>
  <c r="C377" i="5"/>
  <c r="B377" i="5"/>
  <c r="F386" i="5"/>
  <c r="E386" i="5"/>
  <c r="C386" i="5"/>
  <c r="B386" i="5"/>
  <c r="F404" i="5"/>
  <c r="E404" i="5"/>
  <c r="C404" i="5"/>
  <c r="B404" i="5"/>
  <c r="F416" i="5"/>
  <c r="C416" i="5"/>
  <c r="E416" i="5"/>
  <c r="B416" i="5"/>
  <c r="F437" i="5"/>
  <c r="E437" i="5"/>
  <c r="C437" i="5"/>
  <c r="B437" i="5"/>
  <c r="F560" i="5"/>
  <c r="E560" i="5"/>
  <c r="C560" i="5"/>
  <c r="B560" i="5"/>
  <c r="F569" i="5"/>
  <c r="C569" i="5"/>
  <c r="E569" i="5"/>
  <c r="B569" i="5"/>
  <c r="F593" i="5"/>
  <c r="E593" i="5"/>
  <c r="C593" i="5"/>
  <c r="B593" i="5"/>
  <c r="F602" i="5"/>
  <c r="E602" i="5"/>
  <c r="C602" i="5"/>
  <c r="B602" i="5"/>
  <c r="F620" i="5"/>
  <c r="E620" i="5"/>
  <c r="C620" i="5"/>
  <c r="B620" i="5"/>
  <c r="F647" i="5"/>
  <c r="E647" i="5"/>
  <c r="C647" i="5"/>
  <c r="B647" i="5"/>
  <c r="F656" i="5"/>
  <c r="E656" i="5"/>
  <c r="C656" i="5"/>
  <c r="B656" i="5"/>
  <c r="F665" i="5"/>
  <c r="E665" i="5"/>
  <c r="C665" i="5"/>
  <c r="B665" i="5"/>
  <c r="F710" i="5"/>
  <c r="E710" i="5"/>
  <c r="C710" i="5"/>
  <c r="B710" i="5"/>
  <c r="F25" i="5"/>
  <c r="E25" i="5"/>
  <c r="C25" i="5"/>
  <c r="B25" i="5"/>
  <c r="F34" i="5"/>
  <c r="E34" i="5"/>
  <c r="C34" i="5"/>
  <c r="B34" i="5"/>
  <c r="F43" i="5"/>
  <c r="E43" i="5"/>
  <c r="C43" i="5"/>
  <c r="B43" i="5"/>
  <c r="F52" i="5"/>
  <c r="E52" i="5"/>
  <c r="C52" i="5"/>
  <c r="B52" i="5"/>
  <c r="F64" i="5"/>
  <c r="C64" i="5"/>
  <c r="B64" i="5"/>
  <c r="E64" i="5"/>
  <c r="F73" i="5"/>
  <c r="C73" i="5"/>
  <c r="E73" i="5"/>
  <c r="B73" i="5"/>
  <c r="F79" i="5"/>
  <c r="E79" i="5"/>
  <c r="C79" i="5"/>
  <c r="B79" i="5"/>
  <c r="F88" i="5"/>
  <c r="E88" i="5"/>
  <c r="C88" i="5"/>
  <c r="B88" i="5"/>
  <c r="F97" i="5"/>
  <c r="E97" i="5"/>
  <c r="C97" i="5"/>
  <c r="B97" i="5"/>
  <c r="F106" i="5"/>
  <c r="E106" i="5"/>
  <c r="C106" i="5"/>
  <c r="B106" i="5"/>
  <c r="F115" i="5"/>
  <c r="E115" i="5"/>
  <c r="C115" i="5"/>
  <c r="B115" i="5"/>
  <c r="F124" i="5"/>
  <c r="E124" i="5"/>
  <c r="C124" i="5"/>
  <c r="B124" i="5"/>
  <c r="F133" i="5"/>
  <c r="E133" i="5"/>
  <c r="C133" i="5"/>
  <c r="B133" i="5"/>
  <c r="F145" i="5"/>
  <c r="B145" i="5"/>
  <c r="E145" i="5"/>
  <c r="C145" i="5"/>
  <c r="F154" i="5"/>
  <c r="E154" i="5"/>
  <c r="B154" i="5"/>
  <c r="C154" i="5"/>
  <c r="F163" i="5"/>
  <c r="E163" i="5"/>
  <c r="B163" i="5"/>
  <c r="C163" i="5"/>
  <c r="F172" i="5"/>
  <c r="E172" i="5"/>
  <c r="B172" i="5"/>
  <c r="C172" i="5"/>
  <c r="F181" i="5"/>
  <c r="E181" i="5"/>
  <c r="B181" i="5"/>
  <c r="C181" i="5"/>
  <c r="F190" i="5"/>
  <c r="E190" i="5"/>
  <c r="B190" i="5"/>
  <c r="C190" i="5"/>
  <c r="F199" i="5"/>
  <c r="E199" i="5"/>
  <c r="B199" i="5"/>
  <c r="C199" i="5"/>
  <c r="F208" i="5"/>
  <c r="E208" i="5"/>
  <c r="B208" i="5"/>
  <c r="C208" i="5"/>
  <c r="F31" i="5"/>
  <c r="E31" i="5"/>
  <c r="C31" i="5"/>
  <c r="B31" i="5"/>
  <c r="F94" i="5"/>
  <c r="E94" i="5"/>
  <c r="B94" i="5"/>
  <c r="C94" i="5"/>
  <c r="F112" i="5"/>
  <c r="E112" i="5"/>
  <c r="B112" i="5"/>
  <c r="C112" i="5"/>
  <c r="F178" i="5"/>
  <c r="E178" i="5"/>
  <c r="C178" i="5"/>
  <c r="B178" i="5"/>
  <c r="E280" i="5"/>
  <c r="B280" i="5"/>
  <c r="F280" i="5"/>
  <c r="C280" i="5"/>
  <c r="F520" i="5"/>
  <c r="E520" i="5"/>
  <c r="C520" i="5"/>
  <c r="B520" i="5"/>
  <c r="F547" i="5"/>
  <c r="E547" i="5"/>
  <c r="C547" i="5"/>
  <c r="B547" i="5"/>
  <c r="F610" i="5"/>
  <c r="E610" i="5"/>
  <c r="C610" i="5"/>
  <c r="B610" i="5"/>
  <c r="F793" i="5"/>
  <c r="E793" i="5"/>
  <c r="C793" i="5"/>
  <c r="B793" i="5"/>
  <c r="F901" i="5"/>
  <c r="E901" i="5"/>
  <c r="C901" i="5"/>
  <c r="B901" i="5"/>
  <c r="F53" i="5"/>
  <c r="E53" i="5"/>
  <c r="C53" i="5"/>
  <c r="B53" i="5"/>
  <c r="F131" i="5"/>
  <c r="E131" i="5"/>
  <c r="C131" i="5"/>
  <c r="B131" i="5"/>
  <c r="F149" i="5"/>
  <c r="E149" i="5"/>
  <c r="C149" i="5"/>
  <c r="B149" i="5"/>
  <c r="F167" i="5"/>
  <c r="E167" i="5"/>
  <c r="C167" i="5"/>
  <c r="B167" i="5"/>
  <c r="F188" i="5"/>
  <c r="E188" i="5"/>
  <c r="C188" i="5"/>
  <c r="B188" i="5"/>
  <c r="F209" i="5"/>
  <c r="C209" i="5"/>
  <c r="E209" i="5"/>
  <c r="B209" i="5"/>
  <c r="F227" i="5"/>
  <c r="C227" i="5"/>
  <c r="E227" i="5"/>
  <c r="B227" i="5"/>
  <c r="F275" i="5"/>
  <c r="E275" i="5"/>
  <c r="C275" i="5"/>
  <c r="B275" i="5"/>
  <c r="F296" i="5"/>
  <c r="E296" i="5"/>
  <c r="C296" i="5"/>
  <c r="B296" i="5"/>
  <c r="F323" i="5"/>
  <c r="E323" i="5"/>
  <c r="C323" i="5"/>
  <c r="B323" i="5"/>
  <c r="F341" i="5"/>
  <c r="E341" i="5"/>
  <c r="C341" i="5"/>
  <c r="B341" i="5"/>
  <c r="F362" i="5"/>
  <c r="C362" i="5"/>
  <c r="E362" i="5"/>
  <c r="B362" i="5"/>
  <c r="F398" i="5"/>
  <c r="C398" i="5"/>
  <c r="E398" i="5"/>
  <c r="B398" i="5"/>
  <c r="F419" i="5"/>
  <c r="E419" i="5"/>
  <c r="C419" i="5"/>
  <c r="B419" i="5"/>
  <c r="F431" i="5"/>
  <c r="E431" i="5"/>
  <c r="C431" i="5"/>
  <c r="B431" i="5"/>
  <c r="F449" i="5"/>
  <c r="E449" i="5"/>
  <c r="C449" i="5"/>
  <c r="B449" i="5"/>
  <c r="F458" i="5"/>
  <c r="E458" i="5"/>
  <c r="C458" i="5"/>
  <c r="B458" i="5"/>
  <c r="F467" i="5"/>
  <c r="E467" i="5"/>
  <c r="C467" i="5"/>
  <c r="B467" i="5"/>
  <c r="F476" i="5"/>
  <c r="E476" i="5"/>
  <c r="C476" i="5"/>
  <c r="B476" i="5"/>
  <c r="F485" i="5"/>
  <c r="E485" i="5"/>
  <c r="C485" i="5"/>
  <c r="B485" i="5"/>
  <c r="F497" i="5"/>
  <c r="C497" i="5"/>
  <c r="E497" i="5"/>
  <c r="B497" i="5"/>
  <c r="F509" i="5"/>
  <c r="E509" i="5"/>
  <c r="C509" i="5"/>
  <c r="B509" i="5"/>
  <c r="F518" i="5"/>
  <c r="E518" i="5"/>
  <c r="C518" i="5"/>
  <c r="B518" i="5"/>
  <c r="F527" i="5"/>
  <c r="E527" i="5"/>
  <c r="C527" i="5"/>
  <c r="B527" i="5"/>
  <c r="F536" i="5"/>
  <c r="E536" i="5"/>
  <c r="C536" i="5"/>
  <c r="B536" i="5"/>
  <c r="F545" i="5"/>
  <c r="E545" i="5"/>
  <c r="C545" i="5"/>
  <c r="B545" i="5"/>
  <c r="F572" i="5"/>
  <c r="E572" i="5"/>
  <c r="C572" i="5"/>
  <c r="B572" i="5"/>
  <c r="F587" i="5"/>
  <c r="E587" i="5"/>
  <c r="C587" i="5"/>
  <c r="B587" i="5"/>
  <c r="F596" i="5"/>
  <c r="E596" i="5"/>
  <c r="C596" i="5"/>
  <c r="B596" i="5"/>
  <c r="F605" i="5"/>
  <c r="C605" i="5"/>
  <c r="B605" i="5"/>
  <c r="E605" i="5"/>
  <c r="F614" i="5"/>
  <c r="E614" i="5"/>
  <c r="C614" i="5"/>
  <c r="B614" i="5"/>
  <c r="F623" i="5"/>
  <c r="E623" i="5"/>
  <c r="C623" i="5"/>
  <c r="B623" i="5"/>
  <c r="F632" i="5"/>
  <c r="C632" i="5"/>
  <c r="B632" i="5"/>
  <c r="E632" i="5"/>
  <c r="F650" i="5"/>
  <c r="E650" i="5"/>
  <c r="C650" i="5"/>
  <c r="B650" i="5"/>
  <c r="F659" i="5"/>
  <c r="C659" i="5"/>
  <c r="E659" i="5"/>
  <c r="B659" i="5"/>
  <c r="F677" i="5"/>
  <c r="E677" i="5"/>
  <c r="C677" i="5"/>
  <c r="B677" i="5"/>
  <c r="F686" i="5"/>
  <c r="C686" i="5"/>
  <c r="B686" i="5"/>
  <c r="E686" i="5"/>
  <c r="F704" i="5"/>
  <c r="E704" i="5"/>
  <c r="C704" i="5"/>
  <c r="B704" i="5"/>
  <c r="F713" i="5"/>
  <c r="C713" i="5"/>
  <c r="B713" i="5"/>
  <c r="E713" i="5"/>
  <c r="F731" i="5"/>
  <c r="E731" i="5"/>
  <c r="C731" i="5"/>
  <c r="B731" i="5"/>
  <c r="F740" i="5"/>
  <c r="C740" i="5"/>
  <c r="E740" i="5"/>
  <c r="B740" i="5"/>
  <c r="F758" i="5"/>
  <c r="E758" i="5"/>
  <c r="C758" i="5"/>
  <c r="B758" i="5"/>
  <c r="F767" i="5"/>
  <c r="C767" i="5"/>
  <c r="B767" i="5"/>
  <c r="E767" i="5"/>
  <c r="F785" i="5"/>
  <c r="E785" i="5"/>
  <c r="C785" i="5"/>
  <c r="B785" i="5"/>
  <c r="F794" i="5"/>
  <c r="C794" i="5"/>
  <c r="B794" i="5"/>
  <c r="E794" i="5"/>
  <c r="F812" i="5"/>
  <c r="E812" i="5"/>
  <c r="C812" i="5"/>
  <c r="B812" i="5"/>
  <c r="F821" i="5"/>
  <c r="C821" i="5"/>
  <c r="E821" i="5"/>
  <c r="B821" i="5"/>
  <c r="F839" i="5"/>
  <c r="E839" i="5"/>
  <c r="C839" i="5"/>
  <c r="B839" i="5"/>
  <c r="F848" i="5"/>
  <c r="C848" i="5"/>
  <c r="B848" i="5"/>
  <c r="E848" i="5"/>
  <c r="F21" i="5"/>
  <c r="E21" i="5"/>
  <c r="C21" i="5"/>
  <c r="B21" i="5"/>
  <c r="F30" i="5"/>
  <c r="E30" i="5"/>
  <c r="C30" i="5"/>
  <c r="B30" i="5"/>
  <c r="F39" i="5"/>
  <c r="E39" i="5"/>
  <c r="C39" i="5"/>
  <c r="B39" i="5"/>
  <c r="F48" i="5"/>
  <c r="E48" i="5"/>
  <c r="C48" i="5"/>
  <c r="B48" i="5"/>
  <c r="F57" i="5"/>
  <c r="E57" i="5"/>
  <c r="C57" i="5"/>
  <c r="B57" i="5"/>
  <c r="F66" i="5"/>
  <c r="E66" i="5"/>
  <c r="C66" i="5"/>
  <c r="B66" i="5"/>
  <c r="F75" i="5"/>
  <c r="E75" i="5"/>
  <c r="C75" i="5"/>
  <c r="B75" i="5"/>
  <c r="F84" i="5"/>
  <c r="E84" i="5"/>
  <c r="C84" i="5"/>
  <c r="B84" i="5"/>
  <c r="F93" i="5"/>
  <c r="E93" i="5"/>
  <c r="C93" i="5"/>
  <c r="B93" i="5"/>
  <c r="F102" i="5"/>
  <c r="E102" i="5"/>
  <c r="C102" i="5"/>
  <c r="B102" i="5"/>
  <c r="F111" i="5"/>
  <c r="E111" i="5"/>
  <c r="C111" i="5"/>
  <c r="B111" i="5"/>
  <c r="F120" i="5"/>
  <c r="E120" i="5"/>
  <c r="C120" i="5"/>
  <c r="B120" i="5"/>
  <c r="F129" i="5"/>
  <c r="E129" i="5"/>
  <c r="C129" i="5"/>
  <c r="B129" i="5"/>
  <c r="F138" i="5"/>
  <c r="E138" i="5"/>
  <c r="C138" i="5"/>
  <c r="B138" i="5"/>
  <c r="F147" i="5"/>
  <c r="E147" i="5"/>
  <c r="C147" i="5"/>
  <c r="B147" i="5"/>
  <c r="F156" i="5"/>
  <c r="E156" i="5"/>
  <c r="C156" i="5"/>
  <c r="B156" i="5"/>
  <c r="F165" i="5"/>
  <c r="E165" i="5"/>
  <c r="C165" i="5"/>
  <c r="B165" i="5"/>
  <c r="F174" i="5"/>
  <c r="E174" i="5"/>
  <c r="C174" i="5"/>
  <c r="B174" i="5"/>
  <c r="F183" i="5"/>
  <c r="E183" i="5"/>
  <c r="C183" i="5"/>
  <c r="B183" i="5"/>
  <c r="F192" i="5"/>
  <c r="E192" i="5"/>
  <c r="C192" i="5"/>
  <c r="B192" i="5"/>
  <c r="F201" i="5"/>
  <c r="E201" i="5"/>
  <c r="C201" i="5"/>
  <c r="B201" i="5"/>
  <c r="F210" i="5"/>
  <c r="E210" i="5"/>
  <c r="C210" i="5"/>
  <c r="B210" i="5"/>
  <c r="F219" i="5"/>
  <c r="E219" i="5"/>
  <c r="C219" i="5"/>
  <c r="B219" i="5"/>
  <c r="F22" i="5"/>
  <c r="E22" i="5"/>
  <c r="C22" i="5"/>
  <c r="B22" i="5"/>
  <c r="F40" i="5"/>
  <c r="E40" i="5"/>
  <c r="C40" i="5"/>
  <c r="B40" i="5"/>
  <c r="F61" i="5"/>
  <c r="E61" i="5"/>
  <c r="C61" i="5"/>
  <c r="B61" i="5"/>
  <c r="F439" i="5"/>
  <c r="E439" i="5"/>
  <c r="C439" i="5"/>
  <c r="B439" i="5"/>
  <c r="F130" i="5"/>
  <c r="E130" i="5"/>
  <c r="B130" i="5"/>
  <c r="C130" i="5"/>
  <c r="F196" i="5"/>
  <c r="E196" i="5"/>
  <c r="C196" i="5"/>
  <c r="B196" i="5"/>
  <c r="F214" i="5"/>
  <c r="E214" i="5"/>
  <c r="C214" i="5"/>
  <c r="B214" i="5"/>
  <c r="F301" i="5"/>
  <c r="E301" i="5"/>
  <c r="B301" i="5"/>
  <c r="C301" i="5"/>
  <c r="F322" i="5"/>
  <c r="E322" i="5"/>
  <c r="C322" i="5"/>
  <c r="B322" i="5"/>
  <c r="F388" i="5"/>
  <c r="E388" i="5"/>
  <c r="B388" i="5"/>
  <c r="C388" i="5"/>
  <c r="F406" i="5"/>
  <c r="E406" i="5"/>
  <c r="B406" i="5"/>
  <c r="C406" i="5"/>
  <c r="F424" i="5"/>
  <c r="E424" i="5"/>
  <c r="B424" i="5"/>
  <c r="C424" i="5"/>
  <c r="F448" i="5"/>
  <c r="E448" i="5"/>
  <c r="C448" i="5"/>
  <c r="B448" i="5"/>
  <c r="F526" i="5"/>
  <c r="E526" i="5"/>
  <c r="C526" i="5"/>
  <c r="B526" i="5"/>
  <c r="F550" i="5"/>
  <c r="E550" i="5"/>
  <c r="C550" i="5"/>
  <c r="B550" i="5"/>
  <c r="F571" i="5"/>
  <c r="E571" i="5"/>
  <c r="C571" i="5"/>
  <c r="B571" i="5"/>
  <c r="E589" i="5"/>
  <c r="F589" i="5"/>
  <c r="C589" i="5"/>
  <c r="B589" i="5"/>
  <c r="F613" i="5"/>
  <c r="E613" i="5"/>
  <c r="C613" i="5"/>
  <c r="B613" i="5"/>
  <c r="F721" i="5"/>
  <c r="E721" i="5"/>
  <c r="C721" i="5"/>
  <c r="B721" i="5"/>
  <c r="F745" i="5"/>
  <c r="E745" i="5"/>
  <c r="C745" i="5"/>
  <c r="B745" i="5"/>
  <c r="F769" i="5"/>
  <c r="E769" i="5"/>
  <c r="C769" i="5"/>
  <c r="B769" i="5"/>
  <c r="F994" i="5"/>
  <c r="E994" i="5"/>
  <c r="C994" i="5"/>
  <c r="B994" i="5"/>
  <c r="F32" i="5"/>
  <c r="E32" i="5"/>
  <c r="C32" i="5"/>
  <c r="B32" i="5"/>
  <c r="F122" i="5"/>
  <c r="E122" i="5"/>
  <c r="C122" i="5"/>
  <c r="B122" i="5"/>
  <c r="F140" i="5"/>
  <c r="E140" i="5"/>
  <c r="C140" i="5"/>
  <c r="B140" i="5"/>
  <c r="F158" i="5"/>
  <c r="E158" i="5"/>
  <c r="C158" i="5"/>
  <c r="B158" i="5"/>
  <c r="F179" i="5"/>
  <c r="E179" i="5"/>
  <c r="C179" i="5"/>
  <c r="B179" i="5"/>
  <c r="F200" i="5"/>
  <c r="C200" i="5"/>
  <c r="E200" i="5"/>
  <c r="B200" i="5"/>
  <c r="F245" i="5"/>
  <c r="C245" i="5"/>
  <c r="B245" i="5"/>
  <c r="E245" i="5"/>
  <c r="F266" i="5"/>
  <c r="E266" i="5"/>
  <c r="C266" i="5"/>
  <c r="B266" i="5"/>
  <c r="F287" i="5"/>
  <c r="E287" i="5"/>
  <c r="C287" i="5"/>
  <c r="B287" i="5"/>
  <c r="F305" i="5"/>
  <c r="E305" i="5"/>
  <c r="C305" i="5"/>
  <c r="B305" i="5"/>
  <c r="F332" i="5"/>
  <c r="E332" i="5"/>
  <c r="C332" i="5"/>
  <c r="B332" i="5"/>
  <c r="F350" i="5"/>
  <c r="E350" i="5"/>
  <c r="C350" i="5"/>
  <c r="B350" i="5"/>
  <c r="F371" i="5"/>
  <c r="C371" i="5"/>
  <c r="E371" i="5"/>
  <c r="B371" i="5"/>
  <c r="F46" i="5"/>
  <c r="C46" i="5"/>
  <c r="E46" i="5"/>
  <c r="B46" i="5"/>
  <c r="F118" i="5"/>
  <c r="B118" i="5"/>
  <c r="E118" i="5"/>
  <c r="C118" i="5"/>
  <c r="F148" i="5"/>
  <c r="E148" i="5"/>
  <c r="B148" i="5"/>
  <c r="C148" i="5"/>
  <c r="F193" i="5"/>
  <c r="E193" i="5"/>
  <c r="B193" i="5"/>
  <c r="C193" i="5"/>
  <c r="F223" i="5"/>
  <c r="E223" i="5"/>
  <c r="C223" i="5"/>
  <c r="B223" i="5"/>
  <c r="F250" i="5"/>
  <c r="E250" i="5"/>
  <c r="C250" i="5"/>
  <c r="B250" i="5"/>
  <c r="F277" i="5"/>
  <c r="E277" i="5"/>
  <c r="C277" i="5"/>
  <c r="B277" i="5"/>
  <c r="F316" i="5"/>
  <c r="E316" i="5"/>
  <c r="B316" i="5"/>
  <c r="C316" i="5"/>
  <c r="F346" i="5"/>
  <c r="E346" i="5"/>
  <c r="B346" i="5"/>
  <c r="C346" i="5"/>
  <c r="F373" i="5"/>
  <c r="E373" i="5"/>
  <c r="B373" i="5"/>
  <c r="C373" i="5"/>
  <c r="F403" i="5"/>
  <c r="E403" i="5"/>
  <c r="C403" i="5"/>
  <c r="B403" i="5"/>
  <c r="F430" i="5"/>
  <c r="E430" i="5"/>
  <c r="C430" i="5"/>
  <c r="B430" i="5"/>
  <c r="F472" i="5"/>
  <c r="E472" i="5"/>
  <c r="B472" i="5"/>
  <c r="C472" i="5"/>
  <c r="F499" i="5"/>
  <c r="E499" i="5"/>
  <c r="B499" i="5"/>
  <c r="C499" i="5"/>
  <c r="F532" i="5"/>
  <c r="E532" i="5"/>
  <c r="C532" i="5"/>
  <c r="B532" i="5"/>
  <c r="F568" i="5"/>
  <c r="E568" i="5"/>
  <c r="C568" i="5"/>
  <c r="B568" i="5"/>
  <c r="F583" i="5"/>
  <c r="E583" i="5"/>
  <c r="C583" i="5"/>
  <c r="B583" i="5"/>
  <c r="F598" i="5"/>
  <c r="E598" i="5"/>
  <c r="C598" i="5"/>
  <c r="B598" i="5"/>
  <c r="F634" i="5"/>
  <c r="E634" i="5"/>
  <c r="C634" i="5"/>
  <c r="B634" i="5"/>
  <c r="F670" i="5"/>
  <c r="E670" i="5"/>
  <c r="C670" i="5"/>
  <c r="B670" i="5"/>
  <c r="F706" i="5"/>
  <c r="E706" i="5"/>
  <c r="C706" i="5"/>
  <c r="B706" i="5"/>
  <c r="F751" i="5"/>
  <c r="E751" i="5"/>
  <c r="C751" i="5"/>
  <c r="B751" i="5"/>
  <c r="F787" i="5"/>
  <c r="E787" i="5"/>
  <c r="C787" i="5"/>
  <c r="B787" i="5"/>
  <c r="F823" i="5"/>
  <c r="E823" i="5"/>
  <c r="C823" i="5"/>
  <c r="B823" i="5"/>
  <c r="F856" i="5"/>
  <c r="E856" i="5"/>
  <c r="C856" i="5"/>
  <c r="B856" i="5"/>
  <c r="F868" i="5"/>
  <c r="E868" i="5"/>
  <c r="C868" i="5"/>
  <c r="B868" i="5"/>
  <c r="F910" i="5"/>
  <c r="E910" i="5"/>
  <c r="C910" i="5"/>
  <c r="B910" i="5"/>
  <c r="F949" i="5"/>
  <c r="E949" i="5"/>
  <c r="C949" i="5"/>
  <c r="B949" i="5"/>
  <c r="F991" i="5"/>
  <c r="E991" i="5"/>
  <c r="C991" i="5"/>
  <c r="B991" i="5"/>
  <c r="F50" i="5"/>
  <c r="E50" i="5"/>
  <c r="C50" i="5"/>
  <c r="B50" i="5"/>
  <c r="F77" i="5"/>
  <c r="E77" i="5"/>
  <c r="C77" i="5"/>
  <c r="B77" i="5"/>
  <c r="F107" i="5"/>
  <c r="E107" i="5"/>
  <c r="C107" i="5"/>
  <c r="B107" i="5"/>
  <c r="F137" i="5"/>
  <c r="E137" i="5"/>
  <c r="C137" i="5"/>
  <c r="B137" i="5"/>
  <c r="F164" i="5"/>
  <c r="E164" i="5"/>
  <c r="C164" i="5"/>
  <c r="B164" i="5"/>
  <c r="F194" i="5"/>
  <c r="E194" i="5"/>
  <c r="C194" i="5"/>
  <c r="B194" i="5"/>
  <c r="F224" i="5"/>
  <c r="E224" i="5"/>
  <c r="C224" i="5"/>
  <c r="B224" i="5"/>
  <c r="F251" i="5"/>
  <c r="E251" i="5"/>
  <c r="C251" i="5"/>
  <c r="B251" i="5"/>
  <c r="F284" i="5"/>
  <c r="E284" i="5"/>
  <c r="C284" i="5"/>
  <c r="B284" i="5"/>
  <c r="F311" i="5"/>
  <c r="E311" i="5"/>
  <c r="C311" i="5"/>
  <c r="B311" i="5"/>
  <c r="F368" i="5"/>
  <c r="E368" i="5"/>
  <c r="C368" i="5"/>
  <c r="B368" i="5"/>
  <c r="F395" i="5"/>
  <c r="E395" i="5"/>
  <c r="C395" i="5"/>
  <c r="B395" i="5"/>
  <c r="F428" i="5"/>
  <c r="E428" i="5"/>
  <c r="C428" i="5"/>
  <c r="B428" i="5"/>
  <c r="F446" i="5"/>
  <c r="E446" i="5"/>
  <c r="C446" i="5"/>
  <c r="B446" i="5"/>
  <c r="F455" i="5"/>
  <c r="E455" i="5"/>
  <c r="C455" i="5"/>
  <c r="B455" i="5"/>
  <c r="F464" i="5"/>
  <c r="E464" i="5"/>
  <c r="C464" i="5"/>
  <c r="B464" i="5"/>
  <c r="F491" i="5"/>
  <c r="E491" i="5"/>
  <c r="C491" i="5"/>
  <c r="B491" i="5"/>
  <c r="F506" i="5"/>
  <c r="C506" i="5"/>
  <c r="E506" i="5"/>
  <c r="B506" i="5"/>
  <c r="F515" i="5"/>
  <c r="C515" i="5"/>
  <c r="B515" i="5"/>
  <c r="E515" i="5"/>
  <c r="F524" i="5"/>
  <c r="E524" i="5"/>
  <c r="C524" i="5"/>
  <c r="B524" i="5"/>
  <c r="F533" i="5"/>
  <c r="E533" i="5"/>
  <c r="C533" i="5"/>
  <c r="B533" i="5"/>
  <c r="F542" i="5"/>
  <c r="C542" i="5"/>
  <c r="B542" i="5"/>
  <c r="E542" i="5"/>
  <c r="F551" i="5"/>
  <c r="E551" i="5"/>
  <c r="C551" i="5"/>
  <c r="B551" i="5"/>
  <c r="F581" i="5"/>
  <c r="E581" i="5"/>
  <c r="C581" i="5"/>
  <c r="B581" i="5"/>
  <c r="F611" i="5"/>
  <c r="E611" i="5"/>
  <c r="C611" i="5"/>
  <c r="B611" i="5"/>
  <c r="F629" i="5"/>
  <c r="E629" i="5"/>
  <c r="C629" i="5"/>
  <c r="B629" i="5"/>
  <c r="F638" i="5"/>
  <c r="E638" i="5"/>
  <c r="C638" i="5"/>
  <c r="B638" i="5"/>
  <c r="F674" i="5"/>
  <c r="E674" i="5"/>
  <c r="C674" i="5"/>
  <c r="B674" i="5"/>
  <c r="F683" i="5"/>
  <c r="E683" i="5"/>
  <c r="C683" i="5"/>
  <c r="B683" i="5"/>
  <c r="F692" i="5"/>
  <c r="E692" i="5"/>
  <c r="C692" i="5"/>
  <c r="B692" i="5"/>
  <c r="F701" i="5"/>
  <c r="E701" i="5"/>
  <c r="C701" i="5"/>
  <c r="B701" i="5"/>
  <c r="F719" i="5"/>
  <c r="E719" i="5"/>
  <c r="C719" i="5"/>
  <c r="B719" i="5"/>
  <c r="F728" i="5"/>
  <c r="E728" i="5"/>
  <c r="C728" i="5"/>
  <c r="B728" i="5"/>
  <c r="F737" i="5"/>
  <c r="E737" i="5"/>
  <c r="C737" i="5"/>
  <c r="B737" i="5"/>
  <c r="F746" i="5"/>
  <c r="E746" i="5"/>
  <c r="C746" i="5"/>
  <c r="B746" i="5"/>
  <c r="F755" i="5"/>
  <c r="E755" i="5"/>
  <c r="C755" i="5"/>
  <c r="B755" i="5"/>
  <c r="F764" i="5"/>
  <c r="E764" i="5"/>
  <c r="C764" i="5"/>
  <c r="B764" i="5"/>
  <c r="F773" i="5"/>
  <c r="E773" i="5"/>
  <c r="C773" i="5"/>
  <c r="B773" i="5"/>
  <c r="F782" i="5"/>
  <c r="E782" i="5"/>
  <c r="C782" i="5"/>
  <c r="B782" i="5"/>
  <c r="F791" i="5"/>
  <c r="E791" i="5"/>
  <c r="C791" i="5"/>
  <c r="B791" i="5"/>
  <c r="F800" i="5"/>
  <c r="E800" i="5"/>
  <c r="C800" i="5"/>
  <c r="B800" i="5"/>
  <c r="F809" i="5"/>
  <c r="E809" i="5"/>
  <c r="C809" i="5"/>
  <c r="B809" i="5"/>
  <c r="F818" i="5"/>
  <c r="E818" i="5"/>
  <c r="C818" i="5"/>
  <c r="B818" i="5"/>
  <c r="F827" i="5"/>
  <c r="E827" i="5"/>
  <c r="C827" i="5"/>
  <c r="B827" i="5"/>
  <c r="F836" i="5"/>
  <c r="E836" i="5"/>
  <c r="C836" i="5"/>
  <c r="B836" i="5"/>
  <c r="F845" i="5"/>
  <c r="E845" i="5"/>
  <c r="C845" i="5"/>
  <c r="B845" i="5"/>
  <c r="F854" i="5"/>
  <c r="E854" i="5"/>
  <c r="C854" i="5"/>
  <c r="B854" i="5"/>
  <c r="F863" i="5"/>
  <c r="E863" i="5"/>
  <c r="C863" i="5"/>
  <c r="B863" i="5"/>
  <c r="F872" i="5"/>
  <c r="E872" i="5"/>
  <c r="C872" i="5"/>
  <c r="B872" i="5"/>
  <c r="F881" i="5"/>
  <c r="E881" i="5"/>
  <c r="C881" i="5"/>
  <c r="B881" i="5"/>
  <c r="F890" i="5"/>
  <c r="E890" i="5"/>
  <c r="C890" i="5"/>
  <c r="B890" i="5"/>
  <c r="F220" i="5"/>
  <c r="E220" i="5"/>
  <c r="B220" i="5"/>
  <c r="C220" i="5"/>
  <c r="F229" i="5"/>
  <c r="E229" i="5"/>
  <c r="B229" i="5"/>
  <c r="C229" i="5"/>
  <c r="F247" i="5"/>
  <c r="E247" i="5"/>
  <c r="B247" i="5"/>
  <c r="C247" i="5"/>
  <c r="F256" i="5"/>
  <c r="E256" i="5"/>
  <c r="B256" i="5"/>
  <c r="C256" i="5"/>
  <c r="F265" i="5"/>
  <c r="E265" i="5"/>
  <c r="B265" i="5"/>
  <c r="C265" i="5"/>
  <c r="F274" i="5"/>
  <c r="E274" i="5"/>
  <c r="B274" i="5"/>
  <c r="C274" i="5"/>
  <c r="F283" i="5"/>
  <c r="E283" i="5"/>
  <c r="B283" i="5"/>
  <c r="C283" i="5"/>
  <c r="F292" i="5"/>
  <c r="E292" i="5"/>
  <c r="B292" i="5"/>
  <c r="C292" i="5"/>
  <c r="F304" i="5"/>
  <c r="E304" i="5"/>
  <c r="C304" i="5"/>
  <c r="B304" i="5"/>
  <c r="F313" i="5"/>
  <c r="E313" i="5"/>
  <c r="C313" i="5"/>
  <c r="B313" i="5"/>
  <c r="F325" i="5"/>
  <c r="E325" i="5"/>
  <c r="B325" i="5"/>
  <c r="C325" i="5"/>
  <c r="F334" i="5"/>
  <c r="E334" i="5"/>
  <c r="B334" i="5"/>
  <c r="C334" i="5"/>
  <c r="F343" i="5"/>
  <c r="E343" i="5"/>
  <c r="B343" i="5"/>
  <c r="C343" i="5"/>
  <c r="F352" i="5"/>
  <c r="E352" i="5"/>
  <c r="B352" i="5"/>
  <c r="C352" i="5"/>
  <c r="E361" i="5"/>
  <c r="F361" i="5"/>
  <c r="B361" i="5"/>
  <c r="C361" i="5"/>
  <c r="F370" i="5"/>
  <c r="E370" i="5"/>
  <c r="B370" i="5"/>
  <c r="C370" i="5"/>
  <c r="F382" i="5"/>
  <c r="E382" i="5"/>
  <c r="B382" i="5"/>
  <c r="C382" i="5"/>
  <c r="F391" i="5"/>
  <c r="E391" i="5"/>
  <c r="B391" i="5"/>
  <c r="C391" i="5"/>
  <c r="F400" i="5"/>
  <c r="E400" i="5"/>
  <c r="B400" i="5"/>
  <c r="C400" i="5"/>
  <c r="F409" i="5"/>
  <c r="E409" i="5"/>
  <c r="B409" i="5"/>
  <c r="C409" i="5"/>
  <c r="F418" i="5"/>
  <c r="E418" i="5"/>
  <c r="B418" i="5"/>
  <c r="C418" i="5"/>
  <c r="E427" i="5"/>
  <c r="F427" i="5"/>
  <c r="B427" i="5"/>
  <c r="C427" i="5"/>
  <c r="F445" i="5"/>
  <c r="E445" i="5"/>
  <c r="B445" i="5"/>
  <c r="C445" i="5"/>
  <c r="F457" i="5"/>
  <c r="E457" i="5"/>
  <c r="C457" i="5"/>
  <c r="B457" i="5"/>
  <c r="F466" i="5"/>
  <c r="E466" i="5"/>
  <c r="C466" i="5"/>
  <c r="B466" i="5"/>
  <c r="F469" i="5"/>
  <c r="E469" i="5"/>
  <c r="B469" i="5"/>
  <c r="C469" i="5"/>
  <c r="F475" i="5"/>
  <c r="E475" i="5"/>
  <c r="C475" i="5"/>
  <c r="B475" i="5"/>
  <c r="F478" i="5"/>
  <c r="E478" i="5"/>
  <c r="B478" i="5"/>
  <c r="C478" i="5"/>
  <c r="F487" i="5"/>
  <c r="E487" i="5"/>
  <c r="B487" i="5"/>
  <c r="C487" i="5"/>
  <c r="F493" i="5"/>
  <c r="E493" i="5"/>
  <c r="C493" i="5"/>
  <c r="B493" i="5"/>
  <c r="F496" i="5"/>
  <c r="E496" i="5"/>
  <c r="B496" i="5"/>
  <c r="C496" i="5"/>
  <c r="F502" i="5"/>
  <c r="E502" i="5"/>
  <c r="C502" i="5"/>
  <c r="B502" i="5"/>
  <c r="F505" i="5"/>
  <c r="E505" i="5"/>
  <c r="B505" i="5"/>
  <c r="C505" i="5"/>
  <c r="F517" i="5"/>
  <c r="E517" i="5"/>
  <c r="B517" i="5"/>
  <c r="C517" i="5"/>
  <c r="F541" i="5"/>
  <c r="E541" i="5"/>
  <c r="C541" i="5"/>
  <c r="B541" i="5"/>
  <c r="F553" i="5"/>
  <c r="E553" i="5"/>
  <c r="C553" i="5"/>
  <c r="B553" i="5"/>
  <c r="F565" i="5"/>
  <c r="E565" i="5"/>
  <c r="C565" i="5"/>
  <c r="B565" i="5"/>
  <c r="F592" i="5"/>
  <c r="C592" i="5"/>
  <c r="B592" i="5"/>
  <c r="E592" i="5"/>
  <c r="F601" i="5"/>
  <c r="C601" i="5"/>
  <c r="B601" i="5"/>
  <c r="E601" i="5"/>
  <c r="F607" i="5"/>
  <c r="E607" i="5"/>
  <c r="C607" i="5"/>
  <c r="B607" i="5"/>
  <c r="F619" i="5"/>
  <c r="C619" i="5"/>
  <c r="B619" i="5"/>
  <c r="E619" i="5"/>
  <c r="F628" i="5"/>
  <c r="C628" i="5"/>
  <c r="B628" i="5"/>
  <c r="E628" i="5"/>
  <c r="F631" i="5"/>
  <c r="E631" i="5"/>
  <c r="C631" i="5"/>
  <c r="B631" i="5"/>
  <c r="F637" i="5"/>
  <c r="E637" i="5"/>
  <c r="C637" i="5"/>
  <c r="B637" i="5"/>
  <c r="F640" i="5"/>
  <c r="E640" i="5"/>
  <c r="C640" i="5"/>
  <c r="B640" i="5"/>
  <c r="F652" i="5"/>
  <c r="E652" i="5"/>
  <c r="C652" i="5"/>
  <c r="B652" i="5"/>
  <c r="F667" i="5"/>
  <c r="E667" i="5"/>
  <c r="C667" i="5"/>
  <c r="B667" i="5"/>
  <c r="F679" i="5"/>
  <c r="E679" i="5"/>
  <c r="C679" i="5"/>
  <c r="B679" i="5"/>
  <c r="F691" i="5"/>
  <c r="E691" i="5"/>
  <c r="C691" i="5"/>
  <c r="B691" i="5"/>
  <c r="F700" i="5"/>
  <c r="C700" i="5"/>
  <c r="B700" i="5"/>
  <c r="E700" i="5"/>
  <c r="F715" i="5"/>
  <c r="E715" i="5"/>
  <c r="C715" i="5"/>
  <c r="B715" i="5"/>
  <c r="F724" i="5"/>
  <c r="E724" i="5"/>
  <c r="C724" i="5"/>
  <c r="B724" i="5"/>
  <c r="F739" i="5"/>
  <c r="E739" i="5"/>
  <c r="C739" i="5"/>
  <c r="B739" i="5"/>
  <c r="F748" i="5"/>
  <c r="E748" i="5"/>
  <c r="C748" i="5"/>
  <c r="B748" i="5"/>
  <c r="F760" i="5"/>
  <c r="E760" i="5"/>
  <c r="C760" i="5"/>
  <c r="B760" i="5"/>
  <c r="F772" i="5"/>
  <c r="E772" i="5"/>
  <c r="C772" i="5"/>
  <c r="B772" i="5"/>
  <c r="F781" i="5"/>
  <c r="C781" i="5"/>
  <c r="B781" i="5"/>
  <c r="E781" i="5"/>
  <c r="F796" i="5"/>
  <c r="E796" i="5"/>
  <c r="C796" i="5"/>
  <c r="B796" i="5"/>
  <c r="F805" i="5"/>
  <c r="E805" i="5"/>
  <c r="C805" i="5"/>
  <c r="B805" i="5"/>
  <c r="F820" i="5"/>
  <c r="E820" i="5"/>
  <c r="C820" i="5"/>
  <c r="B820" i="5"/>
  <c r="F829" i="5"/>
  <c r="E829" i="5"/>
  <c r="C829" i="5"/>
  <c r="B829" i="5"/>
  <c r="F841" i="5"/>
  <c r="E841" i="5"/>
  <c r="C841" i="5"/>
  <c r="B841" i="5"/>
  <c r="F853" i="5"/>
  <c r="E853" i="5"/>
  <c r="C853" i="5"/>
  <c r="B853" i="5"/>
  <c r="F865" i="5"/>
  <c r="E865" i="5"/>
  <c r="C865" i="5"/>
  <c r="B865" i="5"/>
  <c r="F877" i="5"/>
  <c r="E877" i="5"/>
  <c r="C877" i="5"/>
  <c r="B877" i="5"/>
  <c r="F892" i="5"/>
  <c r="E892" i="5"/>
  <c r="C892" i="5"/>
  <c r="B892" i="5"/>
  <c r="F904" i="5"/>
  <c r="E904" i="5"/>
  <c r="C904" i="5"/>
  <c r="B904" i="5"/>
  <c r="F919" i="5"/>
  <c r="E919" i="5"/>
  <c r="C919" i="5"/>
  <c r="B919" i="5"/>
  <c r="F931" i="5"/>
  <c r="E931" i="5"/>
  <c r="C931" i="5"/>
  <c r="B931" i="5"/>
  <c r="F946" i="5"/>
  <c r="E946" i="5"/>
  <c r="C946" i="5"/>
  <c r="B946" i="5"/>
  <c r="F958" i="5"/>
  <c r="E958" i="5"/>
  <c r="C958" i="5"/>
  <c r="B958" i="5"/>
  <c r="F973" i="5"/>
  <c r="E973" i="5"/>
  <c r="C973" i="5"/>
  <c r="B973" i="5"/>
  <c r="F985" i="5"/>
  <c r="E985" i="5"/>
  <c r="C985" i="5"/>
  <c r="B985" i="5"/>
  <c r="F1000" i="5"/>
  <c r="E1000" i="5"/>
  <c r="C1000" i="5"/>
  <c r="B1000" i="5"/>
  <c r="F26" i="5"/>
  <c r="E26" i="5"/>
  <c r="C26" i="5"/>
  <c r="B26" i="5"/>
  <c r="F38" i="5"/>
  <c r="E38" i="5"/>
  <c r="C38" i="5"/>
  <c r="B38" i="5"/>
  <c r="F47" i="5"/>
  <c r="E47" i="5"/>
  <c r="C47" i="5"/>
  <c r="B47" i="5"/>
  <c r="F56" i="5"/>
  <c r="E56" i="5"/>
  <c r="C56" i="5"/>
  <c r="B56" i="5"/>
  <c r="F65" i="5"/>
  <c r="E65" i="5"/>
  <c r="C65" i="5"/>
  <c r="B65" i="5"/>
  <c r="F74" i="5"/>
  <c r="E74" i="5"/>
  <c r="C74" i="5"/>
  <c r="B74" i="5"/>
  <c r="F83" i="5"/>
  <c r="E83" i="5"/>
  <c r="C83" i="5"/>
  <c r="B83" i="5"/>
  <c r="F92" i="5"/>
  <c r="E92" i="5"/>
  <c r="C92" i="5"/>
  <c r="B92" i="5"/>
  <c r="F104" i="5"/>
  <c r="E104" i="5"/>
  <c r="C104" i="5"/>
  <c r="B104" i="5"/>
  <c r="F113" i="5"/>
  <c r="E113" i="5"/>
  <c r="C113" i="5"/>
  <c r="B113" i="5"/>
  <c r="F125" i="5"/>
  <c r="E125" i="5"/>
  <c r="C125" i="5"/>
  <c r="B125" i="5"/>
  <c r="F134" i="5"/>
  <c r="E134" i="5"/>
  <c r="C134" i="5"/>
  <c r="B134" i="5"/>
  <c r="F143" i="5"/>
  <c r="E143" i="5"/>
  <c r="C143" i="5"/>
  <c r="B143" i="5"/>
  <c r="F152" i="5"/>
  <c r="E152" i="5"/>
  <c r="C152" i="5"/>
  <c r="B152" i="5"/>
  <c r="F161" i="5"/>
  <c r="E161" i="5"/>
  <c r="C161" i="5"/>
  <c r="B161" i="5"/>
  <c r="F170" i="5"/>
  <c r="E170" i="5"/>
  <c r="C170" i="5"/>
  <c r="B170" i="5"/>
  <c r="F182" i="5"/>
  <c r="C182" i="5"/>
  <c r="E182" i="5"/>
  <c r="B182" i="5"/>
  <c r="F191" i="5"/>
  <c r="C191" i="5"/>
  <c r="B191" i="5"/>
  <c r="E191" i="5"/>
  <c r="F203" i="5"/>
  <c r="E203" i="5"/>
  <c r="C203" i="5"/>
  <c r="B203" i="5"/>
  <c r="F212" i="5"/>
  <c r="E212" i="5"/>
  <c r="C212" i="5"/>
  <c r="B212" i="5"/>
  <c r="F221" i="5"/>
  <c r="E221" i="5"/>
  <c r="C221" i="5"/>
  <c r="B221" i="5"/>
  <c r="F230" i="5"/>
  <c r="E230" i="5"/>
  <c r="C230" i="5"/>
  <c r="B230" i="5"/>
  <c r="F239" i="5"/>
  <c r="E239" i="5"/>
  <c r="C239" i="5"/>
  <c r="B239" i="5"/>
  <c r="F248" i="5"/>
  <c r="E248" i="5"/>
  <c r="C248" i="5"/>
  <c r="B248" i="5"/>
  <c r="F260" i="5"/>
  <c r="E260" i="5"/>
  <c r="C260" i="5"/>
  <c r="B260" i="5"/>
  <c r="F269" i="5"/>
  <c r="E269" i="5"/>
  <c r="C269" i="5"/>
  <c r="B269" i="5"/>
  <c r="F281" i="5"/>
  <c r="C281" i="5"/>
  <c r="E281" i="5"/>
  <c r="B281" i="5"/>
  <c r="F290" i="5"/>
  <c r="C290" i="5"/>
  <c r="E290" i="5"/>
  <c r="B290" i="5"/>
  <c r="F299" i="5"/>
  <c r="C299" i="5"/>
  <c r="B299" i="5"/>
  <c r="E299" i="5"/>
  <c r="F308" i="5"/>
  <c r="C308" i="5"/>
  <c r="E308" i="5"/>
  <c r="B308" i="5"/>
  <c r="F317" i="5"/>
  <c r="C317" i="5"/>
  <c r="B317" i="5"/>
  <c r="E317" i="5"/>
  <c r="F326" i="5"/>
  <c r="C326" i="5"/>
  <c r="B326" i="5"/>
  <c r="E326" i="5"/>
  <c r="F335" i="5"/>
  <c r="C335" i="5"/>
  <c r="E335" i="5"/>
  <c r="B335" i="5"/>
  <c r="F344" i="5"/>
  <c r="C344" i="5"/>
  <c r="E344" i="5"/>
  <c r="B344" i="5"/>
  <c r="F353" i="5"/>
  <c r="C353" i="5"/>
  <c r="B353" i="5"/>
  <c r="E353" i="5"/>
  <c r="F365" i="5"/>
  <c r="E365" i="5"/>
  <c r="C365" i="5"/>
  <c r="B365" i="5"/>
  <c r="F374" i="5"/>
  <c r="E374" i="5"/>
  <c r="C374" i="5"/>
  <c r="B374" i="5"/>
  <c r="F380" i="5"/>
  <c r="C380" i="5"/>
  <c r="B380" i="5"/>
  <c r="E380" i="5"/>
  <c r="F383" i="5"/>
  <c r="E383" i="5"/>
  <c r="C383" i="5"/>
  <c r="B383" i="5"/>
  <c r="F407" i="5"/>
  <c r="C407" i="5"/>
  <c r="E407" i="5"/>
  <c r="B407" i="5"/>
  <c r="F410" i="5"/>
  <c r="E410" i="5"/>
  <c r="C410" i="5"/>
  <c r="B410" i="5"/>
  <c r="F425" i="5"/>
  <c r="C425" i="5"/>
  <c r="E425" i="5"/>
  <c r="B425" i="5"/>
  <c r="F434" i="5"/>
  <c r="C434" i="5"/>
  <c r="B434" i="5"/>
  <c r="E434" i="5"/>
  <c r="F443" i="5"/>
  <c r="C443" i="5"/>
  <c r="E443" i="5"/>
  <c r="B443" i="5"/>
  <c r="F452" i="5"/>
  <c r="C452" i="5"/>
  <c r="E452" i="5"/>
  <c r="B452" i="5"/>
  <c r="F461" i="5"/>
  <c r="C461" i="5"/>
  <c r="B461" i="5"/>
  <c r="E461" i="5"/>
  <c r="F470" i="5"/>
  <c r="C470" i="5"/>
  <c r="E470" i="5"/>
  <c r="B470" i="5"/>
  <c r="F479" i="5"/>
  <c r="C479" i="5"/>
  <c r="E479" i="5"/>
  <c r="B479" i="5"/>
  <c r="F488" i="5"/>
  <c r="C488" i="5"/>
  <c r="E488" i="5"/>
  <c r="B488" i="5"/>
  <c r="F500" i="5"/>
  <c r="E500" i="5"/>
  <c r="C500" i="5"/>
  <c r="B500" i="5"/>
  <c r="F512" i="5"/>
  <c r="E512" i="5"/>
  <c r="C512" i="5"/>
  <c r="B512" i="5"/>
  <c r="F521" i="5"/>
  <c r="E521" i="5"/>
  <c r="C521" i="5"/>
  <c r="B521" i="5"/>
  <c r="F530" i="5"/>
  <c r="E530" i="5"/>
  <c r="C530" i="5"/>
  <c r="B530" i="5"/>
  <c r="F539" i="5"/>
  <c r="E539" i="5"/>
  <c r="C539" i="5"/>
  <c r="B539" i="5"/>
  <c r="F548" i="5"/>
  <c r="E548" i="5"/>
  <c r="C548" i="5"/>
  <c r="B548" i="5"/>
  <c r="F557" i="5"/>
  <c r="E557" i="5"/>
  <c r="C557" i="5"/>
  <c r="B557" i="5"/>
  <c r="F566" i="5"/>
  <c r="E566" i="5"/>
  <c r="C566" i="5"/>
  <c r="B566" i="5"/>
  <c r="F578" i="5"/>
  <c r="E578" i="5"/>
  <c r="C578" i="5"/>
  <c r="B578" i="5"/>
  <c r="F590" i="5"/>
  <c r="E590" i="5"/>
  <c r="C590" i="5"/>
  <c r="B590" i="5"/>
  <c r="F599" i="5"/>
  <c r="E599" i="5"/>
  <c r="C599" i="5"/>
  <c r="B599" i="5"/>
  <c r="F608" i="5"/>
  <c r="E608" i="5"/>
  <c r="C608" i="5"/>
  <c r="B608" i="5"/>
  <c r="F617" i="5"/>
  <c r="E617" i="5"/>
  <c r="C617" i="5"/>
  <c r="B617" i="5"/>
  <c r="F626" i="5"/>
  <c r="E626" i="5"/>
  <c r="C626" i="5"/>
  <c r="B626" i="5"/>
  <c r="F644" i="5"/>
  <c r="E644" i="5"/>
  <c r="C644" i="5"/>
  <c r="B644" i="5"/>
  <c r="F653" i="5"/>
  <c r="E653" i="5"/>
  <c r="C653" i="5"/>
  <c r="B653" i="5"/>
  <c r="F671" i="5"/>
  <c r="E671" i="5"/>
  <c r="C671" i="5"/>
  <c r="B671" i="5"/>
  <c r="F680" i="5"/>
  <c r="E680" i="5"/>
  <c r="C680" i="5"/>
  <c r="B680" i="5"/>
  <c r="F698" i="5"/>
  <c r="E698" i="5"/>
  <c r="C698" i="5"/>
  <c r="B698" i="5"/>
  <c r="F707" i="5"/>
  <c r="E707" i="5"/>
  <c r="C707" i="5"/>
  <c r="B707" i="5"/>
  <c r="F725" i="5"/>
  <c r="E725" i="5"/>
  <c r="C725" i="5"/>
  <c r="B725" i="5"/>
  <c r="F734" i="5"/>
  <c r="E734" i="5"/>
  <c r="C734" i="5"/>
  <c r="B734" i="5"/>
  <c r="F752" i="5"/>
  <c r="E752" i="5"/>
  <c r="C752" i="5"/>
  <c r="B752" i="5"/>
  <c r="F761" i="5"/>
  <c r="E761" i="5"/>
  <c r="C761" i="5"/>
  <c r="B761" i="5"/>
  <c r="F779" i="5"/>
  <c r="E779" i="5"/>
  <c r="C779" i="5"/>
  <c r="B779" i="5"/>
  <c r="F788" i="5"/>
  <c r="E788" i="5"/>
  <c r="C788" i="5"/>
  <c r="B788" i="5"/>
  <c r="F806" i="5"/>
  <c r="E806" i="5"/>
  <c r="C806" i="5"/>
  <c r="B806" i="5"/>
  <c r="F815" i="5"/>
  <c r="E815" i="5"/>
  <c r="C815" i="5"/>
  <c r="B815" i="5"/>
  <c r="F833" i="5"/>
  <c r="E833" i="5"/>
  <c r="C833" i="5"/>
  <c r="B833" i="5"/>
  <c r="F842" i="5"/>
  <c r="E842" i="5"/>
  <c r="C842" i="5"/>
  <c r="B842" i="5"/>
  <c r="F860" i="5"/>
  <c r="E860" i="5"/>
  <c r="C860" i="5"/>
  <c r="B860" i="5"/>
  <c r="F869" i="5"/>
  <c r="E869" i="5"/>
  <c r="C869" i="5"/>
  <c r="B869" i="5"/>
  <c r="F878" i="5"/>
  <c r="E878" i="5"/>
  <c r="C878" i="5"/>
  <c r="B878" i="5"/>
  <c r="F887" i="5"/>
  <c r="E887" i="5"/>
  <c r="C887" i="5"/>
  <c r="B887" i="5"/>
  <c r="F896" i="5"/>
  <c r="E896" i="5"/>
  <c r="C896" i="5"/>
  <c r="B896" i="5"/>
  <c r="F905" i="5"/>
  <c r="E905" i="5"/>
  <c r="C905" i="5"/>
  <c r="B905" i="5"/>
  <c r="F914" i="5"/>
  <c r="E914" i="5"/>
  <c r="C914" i="5"/>
  <c r="B914" i="5"/>
  <c r="F923" i="5"/>
  <c r="E923" i="5"/>
  <c r="C923" i="5"/>
  <c r="B923" i="5"/>
  <c r="F932" i="5"/>
  <c r="E932" i="5"/>
  <c r="C932" i="5"/>
  <c r="B932" i="5"/>
  <c r="F941" i="5"/>
  <c r="E941" i="5"/>
  <c r="C941" i="5"/>
  <c r="B941" i="5"/>
  <c r="F950" i="5"/>
  <c r="E950" i="5"/>
  <c r="C950" i="5"/>
  <c r="B950" i="5"/>
  <c r="F959" i="5"/>
  <c r="E959" i="5"/>
  <c r="C959" i="5"/>
  <c r="B959" i="5"/>
  <c r="F968" i="5"/>
  <c r="E968" i="5"/>
  <c r="C968" i="5"/>
  <c r="B968" i="5"/>
  <c r="F977" i="5"/>
  <c r="E977" i="5"/>
  <c r="C977" i="5"/>
  <c r="B977" i="5"/>
  <c r="F986" i="5"/>
  <c r="E986" i="5"/>
  <c r="C986" i="5"/>
  <c r="B986" i="5"/>
  <c r="F995" i="5"/>
  <c r="E995" i="5"/>
  <c r="C995" i="5"/>
  <c r="B995" i="5"/>
  <c r="F24" i="5"/>
  <c r="E24" i="5"/>
  <c r="B24" i="5"/>
  <c r="C24" i="5"/>
  <c r="F33" i="5"/>
  <c r="E33" i="5"/>
  <c r="C33" i="5"/>
  <c r="B33" i="5"/>
  <c r="F42" i="5"/>
  <c r="E42" i="5"/>
  <c r="B42" i="5"/>
  <c r="C42" i="5"/>
  <c r="F51" i="5"/>
  <c r="E51" i="5"/>
  <c r="B51" i="5"/>
  <c r="C51" i="5"/>
  <c r="F69" i="5"/>
  <c r="E69" i="5"/>
  <c r="B69" i="5"/>
  <c r="C69" i="5"/>
  <c r="F78" i="5"/>
  <c r="B78" i="5"/>
  <c r="E78" i="5"/>
  <c r="C78" i="5"/>
  <c r="F96" i="5"/>
  <c r="E96" i="5"/>
  <c r="C96" i="5"/>
  <c r="B96" i="5"/>
  <c r="F105" i="5"/>
  <c r="E105" i="5"/>
  <c r="B105" i="5"/>
  <c r="C105" i="5"/>
  <c r="F114" i="5"/>
  <c r="E114" i="5"/>
  <c r="B114" i="5"/>
  <c r="C114" i="5"/>
  <c r="F123" i="5"/>
  <c r="E123" i="5"/>
  <c r="C123" i="5"/>
  <c r="B123" i="5"/>
  <c r="F132" i="5"/>
  <c r="E132" i="5"/>
  <c r="B132" i="5"/>
  <c r="C132" i="5"/>
  <c r="F150" i="5"/>
  <c r="E150" i="5"/>
  <c r="C150" i="5"/>
  <c r="B150" i="5"/>
  <c r="F159" i="5"/>
  <c r="E159" i="5"/>
  <c r="B159" i="5"/>
  <c r="C159" i="5"/>
  <c r="F177" i="5"/>
  <c r="E177" i="5"/>
  <c r="C177" i="5"/>
  <c r="B177" i="5"/>
  <c r="F186" i="5"/>
  <c r="E186" i="5"/>
  <c r="B186" i="5"/>
  <c r="C186" i="5"/>
  <c r="F195" i="5"/>
  <c r="E195" i="5"/>
  <c r="B195" i="5"/>
  <c r="C195" i="5"/>
  <c r="F204" i="5"/>
  <c r="E204" i="5"/>
  <c r="C204" i="5"/>
  <c r="B204" i="5"/>
  <c r="F213" i="5"/>
  <c r="E213" i="5"/>
  <c r="B213" i="5"/>
  <c r="C213" i="5"/>
  <c r="F231" i="5"/>
  <c r="E231" i="5"/>
  <c r="C231" i="5"/>
  <c r="B231" i="5"/>
  <c r="F240" i="5"/>
  <c r="E240" i="5"/>
  <c r="B240" i="5"/>
  <c r="C240" i="5"/>
  <c r="E249" i="5"/>
  <c r="F249" i="5"/>
  <c r="B249" i="5"/>
  <c r="C249" i="5"/>
  <c r="F258" i="5"/>
  <c r="E258" i="5"/>
  <c r="C258" i="5"/>
  <c r="B258" i="5"/>
  <c r="F285" i="5"/>
  <c r="E285" i="5"/>
  <c r="C285" i="5"/>
  <c r="B285" i="5"/>
  <c r="F312" i="5"/>
  <c r="E312" i="5"/>
  <c r="C312" i="5"/>
  <c r="B312" i="5"/>
  <c r="F339" i="5"/>
  <c r="E339" i="5"/>
  <c r="C339" i="5"/>
  <c r="B339" i="5"/>
  <c r="F357" i="5"/>
  <c r="E357" i="5"/>
  <c r="B357" i="5"/>
  <c r="C357" i="5"/>
  <c r="F384" i="5"/>
  <c r="E384" i="5"/>
  <c r="B384" i="5"/>
  <c r="C384" i="5"/>
  <c r="F411" i="5"/>
  <c r="E411" i="5"/>
  <c r="B411" i="5"/>
  <c r="C411" i="5"/>
  <c r="F429" i="5"/>
  <c r="E429" i="5"/>
  <c r="B429" i="5"/>
  <c r="C429" i="5"/>
  <c r="F438" i="5"/>
  <c r="E438" i="5"/>
  <c r="B438" i="5"/>
  <c r="C438" i="5"/>
  <c r="F447" i="5"/>
  <c r="E447" i="5"/>
  <c r="C447" i="5"/>
  <c r="B447" i="5"/>
  <c r="F456" i="5"/>
  <c r="E456" i="5"/>
  <c r="B456" i="5"/>
  <c r="C456" i="5"/>
  <c r="F465" i="5"/>
  <c r="E465" i="5"/>
  <c r="B465" i="5"/>
  <c r="C465" i="5"/>
  <c r="F474" i="5"/>
  <c r="E474" i="5"/>
  <c r="C474" i="5"/>
  <c r="B474" i="5"/>
  <c r="F483" i="5"/>
  <c r="E483" i="5"/>
  <c r="B483" i="5"/>
  <c r="C483" i="5"/>
  <c r="F492" i="5"/>
  <c r="E492" i="5"/>
  <c r="B492" i="5"/>
  <c r="C492" i="5"/>
  <c r="F501" i="5"/>
  <c r="E501" i="5"/>
  <c r="C501" i="5"/>
  <c r="B501" i="5"/>
  <c r="F510" i="5"/>
  <c r="E510" i="5"/>
  <c r="B510" i="5"/>
  <c r="C510" i="5"/>
  <c r="F519" i="5"/>
  <c r="E519" i="5"/>
  <c r="B519" i="5"/>
  <c r="C519" i="5"/>
  <c r="F528" i="5"/>
  <c r="E528" i="5"/>
  <c r="B528" i="5"/>
  <c r="C528" i="5"/>
  <c r="F537" i="5"/>
  <c r="E537" i="5"/>
  <c r="B537" i="5"/>
  <c r="C537" i="5"/>
  <c r="F546" i="5"/>
  <c r="E546" i="5"/>
  <c r="B546" i="5"/>
  <c r="C546" i="5"/>
  <c r="F555" i="5"/>
  <c r="E555" i="5"/>
  <c r="B555" i="5"/>
  <c r="C555" i="5"/>
  <c r="F564" i="5"/>
  <c r="E564" i="5"/>
  <c r="B564" i="5"/>
  <c r="C564" i="5"/>
  <c r="F573" i="5"/>
  <c r="E573" i="5"/>
  <c r="B573" i="5"/>
  <c r="C573" i="5"/>
  <c r="F582" i="5"/>
  <c r="E582" i="5"/>
  <c r="B582" i="5"/>
  <c r="C582" i="5"/>
  <c r="F591" i="5"/>
  <c r="E591" i="5"/>
  <c r="B591" i="5"/>
  <c r="C591" i="5"/>
  <c r="F600" i="5"/>
  <c r="E600" i="5"/>
  <c r="B600" i="5"/>
  <c r="C600" i="5"/>
  <c r="E609" i="5"/>
  <c r="F609" i="5"/>
  <c r="B609" i="5"/>
  <c r="C609" i="5"/>
  <c r="E618" i="5"/>
  <c r="F618" i="5"/>
  <c r="B618" i="5"/>
  <c r="C618" i="5"/>
  <c r="F627" i="5"/>
  <c r="E627" i="5"/>
  <c r="B627" i="5"/>
  <c r="C627" i="5"/>
  <c r="E636" i="5"/>
  <c r="F636" i="5"/>
  <c r="B636" i="5"/>
  <c r="C636" i="5"/>
  <c r="E645" i="5"/>
  <c r="F645" i="5"/>
  <c r="B645" i="5"/>
  <c r="C645" i="5"/>
  <c r="F651" i="5"/>
  <c r="E651" i="5"/>
  <c r="C651" i="5"/>
  <c r="B651" i="5"/>
  <c r="F654" i="5"/>
  <c r="E654" i="5"/>
  <c r="B654" i="5"/>
  <c r="C654" i="5"/>
  <c r="E663" i="5"/>
  <c r="F663" i="5"/>
  <c r="B663" i="5"/>
  <c r="C663" i="5"/>
  <c r="F669" i="5"/>
  <c r="E669" i="5"/>
  <c r="C669" i="5"/>
  <c r="B669" i="5"/>
  <c r="E672" i="5"/>
  <c r="F672" i="5"/>
  <c r="B672" i="5"/>
  <c r="C672" i="5"/>
  <c r="F678" i="5"/>
  <c r="E678" i="5"/>
  <c r="C678" i="5"/>
  <c r="B678" i="5"/>
  <c r="F681" i="5"/>
  <c r="E681" i="5"/>
  <c r="B681" i="5"/>
  <c r="C681" i="5"/>
  <c r="E690" i="5"/>
  <c r="F690" i="5"/>
  <c r="B690" i="5"/>
  <c r="C690" i="5"/>
  <c r="E696" i="5"/>
  <c r="F696" i="5"/>
  <c r="C696" i="5"/>
  <c r="B696" i="5"/>
  <c r="F699" i="5"/>
  <c r="E699" i="5"/>
  <c r="B699" i="5"/>
  <c r="C699" i="5"/>
  <c r="E705" i="5"/>
  <c r="F705" i="5"/>
  <c r="C705" i="5"/>
  <c r="B705" i="5"/>
  <c r="F708" i="5"/>
  <c r="E708" i="5"/>
  <c r="B708" i="5"/>
  <c r="C708" i="5"/>
  <c r="F717" i="5"/>
  <c r="E717" i="5"/>
  <c r="B717" i="5"/>
  <c r="C717" i="5"/>
  <c r="E723" i="5"/>
  <c r="C723" i="5"/>
  <c r="B723" i="5"/>
  <c r="F723" i="5"/>
  <c r="F726" i="5"/>
  <c r="E726" i="5"/>
  <c r="B726" i="5"/>
  <c r="C726" i="5"/>
  <c r="E732" i="5"/>
  <c r="F732" i="5"/>
  <c r="C732" i="5"/>
  <c r="B732" i="5"/>
  <c r="F735" i="5"/>
  <c r="E735" i="5"/>
  <c r="B735" i="5"/>
  <c r="C735" i="5"/>
  <c r="F744" i="5"/>
  <c r="E744" i="5"/>
  <c r="B744" i="5"/>
  <c r="C744" i="5"/>
  <c r="E750" i="5"/>
  <c r="F750" i="5"/>
  <c r="C750" i="5"/>
  <c r="B750" i="5"/>
  <c r="F753" i="5"/>
  <c r="E753" i="5"/>
  <c r="B753" i="5"/>
  <c r="C753" i="5"/>
  <c r="E759" i="5"/>
  <c r="F759" i="5"/>
  <c r="C759" i="5"/>
  <c r="B759" i="5"/>
  <c r="F762" i="5"/>
  <c r="E762" i="5"/>
  <c r="B762" i="5"/>
  <c r="C762" i="5"/>
  <c r="F771" i="5"/>
  <c r="E771" i="5"/>
  <c r="B771" i="5"/>
  <c r="C771" i="5"/>
  <c r="E777" i="5"/>
  <c r="F777" i="5"/>
  <c r="C777" i="5"/>
  <c r="B777" i="5"/>
  <c r="F780" i="5"/>
  <c r="E780" i="5"/>
  <c r="B780" i="5"/>
  <c r="C780" i="5"/>
  <c r="E786" i="5"/>
  <c r="F786" i="5"/>
  <c r="C786" i="5"/>
  <c r="B786" i="5"/>
  <c r="F789" i="5"/>
  <c r="E789" i="5"/>
  <c r="B789" i="5"/>
  <c r="C789" i="5"/>
  <c r="F798" i="5"/>
  <c r="E798" i="5"/>
  <c r="B798" i="5"/>
  <c r="C798" i="5"/>
  <c r="E804" i="5"/>
  <c r="F804" i="5"/>
  <c r="C804" i="5"/>
  <c r="B804" i="5"/>
  <c r="F807" i="5"/>
  <c r="E807" i="5"/>
  <c r="B807" i="5"/>
  <c r="C807" i="5"/>
  <c r="E813" i="5"/>
  <c r="F813" i="5"/>
  <c r="C813" i="5"/>
  <c r="B813" i="5"/>
  <c r="F816" i="5"/>
  <c r="E816" i="5"/>
  <c r="B816" i="5"/>
  <c r="C816" i="5"/>
  <c r="F228" i="5"/>
  <c r="E228" i="5"/>
  <c r="C228" i="5"/>
  <c r="B228" i="5"/>
  <c r="F237" i="5"/>
  <c r="E237" i="5"/>
  <c r="C237" i="5"/>
  <c r="B237" i="5"/>
  <c r="F243" i="5"/>
  <c r="E243" i="5"/>
  <c r="C243" i="5"/>
  <c r="B243" i="5"/>
  <c r="F246" i="5"/>
  <c r="E246" i="5"/>
  <c r="C246" i="5"/>
  <c r="B246" i="5"/>
  <c r="F255" i="5"/>
  <c r="E255" i="5"/>
  <c r="C255" i="5"/>
  <c r="B255" i="5"/>
  <c r="F264" i="5"/>
  <c r="E264" i="5"/>
  <c r="C264" i="5"/>
  <c r="B264" i="5"/>
  <c r="F273" i="5"/>
  <c r="E273" i="5"/>
  <c r="C273" i="5"/>
  <c r="B273" i="5"/>
  <c r="F282" i="5"/>
  <c r="E282" i="5"/>
  <c r="C282" i="5"/>
  <c r="B282" i="5"/>
  <c r="F291" i="5"/>
  <c r="E291" i="5"/>
  <c r="C291" i="5"/>
  <c r="B291" i="5"/>
  <c r="F300" i="5"/>
  <c r="E300" i="5"/>
  <c r="C300" i="5"/>
  <c r="B300" i="5"/>
  <c r="F309" i="5"/>
  <c r="E309" i="5"/>
  <c r="C309" i="5"/>
  <c r="B309" i="5"/>
  <c r="F318" i="5"/>
  <c r="E318" i="5"/>
  <c r="C318" i="5"/>
  <c r="B318" i="5"/>
  <c r="F327" i="5"/>
  <c r="E327" i="5"/>
  <c r="C327" i="5"/>
  <c r="B327" i="5"/>
  <c r="F336" i="5"/>
  <c r="E336" i="5"/>
  <c r="C336" i="5"/>
  <c r="B336" i="5"/>
  <c r="F345" i="5"/>
  <c r="E345" i="5"/>
  <c r="C345" i="5"/>
  <c r="B345" i="5"/>
  <c r="F354" i="5"/>
  <c r="E354" i="5"/>
  <c r="C354" i="5"/>
  <c r="B354" i="5"/>
  <c r="F363" i="5"/>
  <c r="E363" i="5"/>
  <c r="C363" i="5"/>
  <c r="B363" i="5"/>
  <c r="F372" i="5"/>
  <c r="E372" i="5"/>
  <c r="C372" i="5"/>
  <c r="B372" i="5"/>
  <c r="F381" i="5"/>
  <c r="E381" i="5"/>
  <c r="C381" i="5"/>
  <c r="B381" i="5"/>
  <c r="F390" i="5"/>
  <c r="E390" i="5"/>
  <c r="C390" i="5"/>
  <c r="B390" i="5"/>
  <c r="F399" i="5"/>
  <c r="E399" i="5"/>
  <c r="C399" i="5"/>
  <c r="B399" i="5"/>
  <c r="F408" i="5"/>
  <c r="E408" i="5"/>
  <c r="C408" i="5"/>
  <c r="B408" i="5"/>
  <c r="F417" i="5"/>
  <c r="E417" i="5"/>
  <c r="C417" i="5"/>
  <c r="B417" i="5"/>
  <c r="F426" i="5"/>
  <c r="E426" i="5"/>
  <c r="C426" i="5"/>
  <c r="B426" i="5"/>
  <c r="F435" i="5"/>
  <c r="E435" i="5"/>
  <c r="C435" i="5"/>
  <c r="B435" i="5"/>
  <c r="F444" i="5"/>
  <c r="E444" i="5"/>
  <c r="C444" i="5"/>
  <c r="B444" i="5"/>
  <c r="F453" i="5"/>
  <c r="E453" i="5"/>
  <c r="C453" i="5"/>
  <c r="B453" i="5"/>
  <c r="F462" i="5"/>
  <c r="E462" i="5"/>
  <c r="C462" i="5"/>
  <c r="B462" i="5"/>
  <c r="F471" i="5"/>
  <c r="E471" i="5"/>
  <c r="C471" i="5"/>
  <c r="B471" i="5"/>
  <c r="F480" i="5"/>
  <c r="E480" i="5"/>
  <c r="C480" i="5"/>
  <c r="B480" i="5"/>
  <c r="F489" i="5"/>
  <c r="E489" i="5"/>
  <c r="C489" i="5"/>
  <c r="B489" i="5"/>
  <c r="F498" i="5"/>
  <c r="E498" i="5"/>
  <c r="C498" i="5"/>
  <c r="B498" i="5"/>
  <c r="F507" i="5"/>
  <c r="E507" i="5"/>
  <c r="C507" i="5"/>
  <c r="B507" i="5"/>
  <c r="F516" i="5"/>
  <c r="E516" i="5"/>
  <c r="C516" i="5"/>
  <c r="B516" i="5"/>
  <c r="F525" i="5"/>
  <c r="E525" i="5"/>
  <c r="C525" i="5"/>
  <c r="B525" i="5"/>
  <c r="F534" i="5"/>
  <c r="E534" i="5"/>
  <c r="C534" i="5"/>
  <c r="B534" i="5"/>
  <c r="F543" i="5"/>
  <c r="E543" i="5"/>
  <c r="C543" i="5"/>
  <c r="B543" i="5"/>
  <c r="F552" i="5"/>
  <c r="E552" i="5"/>
  <c r="C552" i="5"/>
  <c r="B552" i="5"/>
  <c r="F561" i="5"/>
  <c r="E561" i="5"/>
  <c r="C561" i="5"/>
  <c r="B561" i="5"/>
  <c r="F570" i="5"/>
  <c r="E570" i="5"/>
  <c r="C570" i="5"/>
  <c r="B570" i="5"/>
  <c r="F579" i="5"/>
  <c r="E579" i="5"/>
  <c r="C579" i="5"/>
  <c r="B579" i="5"/>
  <c r="F588" i="5"/>
  <c r="E588" i="5"/>
  <c r="C588" i="5"/>
  <c r="B588" i="5"/>
  <c r="F597" i="5"/>
  <c r="E597" i="5"/>
  <c r="C597" i="5"/>
  <c r="B597" i="5"/>
  <c r="F606" i="5"/>
  <c r="E606" i="5"/>
  <c r="C606" i="5"/>
  <c r="B606" i="5"/>
  <c r="F615" i="5"/>
  <c r="E615" i="5"/>
  <c r="C615" i="5"/>
  <c r="B615" i="5"/>
  <c r="F624" i="5"/>
  <c r="E624" i="5"/>
  <c r="C624" i="5"/>
  <c r="B624" i="5"/>
  <c r="F633" i="5"/>
  <c r="E633" i="5"/>
  <c r="C633" i="5"/>
  <c r="B633" i="5"/>
  <c r="F642" i="5"/>
  <c r="E642" i="5"/>
  <c r="C642" i="5"/>
  <c r="B642" i="5"/>
  <c r="F660" i="5"/>
  <c r="E660" i="5"/>
  <c r="C660" i="5"/>
  <c r="B660" i="5"/>
  <c r="F687" i="5"/>
  <c r="E687" i="5"/>
  <c r="C687" i="5"/>
  <c r="B687" i="5"/>
  <c r="F714" i="5"/>
  <c r="E714" i="5"/>
  <c r="C714" i="5"/>
  <c r="B714" i="5"/>
  <c r="F741" i="5"/>
  <c r="E741" i="5"/>
  <c r="C741" i="5"/>
  <c r="B741" i="5"/>
  <c r="F768" i="5"/>
  <c r="E768" i="5"/>
  <c r="C768" i="5"/>
  <c r="B768" i="5"/>
  <c r="F795" i="5"/>
  <c r="E795" i="5"/>
  <c r="C795" i="5"/>
  <c r="B795" i="5"/>
  <c r="F822" i="5"/>
  <c r="E822" i="5"/>
  <c r="C822" i="5"/>
  <c r="B822" i="5"/>
  <c r="F828" i="5"/>
  <c r="E828" i="5"/>
  <c r="B828" i="5"/>
  <c r="C828" i="5"/>
  <c r="E831" i="5"/>
  <c r="F831" i="5"/>
  <c r="C831" i="5"/>
  <c r="B831" i="5"/>
  <c r="F837" i="5"/>
  <c r="E837" i="5"/>
  <c r="C837" i="5"/>
  <c r="B837" i="5"/>
  <c r="E840" i="5"/>
  <c r="F840" i="5"/>
  <c r="C840" i="5"/>
  <c r="B840" i="5"/>
  <c r="F846" i="5"/>
  <c r="E846" i="5"/>
  <c r="C846" i="5"/>
  <c r="B846" i="5"/>
  <c r="F849" i="5"/>
  <c r="E849" i="5"/>
  <c r="C849" i="5"/>
  <c r="B849" i="5"/>
  <c r="F855" i="5"/>
  <c r="E855" i="5"/>
  <c r="B855" i="5"/>
  <c r="C855" i="5"/>
  <c r="E858" i="5"/>
  <c r="F858" i="5"/>
  <c r="C858" i="5"/>
  <c r="B858" i="5"/>
  <c r="F864" i="5"/>
  <c r="E864" i="5"/>
  <c r="C864" i="5"/>
  <c r="B864" i="5"/>
  <c r="E867" i="5"/>
  <c r="F867" i="5"/>
  <c r="C867" i="5"/>
  <c r="B867" i="5"/>
  <c r="F873" i="5"/>
  <c r="E873" i="5"/>
  <c r="C873" i="5"/>
  <c r="B873" i="5"/>
  <c r="F876" i="5"/>
  <c r="E876" i="5"/>
  <c r="C876" i="5"/>
  <c r="B876" i="5"/>
  <c r="F882" i="5"/>
  <c r="E882" i="5"/>
  <c r="B882" i="5"/>
  <c r="C882" i="5"/>
  <c r="E885" i="5"/>
  <c r="F885" i="5"/>
  <c r="C885" i="5"/>
  <c r="B885" i="5"/>
  <c r="F891" i="5"/>
  <c r="E891" i="5"/>
  <c r="C891" i="5"/>
  <c r="B891" i="5"/>
  <c r="E894" i="5"/>
  <c r="F894" i="5"/>
  <c r="C894" i="5"/>
  <c r="B894" i="5"/>
  <c r="F900" i="5"/>
  <c r="E900" i="5"/>
  <c r="B900" i="5"/>
  <c r="C900" i="5"/>
  <c r="F903" i="5"/>
  <c r="E903" i="5"/>
  <c r="C903" i="5"/>
  <c r="B903" i="5"/>
  <c r="F909" i="5"/>
  <c r="E909" i="5"/>
  <c r="C909" i="5"/>
  <c r="B909" i="5"/>
  <c r="F912" i="5"/>
  <c r="E912" i="5"/>
  <c r="C912" i="5"/>
  <c r="B912" i="5"/>
  <c r="F918" i="5"/>
  <c r="E918" i="5"/>
  <c r="C918" i="5"/>
  <c r="B918" i="5"/>
  <c r="F921" i="5"/>
  <c r="E921" i="5"/>
  <c r="C921" i="5"/>
  <c r="B921" i="5"/>
  <c r="F927" i="5"/>
  <c r="E927" i="5"/>
  <c r="B927" i="5"/>
  <c r="C927" i="5"/>
  <c r="F930" i="5"/>
  <c r="E930" i="5"/>
  <c r="C930" i="5"/>
  <c r="B930" i="5"/>
  <c r="F936" i="5"/>
  <c r="E936" i="5"/>
  <c r="C936" i="5"/>
  <c r="B936" i="5"/>
  <c r="F939" i="5"/>
  <c r="E939" i="5"/>
  <c r="C939" i="5"/>
  <c r="B939" i="5"/>
  <c r="F945" i="5"/>
  <c r="E945" i="5"/>
  <c r="C945" i="5"/>
  <c r="B945" i="5"/>
  <c r="F948" i="5"/>
  <c r="E948" i="5"/>
  <c r="C948" i="5"/>
  <c r="B948" i="5"/>
  <c r="F954" i="5"/>
  <c r="E954" i="5"/>
  <c r="B954" i="5"/>
  <c r="C954" i="5"/>
  <c r="F957" i="5"/>
  <c r="E957" i="5"/>
  <c r="C957" i="5"/>
  <c r="B957" i="5"/>
  <c r="F963" i="5"/>
  <c r="E963" i="5"/>
  <c r="C963" i="5"/>
  <c r="B963" i="5"/>
  <c r="F966" i="5"/>
  <c r="C966" i="5"/>
  <c r="E966" i="5"/>
  <c r="B966" i="5"/>
  <c r="F972" i="5"/>
  <c r="E972" i="5"/>
  <c r="C972" i="5"/>
  <c r="B972" i="5"/>
  <c r="F975" i="5"/>
  <c r="E975" i="5"/>
  <c r="C975" i="5"/>
  <c r="B975" i="5"/>
  <c r="F981" i="5"/>
  <c r="E981" i="5"/>
  <c r="C981" i="5"/>
  <c r="B981" i="5"/>
  <c r="F984" i="5"/>
  <c r="C984" i="5"/>
  <c r="B984" i="5"/>
  <c r="E984" i="5"/>
  <c r="F990" i="5"/>
  <c r="E990" i="5"/>
  <c r="C990" i="5"/>
  <c r="B990" i="5"/>
  <c r="C993" i="5"/>
  <c r="B993" i="5"/>
  <c r="F993" i="5"/>
  <c r="E993" i="5"/>
  <c r="F999" i="5"/>
  <c r="E999" i="5"/>
  <c r="B999" i="5"/>
  <c r="C999" i="5"/>
  <c r="N664" i="5"/>
  <c r="F664" i="5"/>
  <c r="E664" i="5"/>
  <c r="C664" i="5"/>
  <c r="B664" i="5"/>
  <c r="F899" i="5"/>
  <c r="E899" i="5"/>
  <c r="C899" i="5"/>
  <c r="B899" i="5"/>
  <c r="F908" i="5"/>
  <c r="E908" i="5"/>
  <c r="C908" i="5"/>
  <c r="B908" i="5"/>
  <c r="F917" i="5"/>
  <c r="E917" i="5"/>
  <c r="C917" i="5"/>
  <c r="B917" i="5"/>
  <c r="F926" i="5"/>
  <c r="E926" i="5"/>
  <c r="C926" i="5"/>
  <c r="B926" i="5"/>
  <c r="F935" i="5"/>
  <c r="E935" i="5"/>
  <c r="C935" i="5"/>
  <c r="B935" i="5"/>
  <c r="F944" i="5"/>
  <c r="E944" i="5"/>
  <c r="C944" i="5"/>
  <c r="B944" i="5"/>
  <c r="F953" i="5"/>
  <c r="E953" i="5"/>
  <c r="C953" i="5"/>
  <c r="B953" i="5"/>
  <c r="F962" i="5"/>
  <c r="E962" i="5"/>
  <c r="C962" i="5"/>
  <c r="B962" i="5"/>
  <c r="F971" i="5"/>
  <c r="E971" i="5"/>
  <c r="C971" i="5"/>
  <c r="B971" i="5"/>
  <c r="F980" i="5"/>
  <c r="E980" i="5"/>
  <c r="C980" i="5"/>
  <c r="B980" i="5"/>
  <c r="F989" i="5"/>
  <c r="E989" i="5"/>
  <c r="C989" i="5"/>
  <c r="B989" i="5"/>
  <c r="F998" i="5"/>
  <c r="E998" i="5"/>
  <c r="C998" i="5"/>
  <c r="B998" i="5"/>
  <c r="F27" i="5"/>
  <c r="E27" i="5"/>
  <c r="C27" i="5"/>
  <c r="B27" i="5"/>
  <c r="F36" i="5"/>
  <c r="E36" i="5"/>
  <c r="C36" i="5"/>
  <c r="B36" i="5"/>
  <c r="F45" i="5"/>
  <c r="E45" i="5"/>
  <c r="C45" i="5"/>
  <c r="B45" i="5"/>
  <c r="F54" i="5"/>
  <c r="E54" i="5"/>
  <c r="C54" i="5"/>
  <c r="B54" i="5"/>
  <c r="F60" i="5"/>
  <c r="E60" i="5"/>
  <c r="C60" i="5"/>
  <c r="B60" i="5"/>
  <c r="F63" i="5"/>
  <c r="E63" i="5"/>
  <c r="C63" i="5"/>
  <c r="B63" i="5"/>
  <c r="F72" i="5"/>
  <c r="E72" i="5"/>
  <c r="C72" i="5"/>
  <c r="B72" i="5"/>
  <c r="F81" i="5"/>
  <c r="E81" i="5"/>
  <c r="C81" i="5"/>
  <c r="B81" i="5"/>
  <c r="F87" i="5"/>
  <c r="E87" i="5"/>
  <c r="B87" i="5"/>
  <c r="C87" i="5"/>
  <c r="F90" i="5"/>
  <c r="E90" i="5"/>
  <c r="C90" i="5"/>
  <c r="B90" i="5"/>
  <c r="F99" i="5"/>
  <c r="E99" i="5"/>
  <c r="C99" i="5"/>
  <c r="B99" i="5"/>
  <c r="F108" i="5"/>
  <c r="E108" i="5"/>
  <c r="C108" i="5"/>
  <c r="B108" i="5"/>
  <c r="F117" i="5"/>
  <c r="E117" i="5"/>
  <c r="C117" i="5"/>
  <c r="B117" i="5"/>
  <c r="E126" i="5"/>
  <c r="F126" i="5"/>
  <c r="C126" i="5"/>
  <c r="B126" i="5"/>
  <c r="F135" i="5"/>
  <c r="E135" i="5"/>
  <c r="C135" i="5"/>
  <c r="B135" i="5"/>
  <c r="F141" i="5"/>
  <c r="E141" i="5"/>
  <c r="B141" i="5"/>
  <c r="C141" i="5"/>
  <c r="F144" i="5"/>
  <c r="E144" i="5"/>
  <c r="C144" i="5"/>
  <c r="B144" i="5"/>
  <c r="F153" i="5"/>
  <c r="E153" i="5"/>
  <c r="C153" i="5"/>
  <c r="B153" i="5"/>
  <c r="F162" i="5"/>
  <c r="E162" i="5"/>
  <c r="C162" i="5"/>
  <c r="B162" i="5"/>
  <c r="F168" i="5"/>
  <c r="E168" i="5"/>
  <c r="B168" i="5"/>
  <c r="C168" i="5"/>
  <c r="F171" i="5"/>
  <c r="E171" i="5"/>
  <c r="C171" i="5"/>
  <c r="B171" i="5"/>
  <c r="F180" i="5"/>
  <c r="E180" i="5"/>
  <c r="C180" i="5"/>
  <c r="B180" i="5"/>
  <c r="F189" i="5"/>
  <c r="E189" i="5"/>
  <c r="C189" i="5"/>
  <c r="B189" i="5"/>
  <c r="F198" i="5"/>
  <c r="E198" i="5"/>
  <c r="C198" i="5"/>
  <c r="B198" i="5"/>
  <c r="F207" i="5"/>
  <c r="E207" i="5"/>
  <c r="C207" i="5"/>
  <c r="B207" i="5"/>
  <c r="F216" i="5"/>
  <c r="E216" i="5"/>
  <c r="C216" i="5"/>
  <c r="B216" i="5"/>
  <c r="F222" i="5"/>
  <c r="E222" i="5"/>
  <c r="B222" i="5"/>
  <c r="C222" i="5"/>
  <c r="F225" i="5"/>
  <c r="E225" i="5"/>
  <c r="C225" i="5"/>
  <c r="B225" i="5"/>
  <c r="F234" i="5"/>
  <c r="E234" i="5"/>
  <c r="C234" i="5"/>
  <c r="B234" i="5"/>
  <c r="F252" i="5"/>
  <c r="E252" i="5"/>
  <c r="C252" i="5"/>
  <c r="B252" i="5"/>
  <c r="F261" i="5"/>
  <c r="E261" i="5"/>
  <c r="C261" i="5"/>
  <c r="B261" i="5"/>
  <c r="F267" i="5"/>
  <c r="E267" i="5"/>
  <c r="B267" i="5"/>
  <c r="C267" i="5"/>
  <c r="F270" i="5"/>
  <c r="E270" i="5"/>
  <c r="C270" i="5"/>
  <c r="B270" i="5"/>
  <c r="F276" i="5"/>
  <c r="E276" i="5"/>
  <c r="B276" i="5"/>
  <c r="C276" i="5"/>
  <c r="F279" i="5"/>
  <c r="E279" i="5"/>
  <c r="C279" i="5"/>
  <c r="B279" i="5"/>
  <c r="F288" i="5"/>
  <c r="E288" i="5"/>
  <c r="C288" i="5"/>
  <c r="B288" i="5"/>
  <c r="F294" i="5"/>
  <c r="E294" i="5"/>
  <c r="B294" i="5"/>
  <c r="C294" i="5"/>
  <c r="F297" i="5"/>
  <c r="E297" i="5"/>
  <c r="C297" i="5"/>
  <c r="B297" i="5"/>
  <c r="F303" i="5"/>
  <c r="E303" i="5"/>
  <c r="B303" i="5"/>
  <c r="C303" i="5"/>
  <c r="F306" i="5"/>
  <c r="E306" i="5"/>
  <c r="C306" i="5"/>
  <c r="B306" i="5"/>
  <c r="F315" i="5"/>
  <c r="E315" i="5"/>
  <c r="C315" i="5"/>
  <c r="B315" i="5"/>
  <c r="F321" i="5"/>
  <c r="E321" i="5"/>
  <c r="B321" i="5"/>
  <c r="C321" i="5"/>
  <c r="F324" i="5"/>
  <c r="E324" i="5"/>
  <c r="C324" i="5"/>
  <c r="B324" i="5"/>
  <c r="F330" i="5"/>
  <c r="E330" i="5"/>
  <c r="B330" i="5"/>
  <c r="C330" i="5"/>
  <c r="F333" i="5"/>
  <c r="E333" i="5"/>
  <c r="C333" i="5"/>
  <c r="B333" i="5"/>
  <c r="F342" i="5"/>
  <c r="E342" i="5"/>
  <c r="C342" i="5"/>
  <c r="B342" i="5"/>
  <c r="F348" i="5"/>
  <c r="E348" i="5"/>
  <c r="B348" i="5"/>
  <c r="C348" i="5"/>
  <c r="F351" i="5"/>
  <c r="E351" i="5"/>
  <c r="C351" i="5"/>
  <c r="B351" i="5"/>
  <c r="F360" i="5"/>
  <c r="E360" i="5"/>
  <c r="C360" i="5"/>
  <c r="B360" i="5"/>
  <c r="F366" i="5"/>
  <c r="E366" i="5"/>
  <c r="C366" i="5"/>
  <c r="B366" i="5"/>
  <c r="F369" i="5"/>
  <c r="E369" i="5"/>
  <c r="C369" i="5"/>
  <c r="B369" i="5"/>
  <c r="F375" i="5"/>
  <c r="E375" i="5"/>
  <c r="B375" i="5"/>
  <c r="C375" i="5"/>
  <c r="F378" i="5"/>
  <c r="E378" i="5"/>
  <c r="C378" i="5"/>
  <c r="B378" i="5"/>
  <c r="F387" i="5"/>
  <c r="E387" i="5"/>
  <c r="C387" i="5"/>
  <c r="B387" i="5"/>
  <c r="F393" i="5"/>
  <c r="E393" i="5"/>
  <c r="C393" i="5"/>
  <c r="B393" i="5"/>
  <c r="F396" i="5"/>
  <c r="E396" i="5"/>
  <c r="C396" i="5"/>
  <c r="B396" i="5"/>
  <c r="F402" i="5"/>
  <c r="E402" i="5"/>
  <c r="B402" i="5"/>
  <c r="C402" i="5"/>
  <c r="F405" i="5"/>
  <c r="E405" i="5"/>
  <c r="C405" i="5"/>
  <c r="B405" i="5"/>
  <c r="E414" i="5"/>
  <c r="F414" i="5"/>
  <c r="C414" i="5"/>
  <c r="B414" i="5"/>
  <c r="F420" i="5"/>
  <c r="E420" i="5"/>
  <c r="C420" i="5"/>
  <c r="B420" i="5"/>
  <c r="F423" i="5"/>
  <c r="E423" i="5"/>
  <c r="C423" i="5"/>
  <c r="B423" i="5"/>
  <c r="F432" i="5"/>
  <c r="E432" i="5"/>
  <c r="C432" i="5"/>
  <c r="B432" i="5"/>
  <c r="F441" i="5"/>
  <c r="E441" i="5"/>
  <c r="C441" i="5"/>
  <c r="B441" i="5"/>
  <c r="F450" i="5"/>
  <c r="E450" i="5"/>
  <c r="C450" i="5"/>
  <c r="B450" i="5"/>
  <c r="F459" i="5"/>
  <c r="E459" i="5"/>
  <c r="C459" i="5"/>
  <c r="B459" i="5"/>
  <c r="E468" i="5"/>
  <c r="C468" i="5"/>
  <c r="B468" i="5"/>
  <c r="F468" i="5"/>
  <c r="F477" i="5"/>
  <c r="E477" i="5"/>
  <c r="C477" i="5"/>
  <c r="B477" i="5"/>
  <c r="F486" i="5"/>
  <c r="E486" i="5"/>
  <c r="C486" i="5"/>
  <c r="B486" i="5"/>
  <c r="E495" i="5"/>
  <c r="F495" i="5"/>
  <c r="C495" i="5"/>
  <c r="B495" i="5"/>
  <c r="F504" i="5"/>
  <c r="E504" i="5"/>
  <c r="C504" i="5"/>
  <c r="B504" i="5"/>
  <c r="F513" i="5"/>
  <c r="E513" i="5"/>
  <c r="C513" i="5"/>
  <c r="B513" i="5"/>
  <c r="F522" i="5"/>
  <c r="E522" i="5"/>
  <c r="C522" i="5"/>
  <c r="B522" i="5"/>
  <c r="F531" i="5"/>
  <c r="E531" i="5"/>
  <c r="B531" i="5"/>
  <c r="C531" i="5"/>
  <c r="F540" i="5"/>
  <c r="E540" i="5"/>
  <c r="C540" i="5"/>
  <c r="B540" i="5"/>
  <c r="E549" i="5"/>
  <c r="F549" i="5"/>
  <c r="C549" i="5"/>
  <c r="B549" i="5"/>
  <c r="F558" i="5"/>
  <c r="E558" i="5"/>
  <c r="B558" i="5"/>
  <c r="C558" i="5"/>
  <c r="F567" i="5"/>
  <c r="E567" i="5"/>
  <c r="C567" i="5"/>
  <c r="B567" i="5"/>
  <c r="E576" i="5"/>
  <c r="F576" i="5"/>
  <c r="C576" i="5"/>
  <c r="B576" i="5"/>
  <c r="F585" i="5"/>
  <c r="E585" i="5"/>
  <c r="B585" i="5"/>
  <c r="C585" i="5"/>
  <c r="F594" i="5"/>
  <c r="E594" i="5"/>
  <c r="C594" i="5"/>
  <c r="B594" i="5"/>
  <c r="F603" i="5"/>
  <c r="E603" i="5"/>
  <c r="C603" i="5"/>
  <c r="B603" i="5"/>
  <c r="F612" i="5"/>
  <c r="E612" i="5"/>
  <c r="B612" i="5"/>
  <c r="C612" i="5"/>
  <c r="F621" i="5"/>
  <c r="E621" i="5"/>
  <c r="C621" i="5"/>
  <c r="B621" i="5"/>
  <c r="F630" i="5"/>
  <c r="E630" i="5"/>
  <c r="C630" i="5"/>
  <c r="B630" i="5"/>
  <c r="F639" i="5"/>
  <c r="E639" i="5"/>
  <c r="B639" i="5"/>
  <c r="C639" i="5"/>
  <c r="F648" i="5"/>
  <c r="E648" i="5"/>
  <c r="C648" i="5"/>
  <c r="B648" i="5"/>
  <c r="F657" i="5"/>
  <c r="E657" i="5"/>
  <c r="C657" i="5"/>
  <c r="B657" i="5"/>
  <c r="F666" i="5"/>
  <c r="E666" i="5"/>
  <c r="C666" i="5"/>
  <c r="B666" i="5"/>
  <c r="F675" i="5"/>
  <c r="E675" i="5"/>
  <c r="C675" i="5"/>
  <c r="B675" i="5"/>
  <c r="F684" i="5"/>
  <c r="E684" i="5"/>
  <c r="C684" i="5"/>
  <c r="B684" i="5"/>
  <c r="F693" i="5"/>
  <c r="E693" i="5"/>
  <c r="C693" i="5"/>
  <c r="B693" i="5"/>
  <c r="F702" i="5"/>
  <c r="E702" i="5"/>
  <c r="C702" i="5"/>
  <c r="B702" i="5"/>
  <c r="F711" i="5"/>
  <c r="E711" i="5"/>
  <c r="C711" i="5"/>
  <c r="B711" i="5"/>
  <c r="F720" i="5"/>
  <c r="E720" i="5"/>
  <c r="C720" i="5"/>
  <c r="B720" i="5"/>
  <c r="F729" i="5"/>
  <c r="E729" i="5"/>
  <c r="B729" i="5"/>
  <c r="C729" i="5"/>
  <c r="F738" i="5"/>
  <c r="E738" i="5"/>
  <c r="C738" i="5"/>
  <c r="B738" i="5"/>
  <c r="F747" i="5"/>
  <c r="E747" i="5"/>
  <c r="C747" i="5"/>
  <c r="B747" i="5"/>
  <c r="F756" i="5"/>
  <c r="E756" i="5"/>
  <c r="B756" i="5"/>
  <c r="C756" i="5"/>
  <c r="F765" i="5"/>
  <c r="E765" i="5"/>
  <c r="C765" i="5"/>
  <c r="B765" i="5"/>
  <c r="F774" i="5"/>
  <c r="E774" i="5"/>
  <c r="C774" i="5"/>
  <c r="B774" i="5"/>
  <c r="F783" i="5"/>
  <c r="E783" i="5"/>
  <c r="B783" i="5"/>
  <c r="C783" i="5"/>
  <c r="F792" i="5"/>
  <c r="E792" i="5"/>
  <c r="C792" i="5"/>
  <c r="B792" i="5"/>
  <c r="F801" i="5"/>
  <c r="E801" i="5"/>
  <c r="B801" i="5"/>
  <c r="C801" i="5"/>
  <c r="F810" i="5"/>
  <c r="E810" i="5"/>
  <c r="C810" i="5"/>
  <c r="B810" i="5"/>
  <c r="F819" i="5"/>
  <c r="E819" i="5"/>
  <c r="C819" i="5"/>
  <c r="B819" i="5"/>
  <c r="F825" i="5"/>
  <c r="E825" i="5"/>
  <c r="B825" i="5"/>
  <c r="C825" i="5"/>
  <c r="F834" i="5"/>
  <c r="E834" i="5"/>
  <c r="B834" i="5"/>
  <c r="C834" i="5"/>
  <c r="F843" i="5"/>
  <c r="E843" i="5"/>
  <c r="B843" i="5"/>
  <c r="C843" i="5"/>
  <c r="F852" i="5"/>
  <c r="E852" i="5"/>
  <c r="B852" i="5"/>
  <c r="C852" i="5"/>
  <c r="F861" i="5"/>
  <c r="E861" i="5"/>
  <c r="B861" i="5"/>
  <c r="C861" i="5"/>
  <c r="F870" i="5"/>
  <c r="E870" i="5"/>
  <c r="B870" i="5"/>
  <c r="C870" i="5"/>
  <c r="F879" i="5"/>
  <c r="E879" i="5"/>
  <c r="B879" i="5"/>
  <c r="C879" i="5"/>
  <c r="F888" i="5"/>
  <c r="E888" i="5"/>
  <c r="B888" i="5"/>
  <c r="C888" i="5"/>
  <c r="F897" i="5"/>
  <c r="E897" i="5"/>
  <c r="B897" i="5"/>
  <c r="C897" i="5"/>
  <c r="F906" i="5"/>
  <c r="E906" i="5"/>
  <c r="B906" i="5"/>
  <c r="C906" i="5"/>
  <c r="F915" i="5"/>
  <c r="E915" i="5"/>
  <c r="B915" i="5"/>
  <c r="C915" i="5"/>
  <c r="F924" i="5"/>
  <c r="E924" i="5"/>
  <c r="B924" i="5"/>
  <c r="C924" i="5"/>
  <c r="F933" i="5"/>
  <c r="E933" i="5"/>
  <c r="B933" i="5"/>
  <c r="C933" i="5"/>
  <c r="F942" i="5"/>
  <c r="E942" i="5"/>
  <c r="B942" i="5"/>
  <c r="C942" i="5"/>
  <c r="F951" i="5"/>
  <c r="E951" i="5"/>
  <c r="B951" i="5"/>
  <c r="C951" i="5"/>
  <c r="F960" i="5"/>
  <c r="E960" i="5"/>
  <c r="B960" i="5"/>
  <c r="C960" i="5"/>
  <c r="F969" i="5"/>
  <c r="E969" i="5"/>
  <c r="B969" i="5"/>
  <c r="C969" i="5"/>
  <c r="F978" i="5"/>
  <c r="E978" i="5"/>
  <c r="B978" i="5"/>
  <c r="C978" i="5"/>
  <c r="F987" i="5"/>
  <c r="E987" i="5"/>
  <c r="B987" i="5"/>
  <c r="C987" i="5"/>
  <c r="F996" i="5"/>
  <c r="E996" i="5"/>
  <c r="B996" i="5"/>
  <c r="C996" i="5"/>
  <c r="N118" i="5"/>
  <c r="I118" i="5"/>
  <c r="N139" i="5"/>
  <c r="I139" i="5"/>
  <c r="N175" i="5"/>
  <c r="I175" i="5"/>
  <c r="N193" i="5"/>
  <c r="I193" i="5"/>
  <c r="N211" i="5"/>
  <c r="I211" i="5"/>
  <c r="N337" i="5"/>
  <c r="I337" i="5"/>
  <c r="N355" i="5"/>
  <c r="I355" i="5"/>
  <c r="N373" i="5"/>
  <c r="I373" i="5"/>
  <c r="N394" i="5"/>
  <c r="I394" i="5"/>
  <c r="N412" i="5"/>
  <c r="I412" i="5"/>
  <c r="N430" i="5"/>
  <c r="I430" i="5"/>
  <c r="N460" i="5"/>
  <c r="I460" i="5"/>
  <c r="N481" i="5"/>
  <c r="I481" i="5"/>
  <c r="N64" i="5"/>
  <c r="I64" i="5"/>
  <c r="N88" i="5"/>
  <c r="I88" i="5"/>
  <c r="N124" i="5"/>
  <c r="I124" i="5"/>
  <c r="N172" i="5"/>
  <c r="I172" i="5"/>
  <c r="N199" i="5"/>
  <c r="I199" i="5"/>
  <c r="N229" i="5"/>
  <c r="I229" i="5"/>
  <c r="N256" i="5"/>
  <c r="I256" i="5"/>
  <c r="N274" i="5"/>
  <c r="I274" i="5"/>
  <c r="N304" i="5"/>
  <c r="I304" i="5"/>
  <c r="N334" i="5"/>
  <c r="I334" i="5"/>
  <c r="N361" i="5"/>
  <c r="I361" i="5"/>
  <c r="N391" i="5"/>
  <c r="I391" i="5"/>
  <c r="N418" i="5"/>
  <c r="I418" i="5"/>
  <c r="N457" i="5"/>
  <c r="I457" i="5"/>
  <c r="N475" i="5"/>
  <c r="I475" i="5"/>
  <c r="N487" i="5"/>
  <c r="I487" i="5"/>
  <c r="N502" i="5"/>
  <c r="I502" i="5"/>
  <c r="N517" i="5"/>
  <c r="I517" i="5"/>
  <c r="N553" i="5"/>
  <c r="I553" i="5"/>
  <c r="N601" i="5"/>
  <c r="I601" i="5"/>
  <c r="N619" i="5"/>
  <c r="I619" i="5"/>
  <c r="N640" i="5"/>
  <c r="I640" i="5"/>
  <c r="N679" i="5"/>
  <c r="I679" i="5"/>
  <c r="N715" i="5"/>
  <c r="I715" i="5"/>
  <c r="N772" i="5"/>
  <c r="I772" i="5"/>
  <c r="N796" i="5"/>
  <c r="I796" i="5"/>
  <c r="N829" i="5"/>
  <c r="I829" i="5"/>
  <c r="N892" i="5"/>
  <c r="I892" i="5"/>
  <c r="N919" i="5"/>
  <c r="I919" i="5"/>
  <c r="N958" i="5"/>
  <c r="I958" i="5"/>
  <c r="N1000" i="5"/>
  <c r="I1000" i="5"/>
  <c r="N47" i="5"/>
  <c r="I47" i="5"/>
  <c r="N74" i="5"/>
  <c r="I74" i="5"/>
  <c r="N104" i="5"/>
  <c r="I104" i="5"/>
  <c r="I134" i="5"/>
  <c r="N134" i="5"/>
  <c r="I152" i="5"/>
  <c r="N152" i="5"/>
  <c r="N182" i="5"/>
  <c r="I182" i="5"/>
  <c r="N230" i="5"/>
  <c r="I230" i="5"/>
  <c r="N260" i="5"/>
  <c r="I260" i="5"/>
  <c r="I281" i="5"/>
  <c r="N281" i="5"/>
  <c r="I308" i="5"/>
  <c r="N308" i="5"/>
  <c r="I335" i="5"/>
  <c r="N335" i="5"/>
  <c r="N365" i="5"/>
  <c r="I365" i="5"/>
  <c r="N374" i="5"/>
  <c r="I374" i="5"/>
  <c r="I380" i="5"/>
  <c r="N380" i="5"/>
  <c r="N383" i="5"/>
  <c r="I383" i="5"/>
  <c r="I407" i="5"/>
  <c r="N407" i="5"/>
  <c r="N410" i="5"/>
  <c r="I410" i="5"/>
  <c r="I425" i="5"/>
  <c r="N425" i="5"/>
  <c r="I434" i="5"/>
  <c r="N434" i="5"/>
  <c r="I443" i="5"/>
  <c r="N443" i="5"/>
  <c r="I452" i="5"/>
  <c r="N452" i="5"/>
  <c r="I461" i="5"/>
  <c r="N461" i="5"/>
  <c r="I470" i="5"/>
  <c r="N470" i="5"/>
  <c r="I479" i="5"/>
  <c r="N479" i="5"/>
  <c r="I488" i="5"/>
  <c r="N488" i="5"/>
  <c r="N500" i="5"/>
  <c r="I500" i="5"/>
  <c r="I512" i="5"/>
  <c r="N512" i="5"/>
  <c r="I521" i="5"/>
  <c r="N521" i="5"/>
  <c r="I530" i="5"/>
  <c r="N530" i="5"/>
  <c r="I539" i="5"/>
  <c r="N539" i="5"/>
  <c r="I548" i="5"/>
  <c r="N548" i="5"/>
  <c r="I557" i="5"/>
  <c r="N557" i="5"/>
  <c r="I566" i="5"/>
  <c r="N566" i="5"/>
  <c r="I578" i="5"/>
  <c r="N578" i="5"/>
  <c r="N590" i="5"/>
  <c r="I590" i="5"/>
  <c r="N599" i="5"/>
  <c r="I599" i="5"/>
  <c r="N608" i="5"/>
  <c r="I608" i="5"/>
  <c r="N617" i="5"/>
  <c r="I617" i="5"/>
  <c r="N626" i="5"/>
  <c r="I626" i="5"/>
  <c r="N644" i="5"/>
  <c r="I644" i="5"/>
  <c r="N653" i="5"/>
  <c r="I653" i="5"/>
  <c r="N671" i="5"/>
  <c r="I671" i="5"/>
  <c r="N680" i="5"/>
  <c r="I680" i="5"/>
  <c r="N698" i="5"/>
  <c r="I698" i="5"/>
  <c r="N707" i="5"/>
  <c r="I707" i="5"/>
  <c r="N725" i="5"/>
  <c r="I725" i="5"/>
  <c r="N734" i="5"/>
  <c r="I734" i="5"/>
  <c r="N752" i="5"/>
  <c r="I752" i="5"/>
  <c r="N761" i="5"/>
  <c r="I761" i="5"/>
  <c r="N779" i="5"/>
  <c r="I779" i="5"/>
  <c r="N788" i="5"/>
  <c r="I788" i="5"/>
  <c r="N806" i="5"/>
  <c r="I806" i="5"/>
  <c r="N815" i="5"/>
  <c r="I815" i="5"/>
  <c r="N833" i="5"/>
  <c r="I833" i="5"/>
  <c r="N842" i="5"/>
  <c r="I842" i="5"/>
  <c r="N860" i="5"/>
  <c r="I860" i="5"/>
  <c r="N869" i="5"/>
  <c r="I869" i="5"/>
  <c r="N878" i="5"/>
  <c r="I878" i="5"/>
  <c r="N887" i="5"/>
  <c r="I887" i="5"/>
  <c r="N896" i="5"/>
  <c r="I896" i="5"/>
  <c r="N905" i="5"/>
  <c r="I905" i="5"/>
  <c r="N914" i="5"/>
  <c r="I914" i="5"/>
  <c r="N923" i="5"/>
  <c r="I923" i="5"/>
  <c r="N932" i="5"/>
  <c r="I932" i="5"/>
  <c r="N941" i="5"/>
  <c r="I941" i="5"/>
  <c r="N950" i="5"/>
  <c r="I950" i="5"/>
  <c r="N959" i="5"/>
  <c r="I959" i="5"/>
  <c r="N968" i="5"/>
  <c r="I968" i="5"/>
  <c r="N977" i="5"/>
  <c r="I977" i="5"/>
  <c r="N986" i="5"/>
  <c r="I986" i="5"/>
  <c r="N995" i="5"/>
  <c r="I995" i="5"/>
  <c r="I24" i="5"/>
  <c r="N24" i="5"/>
  <c r="I33" i="5"/>
  <c r="N33" i="5"/>
  <c r="I42" i="5"/>
  <c r="N42" i="5"/>
  <c r="I51" i="5"/>
  <c r="N51" i="5"/>
  <c r="I69" i="5"/>
  <c r="N69" i="5"/>
  <c r="I78" i="5"/>
  <c r="N78" i="5"/>
  <c r="I96" i="5"/>
  <c r="N96" i="5"/>
  <c r="I105" i="5"/>
  <c r="N105" i="5"/>
  <c r="I114" i="5"/>
  <c r="N114" i="5"/>
  <c r="I123" i="5"/>
  <c r="N123" i="5"/>
  <c r="I132" i="5"/>
  <c r="N132" i="5"/>
  <c r="I150" i="5"/>
  <c r="N150" i="5"/>
  <c r="I159" i="5"/>
  <c r="N159" i="5"/>
  <c r="I177" i="5"/>
  <c r="N177" i="5"/>
  <c r="I186" i="5"/>
  <c r="N186" i="5"/>
  <c r="I195" i="5"/>
  <c r="N195" i="5"/>
  <c r="I204" i="5"/>
  <c r="N204" i="5"/>
  <c r="I213" i="5"/>
  <c r="N213" i="5"/>
  <c r="I231" i="5"/>
  <c r="N231" i="5"/>
  <c r="I240" i="5"/>
  <c r="N240" i="5"/>
  <c r="I249" i="5"/>
  <c r="N249" i="5"/>
  <c r="I258" i="5"/>
  <c r="N258" i="5"/>
  <c r="N285" i="5"/>
  <c r="I285" i="5"/>
  <c r="N312" i="5"/>
  <c r="I312" i="5"/>
  <c r="N339" i="5"/>
  <c r="I339" i="5"/>
  <c r="N357" i="5"/>
  <c r="I357" i="5"/>
  <c r="N384" i="5"/>
  <c r="I384" i="5"/>
  <c r="N411" i="5"/>
  <c r="I411" i="5"/>
  <c r="N429" i="5"/>
  <c r="I429" i="5"/>
  <c r="N438" i="5"/>
  <c r="I438" i="5"/>
  <c r="N447" i="5"/>
  <c r="I447" i="5"/>
  <c r="N456" i="5"/>
  <c r="I456" i="5"/>
  <c r="N465" i="5"/>
  <c r="I465" i="5"/>
  <c r="N474" i="5"/>
  <c r="I474" i="5"/>
  <c r="N483" i="5"/>
  <c r="I483" i="5"/>
  <c r="N492" i="5"/>
  <c r="I492" i="5"/>
  <c r="N501" i="5"/>
  <c r="I501" i="5"/>
  <c r="N510" i="5"/>
  <c r="I510" i="5"/>
  <c r="N519" i="5"/>
  <c r="I519" i="5"/>
  <c r="N528" i="5"/>
  <c r="I528" i="5"/>
  <c r="N537" i="5"/>
  <c r="I537" i="5"/>
  <c r="N546" i="5"/>
  <c r="I546" i="5"/>
  <c r="N555" i="5"/>
  <c r="I555" i="5"/>
  <c r="N564" i="5"/>
  <c r="I564" i="5"/>
  <c r="N573" i="5"/>
  <c r="I573" i="5"/>
  <c r="N582" i="5"/>
  <c r="I582" i="5"/>
  <c r="N591" i="5"/>
  <c r="I591" i="5"/>
  <c r="N600" i="5"/>
  <c r="I600" i="5"/>
  <c r="N609" i="5"/>
  <c r="I609" i="5"/>
  <c r="N618" i="5"/>
  <c r="I618" i="5"/>
  <c r="N627" i="5"/>
  <c r="I627" i="5"/>
  <c r="N636" i="5"/>
  <c r="I636" i="5"/>
  <c r="N645" i="5"/>
  <c r="I645" i="5"/>
  <c r="N651" i="5"/>
  <c r="I651" i="5"/>
  <c r="N654" i="5"/>
  <c r="I654" i="5"/>
  <c r="N663" i="5"/>
  <c r="I663" i="5"/>
  <c r="I669" i="5"/>
  <c r="N669" i="5"/>
  <c r="N672" i="5"/>
  <c r="I672" i="5"/>
  <c r="N678" i="5"/>
  <c r="I678" i="5"/>
  <c r="N681" i="5"/>
  <c r="I681" i="5"/>
  <c r="N690" i="5"/>
  <c r="I690" i="5"/>
  <c r="I696" i="5"/>
  <c r="N696" i="5"/>
  <c r="N699" i="5"/>
  <c r="I699" i="5"/>
  <c r="N705" i="5"/>
  <c r="I705" i="5"/>
  <c r="N708" i="5"/>
  <c r="I708" i="5"/>
  <c r="N717" i="5"/>
  <c r="I717" i="5"/>
  <c r="I723" i="5"/>
  <c r="N723" i="5"/>
  <c r="N726" i="5"/>
  <c r="I726" i="5"/>
  <c r="N732" i="5"/>
  <c r="I732" i="5"/>
  <c r="N735" i="5"/>
  <c r="I735" i="5"/>
  <c r="N744" i="5"/>
  <c r="I744" i="5"/>
  <c r="I750" i="5"/>
  <c r="N750" i="5"/>
  <c r="N753" i="5"/>
  <c r="I753" i="5"/>
  <c r="N759" i="5"/>
  <c r="I759" i="5"/>
  <c r="N762" i="5"/>
  <c r="I762" i="5"/>
  <c r="N771" i="5"/>
  <c r="I771" i="5"/>
  <c r="I777" i="5"/>
  <c r="N777" i="5"/>
  <c r="N780" i="5"/>
  <c r="I780" i="5"/>
  <c r="N786" i="5"/>
  <c r="I786" i="5"/>
  <c r="N789" i="5"/>
  <c r="I789" i="5"/>
  <c r="N798" i="5"/>
  <c r="I798" i="5"/>
  <c r="I804" i="5"/>
  <c r="N804" i="5"/>
  <c r="N807" i="5"/>
  <c r="I807" i="5"/>
  <c r="N813" i="5"/>
  <c r="I813" i="5"/>
  <c r="N816" i="5"/>
  <c r="I816" i="5"/>
  <c r="N28" i="5"/>
  <c r="I28" i="5"/>
  <c r="N37" i="5"/>
  <c r="I37" i="5"/>
  <c r="N46" i="5"/>
  <c r="I46" i="5"/>
  <c r="N58" i="5"/>
  <c r="I58" i="5"/>
  <c r="N91" i="5"/>
  <c r="I91" i="5"/>
  <c r="N109" i="5"/>
  <c r="I109" i="5"/>
  <c r="N184" i="5"/>
  <c r="I184" i="5"/>
  <c r="N202" i="5"/>
  <c r="I202" i="5"/>
  <c r="N223" i="5"/>
  <c r="I223" i="5"/>
  <c r="N232" i="5"/>
  <c r="I232" i="5"/>
  <c r="N241" i="5"/>
  <c r="I241" i="5"/>
  <c r="N250" i="5"/>
  <c r="I250" i="5"/>
  <c r="N259" i="5"/>
  <c r="I259" i="5"/>
  <c r="N268" i="5"/>
  <c r="I268" i="5"/>
  <c r="N286" i="5"/>
  <c r="I286" i="5"/>
  <c r="N307" i="5"/>
  <c r="I307" i="5"/>
  <c r="N328" i="5"/>
  <c r="I328" i="5"/>
  <c r="N403" i="5"/>
  <c r="I403" i="5"/>
  <c r="N421" i="5"/>
  <c r="I421" i="5"/>
  <c r="N472" i="5"/>
  <c r="I472" i="5"/>
  <c r="N490" i="5"/>
  <c r="I490" i="5"/>
  <c r="N532" i="5"/>
  <c r="I532" i="5"/>
  <c r="N25" i="5"/>
  <c r="I25" i="5"/>
  <c r="N34" i="5"/>
  <c r="I34" i="5"/>
  <c r="N43" i="5"/>
  <c r="I43" i="5"/>
  <c r="N52" i="5"/>
  <c r="I52" i="5"/>
  <c r="N73" i="5"/>
  <c r="I73" i="5"/>
  <c r="N79" i="5"/>
  <c r="I79" i="5"/>
  <c r="N97" i="5"/>
  <c r="I97" i="5"/>
  <c r="N106" i="5"/>
  <c r="I106" i="5"/>
  <c r="N115" i="5"/>
  <c r="I115" i="5"/>
  <c r="N133" i="5"/>
  <c r="I133" i="5"/>
  <c r="N145" i="5"/>
  <c r="I145" i="5"/>
  <c r="N154" i="5"/>
  <c r="I154" i="5"/>
  <c r="N163" i="5"/>
  <c r="I163" i="5"/>
  <c r="N181" i="5"/>
  <c r="I181" i="5"/>
  <c r="N190" i="5"/>
  <c r="I190" i="5"/>
  <c r="N208" i="5"/>
  <c r="I208" i="5"/>
  <c r="N220" i="5"/>
  <c r="I220" i="5"/>
  <c r="N247" i="5"/>
  <c r="I247" i="5"/>
  <c r="N265" i="5"/>
  <c r="I265" i="5"/>
  <c r="N283" i="5"/>
  <c r="I283" i="5"/>
  <c r="N292" i="5"/>
  <c r="I292" i="5"/>
  <c r="N313" i="5"/>
  <c r="I313" i="5"/>
  <c r="N325" i="5"/>
  <c r="I325" i="5"/>
  <c r="N343" i="5"/>
  <c r="I343" i="5"/>
  <c r="N352" i="5"/>
  <c r="I352" i="5"/>
  <c r="N370" i="5"/>
  <c r="I370" i="5"/>
  <c r="N382" i="5"/>
  <c r="I382" i="5"/>
  <c r="N400" i="5"/>
  <c r="I400" i="5"/>
  <c r="N409" i="5"/>
  <c r="I409" i="5"/>
  <c r="N427" i="5"/>
  <c r="I427" i="5"/>
  <c r="N445" i="5"/>
  <c r="I445" i="5"/>
  <c r="N466" i="5"/>
  <c r="I466" i="5"/>
  <c r="N469" i="5"/>
  <c r="I469" i="5"/>
  <c r="N478" i="5"/>
  <c r="I478" i="5"/>
  <c r="N493" i="5"/>
  <c r="I493" i="5"/>
  <c r="N496" i="5"/>
  <c r="I496" i="5"/>
  <c r="N505" i="5"/>
  <c r="I505" i="5"/>
  <c r="N541" i="5"/>
  <c r="I541" i="5"/>
  <c r="N565" i="5"/>
  <c r="I565" i="5"/>
  <c r="N592" i="5"/>
  <c r="I592" i="5"/>
  <c r="N607" i="5"/>
  <c r="I607" i="5"/>
  <c r="N628" i="5"/>
  <c r="I628" i="5"/>
  <c r="N631" i="5"/>
  <c r="I631" i="5"/>
  <c r="N637" i="5"/>
  <c r="I637" i="5"/>
  <c r="N652" i="5"/>
  <c r="I652" i="5"/>
  <c r="N667" i="5"/>
  <c r="I667" i="5"/>
  <c r="N691" i="5"/>
  <c r="I691" i="5"/>
  <c r="N700" i="5"/>
  <c r="I700" i="5"/>
  <c r="N724" i="5"/>
  <c r="I724" i="5"/>
  <c r="N739" i="5"/>
  <c r="I739" i="5"/>
  <c r="N748" i="5"/>
  <c r="I748" i="5"/>
  <c r="N760" i="5"/>
  <c r="I760" i="5"/>
  <c r="N781" i="5"/>
  <c r="I781" i="5"/>
  <c r="N805" i="5"/>
  <c r="I805" i="5"/>
  <c r="N820" i="5"/>
  <c r="I820" i="5"/>
  <c r="N841" i="5"/>
  <c r="I841" i="5"/>
  <c r="N853" i="5"/>
  <c r="I853" i="5"/>
  <c r="N865" i="5"/>
  <c r="I865" i="5"/>
  <c r="N877" i="5"/>
  <c r="I877" i="5"/>
  <c r="N904" i="5"/>
  <c r="I904" i="5"/>
  <c r="N931" i="5"/>
  <c r="I931" i="5"/>
  <c r="N946" i="5"/>
  <c r="I946" i="5"/>
  <c r="N973" i="5"/>
  <c r="I973" i="5"/>
  <c r="N985" i="5"/>
  <c r="I985" i="5"/>
  <c r="I26" i="5"/>
  <c r="N26" i="5"/>
  <c r="N38" i="5"/>
  <c r="I38" i="5"/>
  <c r="I56" i="5"/>
  <c r="N56" i="5"/>
  <c r="N65" i="5"/>
  <c r="I65" i="5"/>
  <c r="I83" i="5"/>
  <c r="N83" i="5"/>
  <c r="N92" i="5"/>
  <c r="I92" i="5"/>
  <c r="N113" i="5"/>
  <c r="I113" i="5"/>
  <c r="I125" i="5"/>
  <c r="N125" i="5"/>
  <c r="I143" i="5"/>
  <c r="N143" i="5"/>
  <c r="I161" i="5"/>
  <c r="N161" i="5"/>
  <c r="I170" i="5"/>
  <c r="N170" i="5"/>
  <c r="I191" i="5"/>
  <c r="N191" i="5"/>
  <c r="N203" i="5"/>
  <c r="I203" i="5"/>
  <c r="N212" i="5"/>
  <c r="I212" i="5"/>
  <c r="N221" i="5"/>
  <c r="I221" i="5"/>
  <c r="N239" i="5"/>
  <c r="I239" i="5"/>
  <c r="N248" i="5"/>
  <c r="I248" i="5"/>
  <c r="I269" i="5"/>
  <c r="N269" i="5"/>
  <c r="I290" i="5"/>
  <c r="N290" i="5"/>
  <c r="I299" i="5"/>
  <c r="N299" i="5"/>
  <c r="I317" i="5"/>
  <c r="N317" i="5"/>
  <c r="I326" i="5"/>
  <c r="N326" i="5"/>
  <c r="I344" i="5"/>
  <c r="N344" i="5"/>
  <c r="I353" i="5"/>
  <c r="N353" i="5"/>
  <c r="N22" i="5"/>
  <c r="I22" i="5"/>
  <c r="N31" i="5"/>
  <c r="I31" i="5"/>
  <c r="N40" i="5"/>
  <c r="I40" i="5"/>
  <c r="N61" i="5"/>
  <c r="I61" i="5"/>
  <c r="N70" i="5"/>
  <c r="I70" i="5"/>
  <c r="N439" i="5"/>
  <c r="I439" i="5"/>
  <c r="N85" i="5"/>
  <c r="I85" i="5"/>
  <c r="N94" i="5"/>
  <c r="I94" i="5"/>
  <c r="N103" i="5"/>
  <c r="I103" i="5"/>
  <c r="N112" i="5"/>
  <c r="I112" i="5"/>
  <c r="N121" i="5"/>
  <c r="I121" i="5"/>
  <c r="N130" i="5"/>
  <c r="I130" i="5"/>
  <c r="N142" i="5"/>
  <c r="I142" i="5"/>
  <c r="N151" i="5"/>
  <c r="I151" i="5"/>
  <c r="N160" i="5"/>
  <c r="I160" i="5"/>
  <c r="N169" i="5"/>
  <c r="I169" i="5"/>
  <c r="N178" i="5"/>
  <c r="I178" i="5"/>
  <c r="N187" i="5"/>
  <c r="I187" i="5"/>
  <c r="N196" i="5"/>
  <c r="I196" i="5"/>
  <c r="N205" i="5"/>
  <c r="I205" i="5"/>
  <c r="N214" i="5"/>
  <c r="I214" i="5"/>
  <c r="N226" i="5"/>
  <c r="I226" i="5"/>
  <c r="N235" i="5"/>
  <c r="I235" i="5"/>
  <c r="N244" i="5"/>
  <c r="I244" i="5"/>
  <c r="N253" i="5"/>
  <c r="I253" i="5"/>
  <c r="N262" i="5"/>
  <c r="I262" i="5"/>
  <c r="N271" i="5"/>
  <c r="I271" i="5"/>
  <c r="N280" i="5"/>
  <c r="I280" i="5"/>
  <c r="N289" i="5"/>
  <c r="I289" i="5"/>
  <c r="N301" i="5"/>
  <c r="I301" i="5"/>
  <c r="N310" i="5"/>
  <c r="I310" i="5"/>
  <c r="N322" i="5"/>
  <c r="I322" i="5"/>
  <c r="N331" i="5"/>
  <c r="I331" i="5"/>
  <c r="N340" i="5"/>
  <c r="I340" i="5"/>
  <c r="N349" i="5"/>
  <c r="I349" i="5"/>
  <c r="N358" i="5"/>
  <c r="I358" i="5"/>
  <c r="N367" i="5"/>
  <c r="I367" i="5"/>
  <c r="N376" i="5"/>
  <c r="I376" i="5"/>
  <c r="N388" i="5"/>
  <c r="I388" i="5"/>
  <c r="N397" i="5"/>
  <c r="I397" i="5"/>
  <c r="N406" i="5"/>
  <c r="I406" i="5"/>
  <c r="N415" i="5"/>
  <c r="I415" i="5"/>
  <c r="N424" i="5"/>
  <c r="I424" i="5"/>
  <c r="N436" i="5"/>
  <c r="I436" i="5"/>
  <c r="N448" i="5"/>
  <c r="I448" i="5"/>
  <c r="N451" i="5"/>
  <c r="I451" i="5"/>
  <c r="N484" i="5"/>
  <c r="I484" i="5"/>
  <c r="N511" i="5"/>
  <c r="I511" i="5"/>
  <c r="N520" i="5"/>
  <c r="I520" i="5"/>
  <c r="N526" i="5"/>
  <c r="I526" i="5"/>
  <c r="N538" i="5"/>
  <c r="I538" i="5"/>
  <c r="N547" i="5"/>
  <c r="I547" i="5"/>
  <c r="N550" i="5"/>
  <c r="I550" i="5"/>
  <c r="N562" i="5"/>
  <c r="I562" i="5"/>
  <c r="N571" i="5"/>
  <c r="I571" i="5"/>
  <c r="N580" i="5"/>
  <c r="I580" i="5"/>
  <c r="N589" i="5"/>
  <c r="I589" i="5"/>
  <c r="N610" i="5"/>
  <c r="I610" i="5"/>
  <c r="N613" i="5"/>
  <c r="I613" i="5"/>
  <c r="N646" i="5"/>
  <c r="I646" i="5"/>
  <c r="N661" i="5"/>
  <c r="I661" i="5"/>
  <c r="N673" i="5"/>
  <c r="I673" i="5"/>
  <c r="N688" i="5"/>
  <c r="I688" i="5"/>
  <c r="N697" i="5"/>
  <c r="I697" i="5"/>
  <c r="N712" i="5"/>
  <c r="I712" i="5"/>
  <c r="N721" i="5"/>
  <c r="I721" i="5"/>
  <c r="N733" i="5"/>
  <c r="I733" i="5"/>
  <c r="N745" i="5"/>
  <c r="I745" i="5"/>
  <c r="N754" i="5"/>
  <c r="I754" i="5"/>
  <c r="N769" i="5"/>
  <c r="I769" i="5"/>
  <c r="N778" i="5"/>
  <c r="I778" i="5"/>
  <c r="N793" i="5"/>
  <c r="I793" i="5"/>
  <c r="N802" i="5"/>
  <c r="I802" i="5"/>
  <c r="N814" i="5"/>
  <c r="I814" i="5"/>
  <c r="N826" i="5"/>
  <c r="I826" i="5"/>
  <c r="N835" i="5"/>
  <c r="I835" i="5"/>
  <c r="N850" i="5"/>
  <c r="I850" i="5"/>
  <c r="N859" i="5"/>
  <c r="I859" i="5"/>
  <c r="N874" i="5"/>
  <c r="I874" i="5"/>
  <c r="N886" i="5"/>
  <c r="I886" i="5"/>
  <c r="N901" i="5"/>
  <c r="I901" i="5"/>
  <c r="N913" i="5"/>
  <c r="I913" i="5"/>
  <c r="N928" i="5"/>
  <c r="I928" i="5"/>
  <c r="N940" i="5"/>
  <c r="I940" i="5"/>
  <c r="N955" i="5"/>
  <c r="I955" i="5"/>
  <c r="N967" i="5"/>
  <c r="I967" i="5"/>
  <c r="N982" i="5"/>
  <c r="I982" i="5"/>
  <c r="N994" i="5"/>
  <c r="I994" i="5"/>
  <c r="N556" i="5"/>
  <c r="I556" i="5"/>
  <c r="N23" i="5"/>
  <c r="I23" i="5"/>
  <c r="N32" i="5"/>
  <c r="I32" i="5"/>
  <c r="I44" i="5"/>
  <c r="N44" i="5"/>
  <c r="I53" i="5"/>
  <c r="N53" i="5"/>
  <c r="I62" i="5"/>
  <c r="N62" i="5"/>
  <c r="I71" i="5"/>
  <c r="N71" i="5"/>
  <c r="I80" i="5"/>
  <c r="N80" i="5"/>
  <c r="I89" i="5"/>
  <c r="N89" i="5"/>
  <c r="N101" i="5"/>
  <c r="I101" i="5"/>
  <c r="I110" i="5"/>
  <c r="N110" i="5"/>
  <c r="N122" i="5"/>
  <c r="I122" i="5"/>
  <c r="N131" i="5"/>
  <c r="I131" i="5"/>
  <c r="N140" i="5"/>
  <c r="I140" i="5"/>
  <c r="N149" i="5"/>
  <c r="I149" i="5"/>
  <c r="N158" i="5"/>
  <c r="I158" i="5"/>
  <c r="N167" i="5"/>
  <c r="I167" i="5"/>
  <c r="I179" i="5"/>
  <c r="N179" i="5"/>
  <c r="I188" i="5"/>
  <c r="N188" i="5"/>
  <c r="N200" i="5"/>
  <c r="I200" i="5"/>
  <c r="N209" i="5"/>
  <c r="I209" i="5"/>
  <c r="I218" i="5"/>
  <c r="N218" i="5"/>
  <c r="N227" i="5"/>
  <c r="I227" i="5"/>
  <c r="N236" i="5"/>
  <c r="I236" i="5"/>
  <c r="I245" i="5"/>
  <c r="N245" i="5"/>
  <c r="N254" i="5"/>
  <c r="I254" i="5"/>
  <c r="N266" i="5"/>
  <c r="I266" i="5"/>
  <c r="N275" i="5"/>
  <c r="I275" i="5"/>
  <c r="I287" i="5"/>
  <c r="N287" i="5"/>
  <c r="I296" i="5"/>
  <c r="N296" i="5"/>
  <c r="I305" i="5"/>
  <c r="N305" i="5"/>
  <c r="I314" i="5"/>
  <c r="N314" i="5"/>
  <c r="I323" i="5"/>
  <c r="N323" i="5"/>
  <c r="I332" i="5"/>
  <c r="N332" i="5"/>
  <c r="I341" i="5"/>
  <c r="N341" i="5"/>
  <c r="I350" i="5"/>
  <c r="N350" i="5"/>
  <c r="I362" i="5"/>
  <c r="N362" i="5"/>
  <c r="I371" i="5"/>
  <c r="N371" i="5"/>
  <c r="I389" i="5"/>
  <c r="N389" i="5"/>
  <c r="I398" i="5"/>
  <c r="N398" i="5"/>
  <c r="N419" i="5"/>
  <c r="I419" i="5"/>
  <c r="I431" i="5"/>
  <c r="N431" i="5"/>
  <c r="I440" i="5"/>
  <c r="N440" i="5"/>
  <c r="I449" i="5"/>
  <c r="N449" i="5"/>
  <c r="I458" i="5"/>
  <c r="N458" i="5"/>
  <c r="I467" i="5"/>
  <c r="N467" i="5"/>
  <c r="I476" i="5"/>
  <c r="N476" i="5"/>
  <c r="I485" i="5"/>
  <c r="N485" i="5"/>
  <c r="I497" i="5"/>
  <c r="N497" i="5"/>
  <c r="N509" i="5"/>
  <c r="I509" i="5"/>
  <c r="N518" i="5"/>
  <c r="I518" i="5"/>
  <c r="N527" i="5"/>
  <c r="I527" i="5"/>
  <c r="N536" i="5"/>
  <c r="I536" i="5"/>
  <c r="N545" i="5"/>
  <c r="I545" i="5"/>
  <c r="N572" i="5"/>
  <c r="I572" i="5"/>
  <c r="I587" i="5"/>
  <c r="N587" i="5"/>
  <c r="I596" i="5"/>
  <c r="N596" i="5"/>
  <c r="I605" i="5"/>
  <c r="N605" i="5"/>
  <c r="I614" i="5"/>
  <c r="N614" i="5"/>
  <c r="I623" i="5"/>
  <c r="N623" i="5"/>
  <c r="I632" i="5"/>
  <c r="N632" i="5"/>
  <c r="I650" i="5"/>
  <c r="N650" i="5"/>
  <c r="I659" i="5"/>
  <c r="N659" i="5"/>
  <c r="I677" i="5"/>
  <c r="N677" i="5"/>
  <c r="I686" i="5"/>
  <c r="N686" i="5"/>
  <c r="I704" i="5"/>
  <c r="N704" i="5"/>
  <c r="I713" i="5"/>
  <c r="N713" i="5"/>
  <c r="I731" i="5"/>
  <c r="N731" i="5"/>
  <c r="I740" i="5"/>
  <c r="N740" i="5"/>
  <c r="I758" i="5"/>
  <c r="N758" i="5"/>
  <c r="I767" i="5"/>
  <c r="N767" i="5"/>
  <c r="I785" i="5"/>
  <c r="N785" i="5"/>
  <c r="I794" i="5"/>
  <c r="N794" i="5"/>
  <c r="I812" i="5"/>
  <c r="N812" i="5"/>
  <c r="I821" i="5"/>
  <c r="N821" i="5"/>
  <c r="I839" i="5"/>
  <c r="N839" i="5"/>
  <c r="I848" i="5"/>
  <c r="N848" i="5"/>
  <c r="I21" i="5"/>
  <c r="N21" i="5"/>
  <c r="I30" i="5"/>
  <c r="N30" i="5"/>
  <c r="I39" i="5"/>
  <c r="N39" i="5"/>
  <c r="I48" i="5"/>
  <c r="N48" i="5"/>
  <c r="I57" i="5"/>
  <c r="N57" i="5"/>
  <c r="I66" i="5"/>
  <c r="N66" i="5"/>
  <c r="I75" i="5"/>
  <c r="N75" i="5"/>
  <c r="I84" i="5"/>
  <c r="N84" i="5"/>
  <c r="I93" i="5"/>
  <c r="N93" i="5"/>
  <c r="I102" i="5"/>
  <c r="N102" i="5"/>
  <c r="I111" i="5"/>
  <c r="N111" i="5"/>
  <c r="I120" i="5"/>
  <c r="N120" i="5"/>
  <c r="I129" i="5"/>
  <c r="N129" i="5"/>
  <c r="I138" i="5"/>
  <c r="N138" i="5"/>
  <c r="I147" i="5"/>
  <c r="N147" i="5"/>
  <c r="I156" i="5"/>
  <c r="N156" i="5"/>
  <c r="I165" i="5"/>
  <c r="N165" i="5"/>
  <c r="I174" i="5"/>
  <c r="N174" i="5"/>
  <c r="I183" i="5"/>
  <c r="N183" i="5"/>
  <c r="I192" i="5"/>
  <c r="N192" i="5"/>
  <c r="I201" i="5"/>
  <c r="N201" i="5"/>
  <c r="I210" i="5"/>
  <c r="N210" i="5"/>
  <c r="I219" i="5"/>
  <c r="N219" i="5"/>
  <c r="I228" i="5"/>
  <c r="N228" i="5"/>
  <c r="I237" i="5"/>
  <c r="N237" i="5"/>
  <c r="I243" i="5"/>
  <c r="N243" i="5"/>
  <c r="I246" i="5"/>
  <c r="N246" i="5"/>
  <c r="I255" i="5"/>
  <c r="N255" i="5"/>
  <c r="I264" i="5"/>
  <c r="N264" i="5"/>
  <c r="N273" i="5"/>
  <c r="I273" i="5"/>
  <c r="I282" i="5"/>
  <c r="N282" i="5"/>
  <c r="I291" i="5"/>
  <c r="N291" i="5"/>
  <c r="N300" i="5"/>
  <c r="I300" i="5"/>
  <c r="I309" i="5"/>
  <c r="N309" i="5"/>
  <c r="I318" i="5"/>
  <c r="N318" i="5"/>
  <c r="N327" i="5"/>
  <c r="I327" i="5"/>
  <c r="I336" i="5"/>
  <c r="N336" i="5"/>
  <c r="I345" i="5"/>
  <c r="N345" i="5"/>
  <c r="N354" i="5"/>
  <c r="I354" i="5"/>
  <c r="I363" i="5"/>
  <c r="N363" i="5"/>
  <c r="I372" i="5"/>
  <c r="N372" i="5"/>
  <c r="N381" i="5"/>
  <c r="I381" i="5"/>
  <c r="I390" i="5"/>
  <c r="N390" i="5"/>
  <c r="I399" i="5"/>
  <c r="N399" i="5"/>
  <c r="N408" i="5"/>
  <c r="I408" i="5"/>
  <c r="I417" i="5"/>
  <c r="N417" i="5"/>
  <c r="I426" i="5"/>
  <c r="N426" i="5"/>
  <c r="N435" i="5"/>
  <c r="I435" i="5"/>
  <c r="I444" i="5"/>
  <c r="N444" i="5"/>
  <c r="I453" i="5"/>
  <c r="N453" i="5"/>
  <c r="N462" i="5"/>
  <c r="I462" i="5"/>
  <c r="I471" i="5"/>
  <c r="N471" i="5"/>
  <c r="I480" i="5"/>
  <c r="N480" i="5"/>
  <c r="N489" i="5"/>
  <c r="I489" i="5"/>
  <c r="I498" i="5"/>
  <c r="N498" i="5"/>
  <c r="I507" i="5"/>
  <c r="N507" i="5"/>
  <c r="N516" i="5"/>
  <c r="I516" i="5"/>
  <c r="I525" i="5"/>
  <c r="N525" i="5"/>
  <c r="I534" i="5"/>
  <c r="N534" i="5"/>
  <c r="N543" i="5"/>
  <c r="I543" i="5"/>
  <c r="I552" i="5"/>
  <c r="N552" i="5"/>
  <c r="I561" i="5"/>
  <c r="N561" i="5"/>
  <c r="N570" i="5"/>
  <c r="I570" i="5"/>
  <c r="I579" i="5"/>
  <c r="N579" i="5"/>
  <c r="I588" i="5"/>
  <c r="N588" i="5"/>
  <c r="N597" i="5"/>
  <c r="I597" i="5"/>
  <c r="I606" i="5"/>
  <c r="N606" i="5"/>
  <c r="I615" i="5"/>
  <c r="N615" i="5"/>
  <c r="N624" i="5"/>
  <c r="I624" i="5"/>
  <c r="I633" i="5"/>
  <c r="N633" i="5"/>
  <c r="I642" i="5"/>
  <c r="N642" i="5"/>
  <c r="I660" i="5"/>
  <c r="N660" i="5"/>
  <c r="I687" i="5"/>
  <c r="N687" i="5"/>
  <c r="I714" i="5"/>
  <c r="N714" i="5"/>
  <c r="I741" i="5"/>
  <c r="N741" i="5"/>
  <c r="I768" i="5"/>
  <c r="N768" i="5"/>
  <c r="I795" i="5"/>
  <c r="N795" i="5"/>
  <c r="I822" i="5"/>
  <c r="N822" i="5"/>
  <c r="N828" i="5"/>
  <c r="I828" i="5"/>
  <c r="I831" i="5"/>
  <c r="N831" i="5"/>
  <c r="N837" i="5"/>
  <c r="I837" i="5"/>
  <c r="N840" i="5"/>
  <c r="I840" i="5"/>
  <c r="N846" i="5"/>
  <c r="I846" i="5"/>
  <c r="I849" i="5"/>
  <c r="N849" i="5"/>
  <c r="N855" i="5"/>
  <c r="I855" i="5"/>
  <c r="I858" i="5"/>
  <c r="N858" i="5"/>
  <c r="N864" i="5"/>
  <c r="I864" i="5"/>
  <c r="N867" i="5"/>
  <c r="I867" i="5"/>
  <c r="N873" i="5"/>
  <c r="I873" i="5"/>
  <c r="I876" i="5"/>
  <c r="N876" i="5"/>
  <c r="N882" i="5"/>
  <c r="I882" i="5"/>
  <c r="I885" i="5"/>
  <c r="N885" i="5"/>
  <c r="N891" i="5"/>
  <c r="I891" i="5"/>
  <c r="N894" i="5"/>
  <c r="I894" i="5"/>
  <c r="N900" i="5"/>
  <c r="I900" i="5"/>
  <c r="I903" i="5"/>
  <c r="N903" i="5"/>
  <c r="N909" i="5"/>
  <c r="I909" i="5"/>
  <c r="I912" i="5"/>
  <c r="N912" i="5"/>
  <c r="N918" i="5"/>
  <c r="I918" i="5"/>
  <c r="N921" i="5"/>
  <c r="I921" i="5"/>
  <c r="N927" i="5"/>
  <c r="I927" i="5"/>
  <c r="I930" i="5"/>
  <c r="N930" i="5"/>
  <c r="N936" i="5"/>
  <c r="I936" i="5"/>
  <c r="I939" i="5"/>
  <c r="N939" i="5"/>
  <c r="N945" i="5"/>
  <c r="I945" i="5"/>
  <c r="N948" i="5"/>
  <c r="I948" i="5"/>
  <c r="N954" i="5"/>
  <c r="I954" i="5"/>
  <c r="I957" i="5"/>
  <c r="N957" i="5"/>
  <c r="N963" i="5"/>
  <c r="I963" i="5"/>
  <c r="I966" i="5"/>
  <c r="N966" i="5"/>
  <c r="N972" i="5"/>
  <c r="I972" i="5"/>
  <c r="N975" i="5"/>
  <c r="I975" i="5"/>
  <c r="N981" i="5"/>
  <c r="I981" i="5"/>
  <c r="I984" i="5"/>
  <c r="N984" i="5"/>
  <c r="N990" i="5"/>
  <c r="I990" i="5"/>
  <c r="I993" i="5"/>
  <c r="N993" i="5"/>
  <c r="N999" i="5"/>
  <c r="I999" i="5"/>
  <c r="N67" i="5"/>
  <c r="I67" i="5"/>
  <c r="N82" i="5"/>
  <c r="I82" i="5"/>
  <c r="N100" i="5"/>
  <c r="I100" i="5"/>
  <c r="N127" i="5"/>
  <c r="I127" i="5"/>
  <c r="N148" i="5"/>
  <c r="I148" i="5"/>
  <c r="N166" i="5"/>
  <c r="I166" i="5"/>
  <c r="N277" i="5"/>
  <c r="I277" i="5"/>
  <c r="N295" i="5"/>
  <c r="I295" i="5"/>
  <c r="N316" i="5"/>
  <c r="I316" i="5"/>
  <c r="N346" i="5"/>
  <c r="I346" i="5"/>
  <c r="N364" i="5"/>
  <c r="I364" i="5"/>
  <c r="N385" i="5"/>
  <c r="I385" i="5"/>
  <c r="N499" i="5"/>
  <c r="I499" i="5"/>
  <c r="N508" i="5"/>
  <c r="I508" i="5"/>
  <c r="N529" i="5"/>
  <c r="I529" i="5"/>
  <c r="N559" i="5"/>
  <c r="I559" i="5"/>
  <c r="N568" i="5"/>
  <c r="I568" i="5"/>
  <c r="N574" i="5"/>
  <c r="I574" i="5"/>
  <c r="N577" i="5"/>
  <c r="I577" i="5"/>
  <c r="N583" i="5"/>
  <c r="I583" i="5"/>
  <c r="N586" i="5"/>
  <c r="I586" i="5"/>
  <c r="N598" i="5"/>
  <c r="I598" i="5"/>
  <c r="N622" i="5"/>
  <c r="I622" i="5"/>
  <c r="N634" i="5"/>
  <c r="I634" i="5"/>
  <c r="N643" i="5"/>
  <c r="I643" i="5"/>
  <c r="N658" i="5"/>
  <c r="I658" i="5"/>
  <c r="N670" i="5"/>
  <c r="I670" i="5"/>
  <c r="N685" i="5"/>
  <c r="I685" i="5"/>
  <c r="N694" i="5"/>
  <c r="I694" i="5"/>
  <c r="N706" i="5"/>
  <c r="I706" i="5"/>
  <c r="N718" i="5"/>
  <c r="I718" i="5"/>
  <c r="N727" i="5"/>
  <c r="I727" i="5"/>
  <c r="N742" i="5"/>
  <c r="I742" i="5"/>
  <c r="N751" i="5"/>
  <c r="I751" i="5"/>
  <c r="N766" i="5"/>
  <c r="I766" i="5"/>
  <c r="N775" i="5"/>
  <c r="I775" i="5"/>
  <c r="N787" i="5"/>
  <c r="I787" i="5"/>
  <c r="N799" i="5"/>
  <c r="I799" i="5"/>
  <c r="N808" i="5"/>
  <c r="I808" i="5"/>
  <c r="N823" i="5"/>
  <c r="I823" i="5"/>
  <c r="N832" i="5"/>
  <c r="I832" i="5"/>
  <c r="N847" i="5"/>
  <c r="I847" i="5"/>
  <c r="N856" i="5"/>
  <c r="I856" i="5"/>
  <c r="N868" i="5"/>
  <c r="I868" i="5"/>
  <c r="N883" i="5"/>
  <c r="I883" i="5"/>
  <c r="N895" i="5"/>
  <c r="I895" i="5"/>
  <c r="N910" i="5"/>
  <c r="I910" i="5"/>
  <c r="N922" i="5"/>
  <c r="I922" i="5"/>
  <c r="N937" i="5"/>
  <c r="I937" i="5"/>
  <c r="N949" i="5"/>
  <c r="I949" i="5"/>
  <c r="N964" i="5"/>
  <c r="I964" i="5"/>
  <c r="N976" i="5"/>
  <c r="I976" i="5"/>
  <c r="N991" i="5"/>
  <c r="I991" i="5"/>
  <c r="I29" i="5"/>
  <c r="N29" i="5"/>
  <c r="N41" i="5"/>
  <c r="I41" i="5"/>
  <c r="N50" i="5"/>
  <c r="I50" i="5"/>
  <c r="N59" i="5"/>
  <c r="I59" i="5"/>
  <c r="N68" i="5"/>
  <c r="I68" i="5"/>
  <c r="N77" i="5"/>
  <c r="I77" i="5"/>
  <c r="N86" i="5"/>
  <c r="I86" i="5"/>
  <c r="I98" i="5"/>
  <c r="N98" i="5"/>
  <c r="I107" i="5"/>
  <c r="N107" i="5"/>
  <c r="N119" i="5"/>
  <c r="I119" i="5"/>
  <c r="N128" i="5"/>
  <c r="I128" i="5"/>
  <c r="I137" i="5"/>
  <c r="N137" i="5"/>
  <c r="N146" i="5"/>
  <c r="I146" i="5"/>
  <c r="N155" i="5"/>
  <c r="I155" i="5"/>
  <c r="I164" i="5"/>
  <c r="N164" i="5"/>
  <c r="N173" i="5"/>
  <c r="I173" i="5"/>
  <c r="N185" i="5"/>
  <c r="I185" i="5"/>
  <c r="N194" i="5"/>
  <c r="I194" i="5"/>
  <c r="I206" i="5"/>
  <c r="N206" i="5"/>
  <c r="I215" i="5"/>
  <c r="N215" i="5"/>
  <c r="I224" i="5"/>
  <c r="N224" i="5"/>
  <c r="I233" i="5"/>
  <c r="N233" i="5"/>
  <c r="I242" i="5"/>
  <c r="N242" i="5"/>
  <c r="I251" i="5"/>
  <c r="N251" i="5"/>
  <c r="I263" i="5"/>
  <c r="N263" i="5"/>
  <c r="I272" i="5"/>
  <c r="N272" i="5"/>
  <c r="N284" i="5"/>
  <c r="I284" i="5"/>
  <c r="N293" i="5"/>
  <c r="I293" i="5"/>
  <c r="N302" i="5"/>
  <c r="I302" i="5"/>
  <c r="N311" i="5"/>
  <c r="I311" i="5"/>
  <c r="N320" i="5"/>
  <c r="I320" i="5"/>
  <c r="N329" i="5"/>
  <c r="I329" i="5"/>
  <c r="N347" i="5"/>
  <c r="I347" i="5"/>
  <c r="N356" i="5"/>
  <c r="I356" i="5"/>
  <c r="I368" i="5"/>
  <c r="N368" i="5"/>
  <c r="I377" i="5"/>
  <c r="N377" i="5"/>
  <c r="I386" i="5"/>
  <c r="N386" i="5"/>
  <c r="I395" i="5"/>
  <c r="N395" i="5"/>
  <c r="I404" i="5"/>
  <c r="N404" i="5"/>
  <c r="I416" i="5"/>
  <c r="N416" i="5"/>
  <c r="N428" i="5"/>
  <c r="I428" i="5"/>
  <c r="N437" i="5"/>
  <c r="I437" i="5"/>
  <c r="N446" i="5"/>
  <c r="I446" i="5"/>
  <c r="N455" i="5"/>
  <c r="I455" i="5"/>
  <c r="N464" i="5"/>
  <c r="I464" i="5"/>
  <c r="N491" i="5"/>
  <c r="I491" i="5"/>
  <c r="I506" i="5"/>
  <c r="N506" i="5"/>
  <c r="I515" i="5"/>
  <c r="N515" i="5"/>
  <c r="I524" i="5"/>
  <c r="N524" i="5"/>
  <c r="I533" i="5"/>
  <c r="N533" i="5"/>
  <c r="I542" i="5"/>
  <c r="N542" i="5"/>
  <c r="I551" i="5"/>
  <c r="N551" i="5"/>
  <c r="I560" i="5"/>
  <c r="N560" i="5"/>
  <c r="I569" i="5"/>
  <c r="N569" i="5"/>
  <c r="N581" i="5"/>
  <c r="I581" i="5"/>
  <c r="I593" i="5"/>
  <c r="N593" i="5"/>
  <c r="I602" i="5"/>
  <c r="N602" i="5"/>
  <c r="I611" i="5"/>
  <c r="N611" i="5"/>
  <c r="I620" i="5"/>
  <c r="N620" i="5"/>
  <c r="I629" i="5"/>
  <c r="N629" i="5"/>
  <c r="I638" i="5"/>
  <c r="N638" i="5"/>
  <c r="I647" i="5"/>
  <c r="N647" i="5"/>
  <c r="I656" i="5"/>
  <c r="N656" i="5"/>
  <c r="I665" i="5"/>
  <c r="N665" i="5"/>
  <c r="I674" i="5"/>
  <c r="N674" i="5"/>
  <c r="I683" i="5"/>
  <c r="N683" i="5"/>
  <c r="I692" i="5"/>
  <c r="N692" i="5"/>
  <c r="I701" i="5"/>
  <c r="N701" i="5"/>
  <c r="I710" i="5"/>
  <c r="N710" i="5"/>
  <c r="I719" i="5"/>
  <c r="N719" i="5"/>
  <c r="I728" i="5"/>
  <c r="N728" i="5"/>
  <c r="I737" i="5"/>
  <c r="N737" i="5"/>
  <c r="I746" i="5"/>
  <c r="N746" i="5"/>
  <c r="I755" i="5"/>
  <c r="N755" i="5"/>
  <c r="I764" i="5"/>
  <c r="N764" i="5"/>
  <c r="I773" i="5"/>
  <c r="N773" i="5"/>
  <c r="I782" i="5"/>
  <c r="N782" i="5"/>
  <c r="I791" i="5"/>
  <c r="N791" i="5"/>
  <c r="I800" i="5"/>
  <c r="N800" i="5"/>
  <c r="I809" i="5"/>
  <c r="N809" i="5"/>
  <c r="I818" i="5"/>
  <c r="N818" i="5"/>
  <c r="I827" i="5"/>
  <c r="N827" i="5"/>
  <c r="I836" i="5"/>
  <c r="N836" i="5"/>
  <c r="I845" i="5"/>
  <c r="N845" i="5"/>
  <c r="I854" i="5"/>
  <c r="N854" i="5"/>
  <c r="I863" i="5"/>
  <c r="N863" i="5"/>
  <c r="I872" i="5"/>
  <c r="N872" i="5"/>
  <c r="I881" i="5"/>
  <c r="N881" i="5"/>
  <c r="I890" i="5"/>
  <c r="N890" i="5"/>
  <c r="I899" i="5"/>
  <c r="N899" i="5"/>
  <c r="I908" i="5"/>
  <c r="N908" i="5"/>
  <c r="I917" i="5"/>
  <c r="N917" i="5"/>
  <c r="I926" i="5"/>
  <c r="N926" i="5"/>
  <c r="I935" i="5"/>
  <c r="N935" i="5"/>
  <c r="I944" i="5"/>
  <c r="N944" i="5"/>
  <c r="I953" i="5"/>
  <c r="N953" i="5"/>
  <c r="I962" i="5"/>
  <c r="N962" i="5"/>
  <c r="I971" i="5"/>
  <c r="N971" i="5"/>
  <c r="I980" i="5"/>
  <c r="N980" i="5"/>
  <c r="I989" i="5"/>
  <c r="N989" i="5"/>
  <c r="I998" i="5"/>
  <c r="N998" i="5"/>
  <c r="I27" i="5"/>
  <c r="N27" i="5"/>
  <c r="I36" i="5"/>
  <c r="N36" i="5"/>
  <c r="I45" i="5"/>
  <c r="N45" i="5"/>
  <c r="I54" i="5"/>
  <c r="N54" i="5"/>
  <c r="I60" i="5"/>
  <c r="N60" i="5"/>
  <c r="I63" i="5"/>
  <c r="N63" i="5"/>
  <c r="I72" i="5"/>
  <c r="N72" i="5"/>
  <c r="I81" i="5"/>
  <c r="N81" i="5"/>
  <c r="I87" i="5"/>
  <c r="N87" i="5"/>
  <c r="I90" i="5"/>
  <c r="N90" i="5"/>
  <c r="I99" i="5"/>
  <c r="N99" i="5"/>
  <c r="I108" i="5"/>
  <c r="N108" i="5"/>
  <c r="I117" i="5"/>
  <c r="N117" i="5"/>
  <c r="I126" i="5"/>
  <c r="N126" i="5"/>
  <c r="I135" i="5"/>
  <c r="N135" i="5"/>
  <c r="I141" i="5"/>
  <c r="N141" i="5"/>
  <c r="I144" i="5"/>
  <c r="N144" i="5"/>
  <c r="I153" i="5"/>
  <c r="N153" i="5"/>
  <c r="I162" i="5"/>
  <c r="N162" i="5"/>
  <c r="I168" i="5"/>
  <c r="N168" i="5"/>
  <c r="I171" i="5"/>
  <c r="N171" i="5"/>
  <c r="I180" i="5"/>
  <c r="N180" i="5"/>
  <c r="I189" i="5"/>
  <c r="N189" i="5"/>
  <c r="I198" i="5"/>
  <c r="N198" i="5"/>
  <c r="I207" i="5"/>
  <c r="N207" i="5"/>
  <c r="I216" i="5"/>
  <c r="N216" i="5"/>
  <c r="I222" i="5"/>
  <c r="N222" i="5"/>
  <c r="I225" i="5"/>
  <c r="N225" i="5"/>
  <c r="I234" i="5"/>
  <c r="N234" i="5"/>
  <c r="I252" i="5"/>
  <c r="N252" i="5"/>
  <c r="I261" i="5"/>
  <c r="N261" i="5"/>
  <c r="I267" i="5"/>
  <c r="N267" i="5"/>
  <c r="I270" i="5"/>
  <c r="N270" i="5"/>
  <c r="N276" i="5"/>
  <c r="I276" i="5"/>
  <c r="N279" i="5"/>
  <c r="I279" i="5"/>
  <c r="N288" i="5"/>
  <c r="I288" i="5"/>
  <c r="N294" i="5"/>
  <c r="I294" i="5"/>
  <c r="N297" i="5"/>
  <c r="I297" i="5"/>
  <c r="N303" i="5"/>
  <c r="I303" i="5"/>
  <c r="N306" i="5"/>
  <c r="I306" i="5"/>
  <c r="N315" i="5"/>
  <c r="I315" i="5"/>
  <c r="N321" i="5"/>
  <c r="I321" i="5"/>
  <c r="N324" i="5"/>
  <c r="I324" i="5"/>
  <c r="N330" i="5"/>
  <c r="I330" i="5"/>
  <c r="N333" i="5"/>
  <c r="I333" i="5"/>
  <c r="N342" i="5"/>
  <c r="I342" i="5"/>
  <c r="N348" i="5"/>
  <c r="I348" i="5"/>
  <c r="N351" i="5"/>
  <c r="I351" i="5"/>
  <c r="N360" i="5"/>
  <c r="I360" i="5"/>
  <c r="N366" i="5"/>
  <c r="I366" i="5"/>
  <c r="N369" i="5"/>
  <c r="I369" i="5"/>
  <c r="N375" i="5"/>
  <c r="I375" i="5"/>
  <c r="N378" i="5"/>
  <c r="I378" i="5"/>
  <c r="N387" i="5"/>
  <c r="I387" i="5"/>
  <c r="N393" i="5"/>
  <c r="I393" i="5"/>
  <c r="N396" i="5"/>
  <c r="I396" i="5"/>
  <c r="N402" i="5"/>
  <c r="I402" i="5"/>
  <c r="N405" i="5"/>
  <c r="I405" i="5"/>
  <c r="N414" i="5"/>
  <c r="I414" i="5"/>
  <c r="N420" i="5"/>
  <c r="I420" i="5"/>
  <c r="N423" i="5"/>
  <c r="I423" i="5"/>
  <c r="N432" i="5"/>
  <c r="I432" i="5"/>
  <c r="N441" i="5"/>
  <c r="I441" i="5"/>
  <c r="N450" i="5"/>
  <c r="I450" i="5"/>
  <c r="N459" i="5"/>
  <c r="I459" i="5"/>
  <c r="N468" i="5"/>
  <c r="I468" i="5"/>
  <c r="N477" i="5"/>
  <c r="I477" i="5"/>
  <c r="N486" i="5"/>
  <c r="I486" i="5"/>
  <c r="N495" i="5"/>
  <c r="I495" i="5"/>
  <c r="N504" i="5"/>
  <c r="I504" i="5"/>
  <c r="N513" i="5"/>
  <c r="I513" i="5"/>
  <c r="N522" i="5"/>
  <c r="I522" i="5"/>
  <c r="N531" i="5"/>
  <c r="I531" i="5"/>
  <c r="N540" i="5"/>
  <c r="I540" i="5"/>
  <c r="N549" i="5"/>
  <c r="I549" i="5"/>
  <c r="N558" i="5"/>
  <c r="I558" i="5"/>
  <c r="N567" i="5"/>
  <c r="I567" i="5"/>
  <c r="N576" i="5"/>
  <c r="I576" i="5"/>
  <c r="N585" i="5"/>
  <c r="I585" i="5"/>
  <c r="N594" i="5"/>
  <c r="I594" i="5"/>
  <c r="N603" i="5"/>
  <c r="I603" i="5"/>
  <c r="N612" i="5"/>
  <c r="I612" i="5"/>
  <c r="N621" i="5"/>
  <c r="I621" i="5"/>
  <c r="N630" i="5"/>
  <c r="I630" i="5"/>
  <c r="N639" i="5"/>
  <c r="I639" i="5"/>
  <c r="N648" i="5"/>
  <c r="I648" i="5"/>
  <c r="N657" i="5"/>
  <c r="I657" i="5"/>
  <c r="N666" i="5"/>
  <c r="I666" i="5"/>
  <c r="N675" i="5"/>
  <c r="I675" i="5"/>
  <c r="N684" i="5"/>
  <c r="I684" i="5"/>
  <c r="N693" i="5"/>
  <c r="I693" i="5"/>
  <c r="N702" i="5"/>
  <c r="I702" i="5"/>
  <c r="N711" i="5"/>
  <c r="I711" i="5"/>
  <c r="N720" i="5"/>
  <c r="I720" i="5"/>
  <c r="N729" i="5"/>
  <c r="I729" i="5"/>
  <c r="N738" i="5"/>
  <c r="I738" i="5"/>
  <c r="N747" i="5"/>
  <c r="I747" i="5"/>
  <c r="N756" i="5"/>
  <c r="I756" i="5"/>
  <c r="N765" i="5"/>
  <c r="I765" i="5"/>
  <c r="N774" i="5"/>
  <c r="I774" i="5"/>
  <c r="N783" i="5"/>
  <c r="I783" i="5"/>
  <c r="N792" i="5"/>
  <c r="I792" i="5"/>
  <c r="N801" i="5"/>
  <c r="I801" i="5"/>
  <c r="N810" i="5"/>
  <c r="I810" i="5"/>
  <c r="N819" i="5"/>
  <c r="I819" i="5"/>
  <c r="N825" i="5"/>
  <c r="I825" i="5"/>
  <c r="N834" i="5"/>
  <c r="I834" i="5"/>
  <c r="N843" i="5"/>
  <c r="I843" i="5"/>
  <c r="N852" i="5"/>
  <c r="I852" i="5"/>
  <c r="N861" i="5"/>
  <c r="I861" i="5"/>
  <c r="N870" i="5"/>
  <c r="I870" i="5"/>
  <c r="N879" i="5"/>
  <c r="I879" i="5"/>
  <c r="N888" i="5"/>
  <c r="I888" i="5"/>
  <c r="N897" i="5"/>
  <c r="I897" i="5"/>
  <c r="N906" i="5"/>
  <c r="I906" i="5"/>
  <c r="N915" i="5"/>
  <c r="I915" i="5"/>
  <c r="N924" i="5"/>
  <c r="I924" i="5"/>
  <c r="N933" i="5"/>
  <c r="I933" i="5"/>
  <c r="N942" i="5"/>
  <c r="I942" i="5"/>
  <c r="N951" i="5"/>
  <c r="I951" i="5"/>
  <c r="N960" i="5"/>
  <c r="I960" i="5"/>
  <c r="N969" i="5"/>
  <c r="I969" i="5"/>
  <c r="N978" i="5"/>
  <c r="I978" i="5"/>
  <c r="N987" i="5"/>
  <c r="I987" i="5"/>
  <c r="N996" i="5"/>
  <c r="I996" i="5"/>
  <c r="B59" i="1" l="1"/>
  <c r="A50" i="5"/>
  <c r="B17" i="1"/>
  <c r="A8" i="5"/>
  <c r="C10" i="6"/>
  <c r="D9" i="6"/>
  <c r="B18" i="1" l="1"/>
  <c r="A9" i="5"/>
  <c r="B60" i="1"/>
  <c r="A51" i="5"/>
  <c r="D10" i="6"/>
  <c r="C11" i="6"/>
  <c r="B61" i="1" l="1"/>
  <c r="A52" i="5"/>
  <c r="B19" i="1"/>
  <c r="A10" i="5"/>
  <c r="D11" i="6"/>
  <c r="C12" i="6"/>
  <c r="B20" i="1" l="1"/>
  <c r="A11" i="5"/>
  <c r="B62" i="1"/>
  <c r="A53" i="5"/>
  <c r="C13" i="6"/>
  <c r="D12" i="6"/>
  <c r="B63" i="1" l="1"/>
  <c r="A54" i="5"/>
  <c r="B21" i="1"/>
  <c r="A12" i="5"/>
  <c r="C14" i="6"/>
  <c r="D14" i="6" s="1"/>
  <c r="D13" i="6"/>
  <c r="B22" i="1" l="1"/>
  <c r="A13" i="5"/>
  <c r="B64" i="1"/>
  <c r="A55" i="5"/>
  <c r="B65" i="1" l="1"/>
  <c r="A56" i="5"/>
  <c r="B23" i="1"/>
  <c r="A14" i="5"/>
  <c r="B24" i="1" l="1"/>
  <c r="A15" i="5"/>
  <c r="B66" i="1"/>
  <c r="A57" i="5"/>
  <c r="B67" i="1" l="1"/>
  <c r="A58" i="5"/>
  <c r="B25" i="1"/>
  <c r="A16" i="5"/>
  <c r="B26" i="1" l="1"/>
  <c r="A17" i="5"/>
  <c r="B68" i="1"/>
  <c r="A59" i="5"/>
  <c r="B69" i="1" l="1"/>
  <c r="A60" i="5"/>
  <c r="B27" i="1"/>
  <c r="A18" i="5"/>
  <c r="B28" i="1" l="1"/>
  <c r="A19" i="5"/>
  <c r="B70" i="1"/>
  <c r="A61" i="5"/>
  <c r="B71" i="1" l="1"/>
  <c r="A62" i="5"/>
  <c r="B29" i="1"/>
  <c r="A20" i="5"/>
  <c r="B30" i="1" l="1"/>
  <c r="A21" i="5"/>
  <c r="B72" i="1"/>
  <c r="A63" i="5"/>
  <c r="B73" i="1" l="1"/>
  <c r="A64" i="5"/>
  <c r="B31" i="1"/>
  <c r="A22" i="5"/>
  <c r="B32" i="1" l="1"/>
  <c r="A23" i="5"/>
  <c r="B74" i="1"/>
  <c r="A65" i="5"/>
  <c r="B75" i="1" l="1"/>
  <c r="A66" i="5"/>
  <c r="B33" i="1"/>
  <c r="A24" i="5"/>
  <c r="B34" i="1" l="1"/>
  <c r="A25" i="5"/>
  <c r="B76" i="1"/>
  <c r="A67" i="5"/>
  <c r="B77" i="1" l="1"/>
  <c r="A68" i="5"/>
  <c r="B35" i="1"/>
  <c r="A26" i="5"/>
  <c r="B36" i="1" l="1"/>
  <c r="A27" i="5"/>
  <c r="B78" i="1"/>
  <c r="A69" i="5"/>
  <c r="B79" i="1" l="1"/>
  <c r="A70" i="5"/>
  <c r="B37" i="1"/>
  <c r="A28" i="5"/>
  <c r="B38" i="1" l="1"/>
  <c r="A29" i="5"/>
  <c r="B80" i="1"/>
  <c r="A71" i="5"/>
  <c r="B81" i="1" l="1"/>
  <c r="A72" i="5"/>
  <c r="B39" i="1"/>
  <c r="A30" i="5"/>
  <c r="B40" i="1" l="1"/>
  <c r="A31" i="5"/>
  <c r="B82" i="1"/>
  <c r="A73" i="5"/>
  <c r="B83" i="1" l="1"/>
  <c r="A74" i="5"/>
  <c r="B41" i="1"/>
  <c r="A32" i="5"/>
  <c r="B42" i="1" l="1"/>
  <c r="A33" i="5"/>
  <c r="B84" i="1"/>
  <c r="A75" i="5"/>
  <c r="B85" i="1" l="1"/>
  <c r="A76" i="5"/>
  <c r="B43" i="1"/>
  <c r="A34" i="5"/>
  <c r="B44" i="1" l="1"/>
  <c r="A35" i="5"/>
  <c r="B86" i="1"/>
  <c r="A77" i="5"/>
  <c r="B87" i="1" l="1"/>
  <c r="A78" i="5"/>
  <c r="B45" i="1"/>
  <c r="A36" i="5"/>
  <c r="B46" i="1" l="1"/>
  <c r="A37" i="5"/>
  <c r="B88" i="1"/>
  <c r="A79" i="5"/>
  <c r="B89" i="1" l="1"/>
  <c r="A80" i="5"/>
  <c r="B47" i="1"/>
  <c r="A38" i="5"/>
  <c r="B48" i="1" l="1"/>
  <c r="A39" i="5"/>
  <c r="B90" i="1"/>
  <c r="A81" i="5"/>
  <c r="B91" i="1" l="1"/>
  <c r="A82" i="5"/>
  <c r="B49" i="1"/>
  <c r="A40" i="5"/>
  <c r="B50" i="1" l="1"/>
  <c r="A41" i="5"/>
  <c r="B92" i="1"/>
  <c r="A83" i="5"/>
  <c r="B93" i="1" l="1"/>
  <c r="A84" i="5"/>
  <c r="B51" i="1"/>
  <c r="A42" i="5"/>
  <c r="B52" i="1" l="1"/>
  <c r="A44" i="5" s="1"/>
  <c r="A43" i="5"/>
  <c r="B94" i="1"/>
  <c r="A85" i="5"/>
  <c r="B95" i="1" l="1"/>
  <c r="A86" i="5"/>
  <c r="B96" i="1" l="1"/>
  <c r="A87" i="5"/>
  <c r="B97" i="1" l="1"/>
  <c r="A88" i="5"/>
  <c r="B98" i="1" l="1"/>
  <c r="A89" i="5"/>
  <c r="B99" i="1" l="1"/>
  <c r="A90" i="5"/>
  <c r="B100" i="1" l="1"/>
  <c r="A91" i="5"/>
  <c r="B101" i="1" l="1"/>
  <c r="A93" i="5" s="1"/>
  <c r="A92" i="5"/>
</calcChain>
</file>

<file path=xl/sharedStrings.xml><?xml version="1.0" encoding="utf-8"?>
<sst xmlns="http://schemas.openxmlformats.org/spreadsheetml/2006/main" count="1752" uniqueCount="150">
  <si>
    <t>Proyecto</t>
  </si>
  <si>
    <t>Propietario</t>
  </si>
  <si>
    <t>Residente</t>
  </si>
  <si>
    <t>CONSTRUCTORA UPC</t>
  </si>
  <si>
    <t>Teléfono</t>
  </si>
  <si>
    <t>Fecha</t>
  </si>
  <si>
    <t>Inmobiliaria</t>
  </si>
  <si>
    <t>Cosmopolitan</t>
  </si>
  <si>
    <t>Nº</t>
  </si>
  <si>
    <t>Rut</t>
  </si>
  <si>
    <t>LISTA PROYECTOS</t>
  </si>
  <si>
    <t>Nombre Obra</t>
  </si>
  <si>
    <t>Obra</t>
  </si>
  <si>
    <t>Amadeus</t>
  </si>
  <si>
    <t>AMD</t>
  </si>
  <si>
    <t>Apart Hotel</t>
  </si>
  <si>
    <t>APH</t>
  </si>
  <si>
    <t>Buin</t>
  </si>
  <si>
    <t>BUI</t>
  </si>
  <si>
    <t>Buin etapa II y III</t>
  </si>
  <si>
    <t>BU2</t>
  </si>
  <si>
    <t>CMP</t>
  </si>
  <si>
    <t>Decima Avenida</t>
  </si>
  <si>
    <t>XAV</t>
  </si>
  <si>
    <t>Departamental</t>
  </si>
  <si>
    <t>DPT</t>
  </si>
  <si>
    <t>Exequiel Fernandez</t>
  </si>
  <si>
    <t>EXF</t>
  </si>
  <si>
    <t>Lord Cochrane N°1</t>
  </si>
  <si>
    <t>LC1</t>
  </si>
  <si>
    <t>Lord Cochrane N°2</t>
  </si>
  <si>
    <t>LC2</t>
  </si>
  <si>
    <t>Los Espinos</t>
  </si>
  <si>
    <t>MAC</t>
  </si>
  <si>
    <t>Macul Plaza 2</t>
  </si>
  <si>
    <t>MP2</t>
  </si>
  <si>
    <t>Pio XI</t>
  </si>
  <si>
    <t>PXI</t>
  </si>
  <si>
    <t>Post Venta CUPC</t>
  </si>
  <si>
    <t>PVT</t>
  </si>
  <si>
    <t>Quilin</t>
  </si>
  <si>
    <t>QUI</t>
  </si>
  <si>
    <t>San José de la Sierra</t>
  </si>
  <si>
    <t>SJS</t>
  </si>
  <si>
    <t>Tamarugo</t>
  </si>
  <si>
    <t>TAM</t>
  </si>
  <si>
    <t>Victor Rae</t>
  </si>
  <si>
    <t>VRA</t>
  </si>
  <si>
    <t>Estado</t>
  </si>
  <si>
    <t>Nuevo</t>
  </si>
  <si>
    <t>Pendiente</t>
  </si>
  <si>
    <t>Observación</t>
  </si>
  <si>
    <t>Fecha Entrega</t>
  </si>
  <si>
    <t>Fecha Coordinación</t>
  </si>
  <si>
    <t>FORMULARIO SOLICITUD REPARACIONES</t>
  </si>
  <si>
    <t>Strip Center Buin</t>
  </si>
  <si>
    <t>Cosmopolita</t>
  </si>
  <si>
    <t>Décima Avda.</t>
  </si>
  <si>
    <t>Don Tomás</t>
  </si>
  <si>
    <t xml:space="preserve">Even </t>
  </si>
  <si>
    <t>Exequiel Fdez.</t>
  </si>
  <si>
    <t xml:space="preserve">Innovo  </t>
  </si>
  <si>
    <t>Lord Cochrane Plaza 1</t>
  </si>
  <si>
    <t>Lord Cochrane Plaza 2</t>
  </si>
  <si>
    <t>Quilín</t>
  </si>
  <si>
    <t>Strip Center El Alba</t>
  </si>
  <si>
    <t>Proyectos</t>
  </si>
  <si>
    <t>Tabla de proyectos</t>
  </si>
  <si>
    <t>Visión</t>
  </si>
  <si>
    <t>:</t>
  </si>
  <si>
    <t>ABSAL</t>
  </si>
  <si>
    <t>Hora Inicio</t>
  </si>
  <si>
    <t>Hora Termino</t>
  </si>
  <si>
    <t>Supervidor Constructora</t>
  </si>
  <si>
    <t>Supervisor Constructora</t>
  </si>
  <si>
    <t>Tipo Horario</t>
  </si>
  <si>
    <t>Solicitante Supervisor Inmob.</t>
  </si>
  <si>
    <t xml:space="preserve">Tipo Inmueble </t>
  </si>
  <si>
    <t>Horario Libre</t>
  </si>
  <si>
    <t>6 10</t>
  </si>
  <si>
    <t>Inmobiliarias</t>
  </si>
  <si>
    <t>123 Soluciona</t>
  </si>
  <si>
    <t>ACCION</t>
  </si>
  <si>
    <t>ACCION INMOBILIARIA</t>
  </si>
  <si>
    <t>CUPC</t>
  </si>
  <si>
    <t>INV.CA STUDEN LIVINN STGO. LTDA</t>
  </si>
  <si>
    <t>KONTAX</t>
  </si>
  <si>
    <t>LAS AMERICAS</t>
  </si>
  <si>
    <t>NULL</t>
  </si>
  <si>
    <t>NUMANCIA</t>
  </si>
  <si>
    <t>PIO XI</t>
  </si>
  <si>
    <t>SOLUCIONA</t>
  </si>
  <si>
    <t>UPC</t>
  </si>
  <si>
    <t>Antonio Gomez</t>
  </si>
  <si>
    <t>Supervisor Inmobiliaria</t>
  </si>
  <si>
    <t>Elson Jiménez</t>
  </si>
  <si>
    <t>Luis Guerra</t>
  </si>
  <si>
    <t>Francisco González</t>
  </si>
  <si>
    <t>Victoria Salgado</t>
  </si>
  <si>
    <t>Juan Navia</t>
  </si>
  <si>
    <t>Oscar Olivares</t>
  </si>
  <si>
    <t>Rodrigo Osorio</t>
  </si>
  <si>
    <t>Andrés Flores</t>
  </si>
  <si>
    <t>Anett Medina</t>
  </si>
  <si>
    <t>Carlos Vega</t>
  </si>
  <si>
    <t>Claudio Escobar</t>
  </si>
  <si>
    <t>Claudio Sanhueza</t>
  </si>
  <si>
    <t>Claudio Vásquez</t>
  </si>
  <si>
    <t>Cristian Campos</t>
  </si>
  <si>
    <t>Cristián Molina</t>
  </si>
  <si>
    <t>Eduardo Pallero</t>
  </si>
  <si>
    <t>Ernesto Torres</t>
  </si>
  <si>
    <t>Evelyn ArosL</t>
  </si>
  <si>
    <t>Francisco Fuentes</t>
  </si>
  <si>
    <t>Ivan Chavez</t>
  </si>
  <si>
    <t>Javiera Ibañez</t>
  </si>
  <si>
    <t>Jasmine Sotomayor</t>
  </si>
  <si>
    <t>Jesús Huerta</t>
  </si>
  <si>
    <t>Juan Zuñiga</t>
  </si>
  <si>
    <t>Luis guerra</t>
  </si>
  <si>
    <t>Marisol Figueroa</t>
  </si>
  <si>
    <t>Paloma Solla</t>
  </si>
  <si>
    <t>Patricia Frauenberg</t>
  </si>
  <si>
    <t>Pedro Zamora</t>
  </si>
  <si>
    <t>Rodrigo Hernández</t>
  </si>
  <si>
    <t>Sebastian Sanhueza</t>
  </si>
  <si>
    <t>Solange Jaramillo</t>
  </si>
  <si>
    <t>Susana Puga</t>
  </si>
  <si>
    <t>bbbb</t>
  </si>
  <si>
    <t>ETAPA</t>
  </si>
  <si>
    <t>Tipo de Inmueble</t>
  </si>
  <si>
    <t>DEPTO</t>
  </si>
  <si>
    <t>CASA</t>
  </si>
  <si>
    <t>ID</t>
  </si>
  <si>
    <t>Descricion</t>
  </si>
  <si>
    <t>Sec.</t>
  </si>
  <si>
    <t>Macul Plaza3</t>
  </si>
  <si>
    <t>Las Rejas Plaza</t>
  </si>
  <si>
    <t>Tipo Observacion</t>
  </si>
  <si>
    <t xml:space="preserve">Entrega </t>
  </si>
  <si>
    <t>99:99</t>
  </si>
  <si>
    <t>Libre</t>
  </si>
  <si>
    <t>Horario</t>
  </si>
  <si>
    <t>HoraNormalLibre</t>
  </si>
  <si>
    <t>EE.CC</t>
  </si>
  <si>
    <t>Post Venta</t>
  </si>
  <si>
    <t>REPARAR FILTRACION EN NICHO MEDIDORES PISO 6 NORTE. ( D 609)</t>
  </si>
  <si>
    <t>FILTRACION EN WC BAÑO 1 Y FILTRACION EN MUEBLE VANITORIO BAÑO 2</t>
  </si>
  <si>
    <t>BAÑO 2: VANITORIO DESNIVELADO Y LATERAL DAÑADO OOR CAIDA DE AGUA. ( REUNION PROPIETARIO)</t>
  </si>
  <si>
    <t>REUNION CON PROPIETARIO POR DAÑOS EN CIELOS DE BAÑO Y DORMITORIO DESDE DEPTO. 509.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</si>
</sst>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/mmm/yy"/>
    <numFmt numFmtId="165" formatCode="h:mm;@"/>
  </numFmts>
  <fonts count="45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rgb="FF000000"/>
      <name val="Bookman Old Style"/>
      <family val="1"/>
    </font>
    <font>
      <sz val="12"/>
      <color rgb="FF000000"/>
      <name val="Lucida Grande"/>
    </font>
    <font>
      <b/>
      <sz val="10"/>
      <name val="Arial"/>
      <family val="2"/>
    </font>
    <font>
      <sz val="10"/>
      <color theme="1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u/>
      <sz val="10"/>
      <color indexed="12"/>
      <name val="Times New Roman"/>
      <family val="1"/>
    </font>
    <font>
      <sz val="10"/>
      <name val="Times New Roman"/>
      <family val="1"/>
    </font>
    <font>
      <sz val="11"/>
      <color indexed="8"/>
      <name val="Helvetica Neue"/>
    </font>
    <font>
      <sz val="16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4"/>
      <name val="Calibri"/>
      <family val="2"/>
      <scheme val="minor"/>
    </font>
    <font>
      <sz val="10"/>
      <name val="Times New Roman"/>
      <family val="1"/>
    </font>
    <font>
      <b/>
      <sz val="18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Tahoma"/>
      <family val="2"/>
    </font>
    <font>
      <sz val="12"/>
      <name val="Calibri"/>
      <family val="2"/>
      <scheme val="minor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u/>
      <sz val="16"/>
      <name val="Calibri"/>
      <family val="2"/>
      <scheme val="minor"/>
    </font>
    <font>
      <u/>
      <sz val="9"/>
      <color theme="1"/>
      <name val="Calibri"/>
      <family val="2"/>
      <scheme val="minor"/>
    </font>
    <font>
      <sz val="11"/>
      <color theme="1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9F9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6">
    <xf numFmtId="0" fontId="0" fillId="0" borderId="0"/>
    <xf numFmtId="0" fontId="12" fillId="0" borderId="0"/>
    <xf numFmtId="0" fontId="13" fillId="0" borderId="0"/>
    <xf numFmtId="0" fontId="14" fillId="0" borderId="0"/>
    <xf numFmtId="0" fontId="15" fillId="0" borderId="0"/>
    <xf numFmtId="0" fontId="17" fillId="0" borderId="0"/>
    <xf numFmtId="0" fontId="19" fillId="0" borderId="0" applyNumberFormat="0" applyFill="0" applyBorder="0" applyAlignment="0" applyProtection="0">
      <alignment vertical="top"/>
      <protection locked="0"/>
    </xf>
    <xf numFmtId="0" fontId="20" fillId="0" borderId="0"/>
    <xf numFmtId="0" fontId="16" fillId="0" borderId="0"/>
    <xf numFmtId="0" fontId="12" fillId="0" borderId="0"/>
    <xf numFmtId="0" fontId="13" fillId="0" borderId="0"/>
    <xf numFmtId="0" fontId="21" fillId="0" borderId="0" applyNumberFormat="0" applyFill="0" applyBorder="0" applyProtection="0">
      <alignment vertical="top"/>
    </xf>
    <xf numFmtId="0" fontId="25" fillId="0" borderId="0"/>
    <xf numFmtId="0" fontId="32" fillId="0" borderId="0"/>
    <xf numFmtId="0" fontId="33" fillId="0" borderId="0"/>
    <xf numFmtId="0" fontId="34" fillId="0" borderId="0"/>
    <xf numFmtId="0" fontId="35" fillId="0" borderId="0"/>
    <xf numFmtId="0" fontId="36" fillId="0" borderId="0"/>
    <xf numFmtId="0" fontId="37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</cellStyleXfs>
  <cellXfs count="221">
    <xf numFmtId="0" fontId="0" fillId="0" borderId="0" xfId="0"/>
    <xf numFmtId="0" fontId="0" fillId="3" borderId="0" xfId="0" applyFill="1"/>
    <xf numFmtId="0" fontId="0" fillId="4" borderId="0" xfId="0" applyFill="1"/>
    <xf numFmtId="0" fontId="1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Fill="1" applyBorder="1"/>
    <xf numFmtId="0" fontId="1" fillId="2" borderId="6" xfId="0" applyFont="1" applyFill="1" applyBorder="1" applyAlignment="1">
      <alignment horizontal="center" vertical="center"/>
    </xf>
    <xf numFmtId="0" fontId="2" fillId="0" borderId="0" xfId="0" applyFont="1"/>
    <xf numFmtId="0" fontId="0" fillId="0" borderId="1" xfId="0" applyBorder="1" applyAlignment="1">
      <alignment horizontal="center" vertical="center" wrapText="1"/>
    </xf>
    <xf numFmtId="0" fontId="0" fillId="5" borderId="0" xfId="0" applyFill="1"/>
    <xf numFmtId="0" fontId="6" fillId="6" borderId="0" xfId="0" applyFont="1" applyFill="1" applyAlignment="1">
      <alignment horizontal="center"/>
    </xf>
    <xf numFmtId="0" fontId="9" fillId="7" borderId="1" xfId="0" applyFont="1" applyFill="1" applyBorder="1" applyAlignment="1">
      <alignment horizontal="left" vertical="center" wrapText="1"/>
    </xf>
    <xf numFmtId="0" fontId="10" fillId="7" borderId="9" xfId="0" applyNumberFormat="1" applyFont="1" applyFill="1" applyBorder="1" applyAlignment="1">
      <alignment horizontal="center" vertical="center" wrapText="1"/>
    </xf>
    <xf numFmtId="14" fontId="10" fillId="7" borderId="9" xfId="0" applyNumberFormat="1" applyFont="1" applyFill="1" applyBorder="1" applyAlignment="1">
      <alignment horizontal="center" vertical="center" wrapText="1"/>
    </xf>
    <xf numFmtId="20" fontId="10" fillId="7" borderId="9" xfId="0" applyNumberFormat="1" applyFont="1" applyFill="1" applyBorder="1" applyAlignment="1">
      <alignment horizontal="center" vertical="center" wrapText="1"/>
    </xf>
    <xf numFmtId="0" fontId="11" fillId="0" borderId="11" xfId="0" applyFont="1" applyFill="1" applyBorder="1" applyAlignment="1">
      <alignment vertical="center" wrapText="1"/>
    </xf>
    <xf numFmtId="0" fontId="11" fillId="5" borderId="2" xfId="0" applyFont="1" applyFill="1" applyBorder="1" applyAlignment="1">
      <alignment vertical="center" wrapText="1"/>
    </xf>
    <xf numFmtId="0" fontId="11" fillId="5" borderId="2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13" fillId="5" borderId="2" xfId="4" applyFont="1" applyFill="1" applyBorder="1" applyAlignment="1">
      <alignment vertical="center"/>
    </xf>
    <xf numFmtId="0" fontId="0" fillId="0" borderId="0" xfId="0" applyNumberFormat="1"/>
    <xf numFmtId="0" fontId="3" fillId="0" borderId="8" xfId="0" applyFont="1" applyBorder="1" applyAlignment="1">
      <alignment horizontal="right" vertical="center"/>
    </xf>
    <xf numFmtId="0" fontId="18" fillId="5" borderId="1" xfId="5" applyFont="1" applyFill="1" applyBorder="1" applyAlignment="1">
      <alignment horizontal="center" vertical="center" wrapText="1"/>
    </xf>
    <xf numFmtId="20" fontId="2" fillId="5" borderId="1" xfId="0" applyNumberFormat="1" applyFont="1" applyFill="1" applyBorder="1" applyAlignment="1">
      <alignment horizontal="center" vertical="center" wrapText="1"/>
    </xf>
    <xf numFmtId="0" fontId="9" fillId="7" borderId="1" xfId="0" applyFont="1" applyFill="1" applyBorder="1" applyAlignment="1">
      <alignment horizontal="center" vertical="center" wrapText="1"/>
    </xf>
    <xf numFmtId="0" fontId="0" fillId="0" borderId="0" xfId="0"/>
    <xf numFmtId="0" fontId="18" fillId="0" borderId="1" xfId="5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20" fontId="2" fillId="0" borderId="1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/>
    </xf>
    <xf numFmtId="0" fontId="8" fillId="0" borderId="7" xfId="0" applyFont="1" applyBorder="1" applyAlignment="1">
      <alignment horizontal="center" vertical="center"/>
    </xf>
    <xf numFmtId="0" fontId="4" fillId="2" borderId="2" xfId="0" applyFont="1" applyFill="1" applyBorder="1" applyAlignment="1">
      <alignment horizontal="left" vertical="center"/>
    </xf>
    <xf numFmtId="0" fontId="2" fillId="0" borderId="3" xfId="0" applyFont="1" applyBorder="1" applyAlignment="1">
      <alignment horizontal="center" vertical="center" wrapText="1"/>
    </xf>
    <xf numFmtId="0" fontId="9" fillId="7" borderId="13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vertical="center" wrapText="1"/>
    </xf>
    <xf numFmtId="0" fontId="9" fillId="7" borderId="2" xfId="0" applyFont="1" applyFill="1" applyBorder="1" applyAlignment="1">
      <alignment horizontal="left" vertical="center" wrapText="1"/>
    </xf>
    <xf numFmtId="0" fontId="9" fillId="7" borderId="2" xfId="0" applyFont="1" applyFill="1" applyBorder="1" applyAlignment="1">
      <alignment vertical="center" wrapText="1"/>
    </xf>
    <xf numFmtId="0" fontId="2" fillId="0" borderId="12" xfId="0" applyFont="1" applyBorder="1" applyAlignment="1">
      <alignment horizontal="left" vertical="center" wrapText="1"/>
    </xf>
    <xf numFmtId="0" fontId="10" fillId="7" borderId="1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8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14" fontId="2" fillId="0" borderId="1" xfId="0" applyNumberFormat="1" applyFont="1" applyBorder="1" applyAlignment="1">
      <alignment horizontal="center" vertical="center" wrapText="1"/>
    </xf>
    <xf numFmtId="20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20" fontId="2" fillId="0" borderId="1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 wrapText="1"/>
    </xf>
    <xf numFmtId="0" fontId="22" fillId="0" borderId="1" xfId="0" applyFont="1" applyBorder="1" applyAlignment="1">
      <alignment horizontal="center" vertical="center" wrapText="1"/>
    </xf>
    <xf numFmtId="0" fontId="23" fillId="0" borderId="1" xfId="0" applyFont="1" applyBorder="1"/>
    <xf numFmtId="0" fontId="0" fillId="0" borderId="0" xfId="0"/>
    <xf numFmtId="0" fontId="0" fillId="0" borderId="2" xfId="0" applyBorder="1" applyAlignment="1">
      <alignment horizontal="center" vertical="center" wrapText="1"/>
    </xf>
    <xf numFmtId="0" fontId="23" fillId="0" borderId="1" xfId="0" applyFont="1" applyBorder="1" applyAlignment="1">
      <alignment vertical="center"/>
    </xf>
    <xf numFmtId="0" fontId="13" fillId="5" borderId="2" xfId="12" applyFont="1" applyFill="1" applyBorder="1" applyAlignment="1">
      <alignment horizontal="center" vertical="center"/>
    </xf>
    <xf numFmtId="0" fontId="13" fillId="5" borderId="2" xfId="12" applyFont="1" applyFill="1" applyBorder="1" applyAlignment="1">
      <alignment horizontal="center" vertical="center"/>
    </xf>
    <xf numFmtId="0" fontId="13" fillId="5" borderId="2" xfId="12" applyFont="1" applyFill="1" applyBorder="1" applyAlignment="1">
      <alignment vertical="center"/>
    </xf>
    <xf numFmtId="0" fontId="13" fillId="5" borderId="2" xfId="12" applyFont="1" applyFill="1" applyBorder="1" applyAlignment="1">
      <alignment vertical="center"/>
    </xf>
    <xf numFmtId="0" fontId="13" fillId="5" borderId="2" xfId="12" applyFont="1" applyFill="1" applyBorder="1" applyAlignment="1">
      <alignment vertical="center"/>
    </xf>
    <xf numFmtId="0" fontId="13" fillId="5" borderId="2" xfId="12" applyFont="1" applyFill="1" applyBorder="1" applyAlignment="1">
      <alignment horizontal="center" vertical="center"/>
    </xf>
    <xf numFmtId="0" fontId="13" fillId="5" borderId="2" xfId="12" applyFont="1" applyFill="1" applyBorder="1" applyAlignment="1">
      <alignment vertical="center"/>
    </xf>
    <xf numFmtId="0" fontId="27" fillId="0" borderId="1" xfId="0" applyFont="1" applyBorder="1" applyAlignment="1">
      <alignment horizontal="center" vertical="center" wrapText="1"/>
    </xf>
    <xf numFmtId="14" fontId="27" fillId="0" borderId="1" xfId="0" applyNumberFormat="1" applyFont="1" applyBorder="1" applyAlignment="1">
      <alignment horizontal="center" vertical="center" wrapText="1"/>
    </xf>
    <xf numFmtId="20" fontId="27" fillId="0" borderId="1" xfId="0" applyNumberFormat="1" applyFont="1" applyBorder="1" applyAlignment="1">
      <alignment horizontal="center" vertical="center" wrapText="1"/>
    </xf>
    <xf numFmtId="0" fontId="29" fillId="0" borderId="1" xfId="0" applyFont="1" applyBorder="1" applyAlignment="1">
      <alignment horizontal="left" vertical="center" wrapText="1"/>
    </xf>
    <xf numFmtId="0" fontId="30" fillId="8" borderId="1" xfId="0" applyFont="1" applyFill="1" applyBorder="1" applyAlignment="1">
      <alignment horizontal="center" vertical="center" wrapText="1"/>
    </xf>
    <xf numFmtId="14" fontId="31" fillId="0" borderId="1" xfId="0" applyNumberFormat="1" applyFont="1" applyFill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 wrapText="1"/>
    </xf>
    <xf numFmtId="0" fontId="24" fillId="0" borderId="14" xfId="0" applyFont="1" applyFill="1" applyBorder="1" applyAlignment="1">
      <alignment vertical="center"/>
    </xf>
    <xf numFmtId="0" fontId="27" fillId="0" borderId="1" xfId="0" applyFont="1" applyBorder="1" applyAlignment="1">
      <alignment horizontal="left" vertical="center" wrapText="1"/>
    </xf>
    <xf numFmtId="0" fontId="11" fillId="5" borderId="2" xfId="2" applyFont="1" applyFill="1" applyBorder="1" applyAlignment="1">
      <alignment vertical="center" wrapText="1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 wrapText="1"/>
    </xf>
    <xf numFmtId="0" fontId="13" fillId="5" borderId="2" xfId="2" applyFont="1" applyFill="1" applyBorder="1" applyAlignment="1">
      <alignment vertical="center"/>
    </xf>
    <xf numFmtId="0" fontId="13" fillId="5" borderId="2" xfId="14" applyFont="1" applyFill="1" applyBorder="1" applyAlignment="1">
      <alignment vertical="center"/>
    </xf>
    <xf numFmtId="0" fontId="11" fillId="5" borderId="2" xfId="14" applyFont="1" applyFill="1" applyBorder="1" applyAlignment="1">
      <alignment vertical="center"/>
    </xf>
    <xf numFmtId="0" fontId="11" fillId="5" borderId="2" xfId="14" applyFont="1" applyFill="1" applyBorder="1" applyAlignment="1">
      <alignment vertical="center" wrapText="1"/>
    </xf>
    <xf numFmtId="0" fontId="27" fillId="5" borderId="1" xfId="0" applyFont="1" applyFill="1" applyBorder="1" applyAlignment="1">
      <alignment horizontal="left" vertical="center" wrapText="1"/>
    </xf>
    <xf numFmtId="164" fontId="14" fillId="5" borderId="1" xfId="2" applyNumberFormat="1" applyFont="1" applyFill="1" applyBorder="1" applyAlignment="1">
      <alignment horizontal="center"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30" fillId="5" borderId="1" xfId="0" applyFont="1" applyFill="1" applyBorder="1" applyAlignment="1">
      <alignment horizontal="left" vertical="center" wrapText="1"/>
    </xf>
    <xf numFmtId="0" fontId="27" fillId="0" borderId="1" xfId="0" applyFont="1" applyBorder="1" applyAlignment="1">
      <alignment horizontal="center" vertical="center" wrapText="1"/>
    </xf>
    <xf numFmtId="0" fontId="27" fillId="9" borderId="1" xfId="0" applyFont="1" applyFill="1" applyBorder="1" applyAlignment="1">
      <alignment horizontal="center" vertical="center" wrapText="1"/>
    </xf>
    <xf numFmtId="14" fontId="27" fillId="0" borderId="1" xfId="0" applyNumberFormat="1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0" fillId="0" borderId="1" xfId="0" applyFont="1" applyFill="1" applyBorder="1" applyAlignment="1">
      <alignment horizontal="center" vertical="center" wrapText="1"/>
    </xf>
    <xf numFmtId="0" fontId="0" fillId="0" borderId="0" xfId="0" applyFont="1"/>
    <xf numFmtId="0" fontId="27" fillId="0" borderId="1" xfId="0" applyNumberFormat="1" applyFont="1" applyBorder="1" applyAlignment="1">
      <alignment horizontal="left" vertical="center" wrapText="1"/>
    </xf>
    <xf numFmtId="0" fontId="13" fillId="5" borderId="2" xfId="17" applyFont="1" applyFill="1" applyBorder="1" applyAlignment="1">
      <alignment vertical="center"/>
    </xf>
    <xf numFmtId="0" fontId="2" fillId="0" borderId="1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23" fillId="0" borderId="1" xfId="0" applyFont="1" applyBorder="1"/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20" fontId="27" fillId="0" borderId="1" xfId="0" applyNumberFormat="1" applyFont="1" applyBorder="1" applyAlignment="1">
      <alignment horizontal="center" vertical="center" wrapText="1"/>
    </xf>
    <xf numFmtId="0" fontId="38" fillId="0" borderId="1" xfId="0" applyFont="1" applyBorder="1"/>
    <xf numFmtId="14" fontId="38" fillId="0" borderId="1" xfId="0" applyNumberFormat="1" applyFont="1" applyBorder="1"/>
    <xf numFmtId="165" fontId="38" fillId="0" borderId="1" xfId="0" applyNumberFormat="1" applyFont="1" applyBorder="1"/>
    <xf numFmtId="0" fontId="38" fillId="0" borderId="0" xfId="0" applyFont="1"/>
    <xf numFmtId="0" fontId="39" fillId="0" borderId="0" xfId="0" applyFont="1"/>
    <xf numFmtId="14" fontId="39" fillId="0" borderId="0" xfId="0" applyNumberFormat="1" applyFont="1"/>
    <xf numFmtId="165" fontId="39" fillId="0" borderId="0" xfId="0" applyNumberFormat="1" applyFont="1"/>
    <xf numFmtId="0" fontId="39" fillId="0" borderId="1" xfId="0" applyFont="1" applyBorder="1"/>
    <xf numFmtId="14" fontId="39" fillId="0" borderId="1" xfId="0" applyNumberFormat="1" applyFont="1" applyBorder="1"/>
    <xf numFmtId="165" fontId="39" fillId="0" borderId="1" xfId="0" applyNumberFormat="1" applyFont="1" applyBorder="1"/>
    <xf numFmtId="20" fontId="10" fillId="7" borderId="0" xfId="0" applyNumberFormat="1" applyFont="1" applyFill="1" applyBorder="1" applyAlignment="1">
      <alignment horizontal="center" vertical="center" wrapText="1"/>
    </xf>
    <xf numFmtId="14" fontId="2" fillId="0" borderId="0" xfId="0" applyNumberFormat="1" applyFont="1" applyBorder="1" applyAlignment="1">
      <alignment horizontal="center" vertical="center" wrapText="1"/>
    </xf>
    <xf numFmtId="0" fontId="40" fillId="0" borderId="0" xfId="0" applyFont="1"/>
    <xf numFmtId="0" fontId="4" fillId="2" borderId="15" xfId="0" applyFont="1" applyFill="1" applyBorder="1" applyAlignment="1">
      <alignment horizontal="left" vertical="center"/>
    </xf>
    <xf numFmtId="0" fontId="7" fillId="0" borderId="12" xfId="0" applyFont="1" applyFill="1" applyBorder="1" applyAlignment="1">
      <alignment vertical="center"/>
    </xf>
    <xf numFmtId="0" fontId="26" fillId="0" borderId="7" xfId="0" applyFont="1" applyFill="1" applyBorder="1" applyAlignment="1">
      <alignment vertical="center"/>
    </xf>
    <xf numFmtId="14" fontId="0" fillId="0" borderId="0" xfId="0" applyNumberFormat="1"/>
    <xf numFmtId="1" fontId="38" fillId="0" borderId="1" xfId="0" applyNumberFormat="1" applyFont="1" applyBorder="1"/>
    <xf numFmtId="1" fontId="39" fillId="0" borderId="1" xfId="0" applyNumberFormat="1" applyFont="1" applyBorder="1"/>
    <xf numFmtId="1" fontId="39" fillId="0" borderId="0" xfId="0" applyNumberFormat="1" applyFont="1"/>
    <xf numFmtId="0" fontId="0" fillId="0" borderId="0" xfId="0" applyAlignment="1">
      <alignment vertical="center" wrapText="1"/>
    </xf>
    <xf numFmtId="0" fontId="42" fillId="0" borderId="0" xfId="0" applyFont="1" applyFill="1" applyBorder="1" applyAlignment="1">
      <alignment horizontal="left" vertical="center"/>
    </xf>
    <xf numFmtId="0" fontId="7" fillId="0" borderId="0" xfId="0" applyFont="1" applyFill="1" applyBorder="1" applyAlignment="1">
      <alignment vertical="center"/>
    </xf>
    <xf numFmtId="49" fontId="7" fillId="0" borderId="0" xfId="0" applyNumberFormat="1" applyFont="1" applyFill="1" applyBorder="1" applyAlignment="1">
      <alignment horizontal="left" vertical="center"/>
    </xf>
    <xf numFmtId="0" fontId="43" fillId="0" borderId="1" xfId="0" applyFont="1" applyBorder="1"/>
    <xf numFmtId="49" fontId="0" fillId="0" borderId="0" xfId="0" applyNumberFormat="1"/>
    <xf numFmtId="49" fontId="8" fillId="0" borderId="7" xfId="0" applyNumberFormat="1" applyFont="1" applyBorder="1" applyAlignment="1">
      <alignment horizontal="center" vertical="center"/>
    </xf>
    <xf numFmtId="49" fontId="3" fillId="0" borderId="8" xfId="0" applyNumberFormat="1" applyFont="1" applyBorder="1" applyAlignment="1">
      <alignment horizontal="right" vertical="center"/>
    </xf>
    <xf numFmtId="49" fontId="4" fillId="2" borderId="12" xfId="0" applyNumberFormat="1" applyFont="1" applyFill="1" applyBorder="1" applyAlignment="1">
      <alignment horizontal="left" vertical="center"/>
    </xf>
    <xf numFmtId="49" fontId="4" fillId="2" borderId="7" xfId="0" applyNumberFormat="1" applyFont="1" applyFill="1" applyBorder="1" applyAlignment="1">
      <alignment horizontal="left" vertical="center"/>
    </xf>
    <xf numFmtId="49" fontId="7" fillId="0" borderId="0" xfId="0" applyNumberFormat="1" applyFont="1" applyFill="1" applyBorder="1" applyAlignment="1">
      <alignment vertical="center"/>
    </xf>
    <xf numFmtId="49" fontId="1" fillId="2" borderId="1" xfId="0" applyNumberFormat="1" applyFont="1" applyFill="1" applyBorder="1" applyAlignment="1">
      <alignment horizontal="center" vertical="center"/>
    </xf>
    <xf numFmtId="49" fontId="27" fillId="0" borderId="1" xfId="0" applyNumberFormat="1" applyFont="1" applyBorder="1" applyAlignment="1">
      <alignment horizontal="center" vertical="center" wrapText="1"/>
    </xf>
    <xf numFmtId="49" fontId="28" fillId="0" borderId="1" xfId="0" applyNumberFormat="1" applyFont="1" applyFill="1" applyBorder="1" applyAlignment="1">
      <alignment horizontal="center" vertical="center"/>
    </xf>
    <xf numFmtId="49" fontId="11" fillId="5" borderId="2" xfId="2" applyNumberFormat="1" applyFont="1" applyFill="1" applyBorder="1" applyAlignment="1">
      <alignment vertic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49" fontId="10" fillId="7" borderId="9" xfId="0" applyNumberFormat="1" applyFont="1" applyFill="1" applyBorder="1" applyAlignment="1">
      <alignment horizontal="center" vertical="center" wrapText="1"/>
    </xf>
    <xf numFmtId="49" fontId="10" fillId="7" borderId="9" xfId="0" applyNumberFormat="1" applyFont="1" applyFill="1" applyBorder="1" applyAlignment="1">
      <alignment horizontal="center" vertical="center"/>
    </xf>
    <xf numFmtId="49" fontId="0" fillId="3" borderId="0" xfId="0" applyNumberFormat="1" applyFill="1"/>
    <xf numFmtId="49" fontId="0" fillId="4" borderId="0" xfId="0" applyNumberFormat="1" applyFill="1"/>
    <xf numFmtId="49" fontId="38" fillId="0" borderId="1" xfId="0" applyNumberFormat="1" applyFont="1" applyBorder="1"/>
    <xf numFmtId="49" fontId="39" fillId="0" borderId="1" xfId="0" applyNumberFormat="1" applyFont="1" applyBorder="1"/>
    <xf numFmtId="49" fontId="39" fillId="0" borderId="0" xfId="0" applyNumberFormat="1" applyFont="1"/>
    <xf numFmtId="0" fontId="44" fillId="10" borderId="23" xfId="0" applyFont="1" applyFill="1" applyBorder="1" applyAlignment="1">
      <alignment horizontal="center" vertical="center" wrapText="1"/>
    </xf>
    <xf numFmtId="0" fontId="44" fillId="0" borderId="23" xfId="0" applyFont="1" applyBorder="1" applyAlignment="1">
      <alignment horizontal="center" vertical="center" wrapText="1"/>
    </xf>
    <xf numFmtId="0" fontId="44" fillId="10" borderId="23" xfId="0" applyFont="1" applyFill="1" applyBorder="1" applyAlignment="1">
      <alignment horizontal="center" vertical="center"/>
    </xf>
    <xf numFmtId="14" fontId="2" fillId="10" borderId="23" xfId="0" applyNumberFormat="1" applyFont="1" applyFill="1" applyBorder="1" applyAlignment="1">
      <alignment horizontal="center" vertical="center"/>
    </xf>
    <xf numFmtId="20" fontId="44" fillId="10" borderId="23" xfId="0" applyNumberFormat="1" applyFont="1" applyFill="1" applyBorder="1" applyAlignment="1">
      <alignment horizontal="center" vertical="center" wrapText="1"/>
    </xf>
    <xf numFmtId="0" fontId="8" fillId="0" borderId="7" xfId="0" applyNumberFormat="1" applyFont="1" applyBorder="1" applyAlignment="1">
      <alignment horizontal="center" vertical="center"/>
    </xf>
    <xf numFmtId="0" fontId="3" fillId="0" borderId="8" xfId="0" applyNumberFormat="1" applyFont="1" applyBorder="1" applyAlignment="1">
      <alignment horizontal="right" vertical="center"/>
    </xf>
    <xf numFmtId="0" fontId="7" fillId="0" borderId="0" xfId="0" applyNumberFormat="1" applyFont="1" applyFill="1" applyBorder="1" applyAlignment="1">
      <alignment horizontal="left" vertical="center"/>
    </xf>
    <xf numFmtId="0" fontId="1" fillId="2" borderId="1" xfId="0" applyNumberFormat="1" applyFont="1" applyFill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 wrapText="1"/>
    </xf>
    <xf numFmtId="0" fontId="2" fillId="0" borderId="0" xfId="0" applyNumberFormat="1" applyFont="1" applyBorder="1" applyAlignment="1">
      <alignment horizontal="center" vertical="center" wrapText="1"/>
    </xf>
    <xf numFmtId="0" fontId="0" fillId="3" borderId="0" xfId="0" applyNumberFormat="1" applyFill="1"/>
    <xf numFmtId="0" fontId="0" fillId="4" borderId="0" xfId="0" applyNumberFormat="1" applyFill="1"/>
    <xf numFmtId="49" fontId="2" fillId="0" borderId="1" xfId="0" applyNumberFormat="1" applyFont="1" applyBorder="1" applyAlignment="1">
      <alignment horizontal="center" vertical="center" wrapText="1"/>
    </xf>
    <xf numFmtId="0" fontId="7" fillId="0" borderId="1" xfId="0" applyFont="1" applyFill="1" applyBorder="1" applyAlignment="1">
      <alignment horizontal="left" vertical="center"/>
    </xf>
    <xf numFmtId="14" fontId="7" fillId="0" borderId="1" xfId="0" applyNumberFormat="1" applyFont="1" applyFill="1" applyBorder="1" applyAlignment="1">
      <alignment horizontal="left" vertical="center"/>
    </xf>
    <xf numFmtId="0" fontId="26" fillId="0" borderId="19" xfId="0" applyFont="1" applyFill="1" applyBorder="1" applyAlignment="1">
      <alignment horizontal="left" vertical="top"/>
    </xf>
    <xf numFmtId="0" fontId="26" fillId="0" borderId="20" xfId="0" applyFont="1" applyFill="1" applyBorder="1" applyAlignment="1">
      <alignment horizontal="left" vertical="top"/>
    </xf>
    <xf numFmtId="0" fontId="42" fillId="0" borderId="21" xfId="0" applyFont="1" applyFill="1" applyBorder="1" applyAlignment="1">
      <alignment horizontal="left" vertical="center"/>
    </xf>
    <xf numFmtId="0" fontId="42" fillId="0" borderId="22" xfId="0" applyFont="1" applyFill="1" applyBorder="1" applyAlignment="1">
      <alignment horizontal="left" vertical="center"/>
    </xf>
    <xf numFmtId="0" fontId="4" fillId="2" borderId="16" xfId="0" applyFont="1" applyFill="1" applyBorder="1" applyAlignment="1">
      <alignment horizontal="left" vertical="center"/>
    </xf>
    <xf numFmtId="0" fontId="4" fillId="2" borderId="17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4" fillId="2" borderId="3" xfId="0" applyFont="1" applyFill="1" applyBorder="1" applyAlignment="1">
      <alignment horizontal="left" vertical="center"/>
    </xf>
    <xf numFmtId="0" fontId="4" fillId="2" borderId="7" xfId="0" applyFont="1" applyFill="1" applyBorder="1" applyAlignment="1">
      <alignment horizontal="left" vertical="center"/>
    </xf>
    <xf numFmtId="49" fontId="7" fillId="0" borderId="1" xfId="0" applyNumberFormat="1" applyFont="1" applyFill="1" applyBorder="1" applyAlignment="1">
      <alignment horizontal="left" vertical="center"/>
    </xf>
    <xf numFmtId="0" fontId="26" fillId="0" borderId="11" xfId="0" applyFont="1" applyFill="1" applyBorder="1" applyAlignment="1">
      <alignment horizontal="left" vertical="top"/>
    </xf>
    <xf numFmtId="0" fontId="26" fillId="0" borderId="18" xfId="0" applyFont="1" applyFill="1" applyBorder="1" applyAlignment="1">
      <alignment horizontal="left" vertical="top"/>
    </xf>
    <xf numFmtId="0" fontId="2" fillId="0" borderId="5" xfId="0" applyFont="1" applyBorder="1" applyAlignment="1">
      <alignment horizontal="right" vertical="center"/>
    </xf>
    <xf numFmtId="0" fontId="3" fillId="0" borderId="4" xfId="0" applyFont="1" applyBorder="1" applyAlignment="1">
      <alignment horizontal="right" vertical="center"/>
    </xf>
    <xf numFmtId="0" fontId="44" fillId="0" borderId="23" xfId="0" applyFont="1" applyBorder="1" applyAlignment="1">
      <alignment horizontal="center" vertical="center"/>
    </xf>
    <xf numFmtId="14" fontId="2" fillId="0" borderId="23" xfId="0" applyNumberFormat="1" applyFont="1" applyBorder="1" applyAlignment="1">
      <alignment horizontal="center" vertical="center"/>
    </xf>
    <xf numFmtId="0" fontId="44" fillId="0" borderId="23" xfId="0" applyFont="1" applyFill="1" applyBorder="1" applyAlignment="1">
      <alignment horizontal="center" vertical="center"/>
    </xf>
    <xf numFmtId="0" fontId="44" fillId="0" borderId="23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27" fillId="0" borderId="1" xfId="0" applyNumberFormat="1" applyFont="1" applyFill="1" applyBorder="1" applyAlignment="1">
      <alignment horizontal="left" vertical="center" wrapText="1"/>
    </xf>
    <xf numFmtId="14" fontId="2" fillId="0" borderId="1" xfId="0" applyNumberFormat="1" applyFont="1" applyFill="1" applyBorder="1" applyAlignment="1">
      <alignment horizontal="center" vertical="center" wrapText="1"/>
    </xf>
    <xf numFmtId="0" fontId="13" fillId="0" borderId="2" xfId="2" applyFont="1" applyFill="1" applyBorder="1" applyAlignment="1">
      <alignment vertical="center"/>
    </xf>
    <xf numFmtId="14" fontId="2" fillId="0" borderId="23" xfId="0" applyNumberFormat="1" applyFont="1" applyFill="1" applyBorder="1" applyAlignment="1">
      <alignment horizontal="center" vertical="center"/>
    </xf>
  </cellXfs>
  <cellStyles count="26">
    <cellStyle name="Hipervínculo 2" xfId="6"/>
    <cellStyle name="Normal" xfId="0" builtinId="0"/>
    <cellStyle name="Normal 10" xfId="14"/>
    <cellStyle name="Normal 10 2" xfId="22"/>
    <cellStyle name="Normal 11" xfId="15"/>
    <cellStyle name="Normal 11 2" xfId="23"/>
    <cellStyle name="Normal 12" xfId="16"/>
    <cellStyle name="Normal 12 2" xfId="24"/>
    <cellStyle name="Normal 13" xfId="17"/>
    <cellStyle name="Normal 13 2" xfId="25"/>
    <cellStyle name="Normal 14" xfId="18"/>
    <cellStyle name="Normal 2" xfId="1"/>
    <cellStyle name="Normal 2 2" xfId="3"/>
    <cellStyle name="Normal 2 3" xfId="9"/>
    <cellStyle name="Normal 3" xfId="2"/>
    <cellStyle name="Normal 4" xfId="4"/>
    <cellStyle name="Normal 4 2" xfId="10"/>
    <cellStyle name="Normal 5" xfId="7"/>
    <cellStyle name="Normal 5 2" xfId="19"/>
    <cellStyle name="Normal 6" xfId="8"/>
    <cellStyle name="Normal 7" xfId="11"/>
    <cellStyle name="Normal 8" xfId="12"/>
    <cellStyle name="Normal 8 2" xfId="20"/>
    <cellStyle name="Normal 9" xfId="13"/>
    <cellStyle name="Normal 9 2" xfId="21"/>
    <cellStyle name="Normal_La Represa 4848, casa-21 7" xfId="5"/>
  </cellStyles>
  <dxfs count="16"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720725</xdr:colOff>
      <xdr:row>1</xdr:row>
      <xdr:rowOff>85725</xdr:rowOff>
    </xdr:from>
    <xdr:to>
      <xdr:col>14</xdr:col>
      <xdr:colOff>558222</xdr:colOff>
      <xdr:row>3</xdr:row>
      <xdr:rowOff>21479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86225" y="276225"/>
          <a:ext cx="1538595" cy="697754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952500</xdr:colOff>
          <xdr:row>1</xdr:row>
          <xdr:rowOff>28575</xdr:rowOff>
        </xdr:from>
        <xdr:to>
          <xdr:col>9</xdr:col>
          <xdr:colOff>38100</xdr:colOff>
          <xdr:row>2</xdr:row>
          <xdr:rowOff>9525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Carga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</xdr:row>
          <xdr:rowOff>104775</xdr:rowOff>
        </xdr:from>
        <xdr:to>
          <xdr:col>10</xdr:col>
          <xdr:colOff>704850</xdr:colOff>
          <xdr:row>10</xdr:row>
          <xdr:rowOff>533400</xdr:rowOff>
        </xdr:to>
        <xdr:sp macro="" textlink="">
          <xdr:nvSpPr>
            <xdr:cNvPr id="1253" name="CheckBox1" hidden="1">
              <a:extLst>
                <a:ext uri="{63B3BB69-23CF-44E3-9099-C40C66FF867C}">
                  <a14:compatExt spid="_x0000_s1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11</xdr:row>
          <xdr:rowOff>104775</xdr:rowOff>
        </xdr:from>
        <xdr:to>
          <xdr:col>10</xdr:col>
          <xdr:colOff>704850</xdr:colOff>
          <xdr:row>11</xdr:row>
          <xdr:rowOff>533400</xdr:rowOff>
        </xdr:to>
        <xdr:sp macro="" textlink="">
          <xdr:nvSpPr>
            <xdr:cNvPr id="1254" name="CheckBox2" hidden="1">
              <a:extLst>
                <a:ext uri="{63B3BB69-23CF-44E3-9099-C40C66FF867C}">
                  <a14:compatExt spid="_x0000_s1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12</xdr:row>
          <xdr:rowOff>104775</xdr:rowOff>
        </xdr:from>
        <xdr:to>
          <xdr:col>10</xdr:col>
          <xdr:colOff>704850</xdr:colOff>
          <xdr:row>12</xdr:row>
          <xdr:rowOff>533400</xdr:rowOff>
        </xdr:to>
        <xdr:sp macro="" textlink="">
          <xdr:nvSpPr>
            <xdr:cNvPr id="1255" name="CheckBox3" hidden="1">
              <a:extLst>
                <a:ext uri="{63B3BB69-23CF-44E3-9099-C40C66FF867C}">
                  <a14:compatExt spid="_x0000_s1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13</xdr:row>
          <xdr:rowOff>104775</xdr:rowOff>
        </xdr:from>
        <xdr:to>
          <xdr:col>10</xdr:col>
          <xdr:colOff>704850</xdr:colOff>
          <xdr:row>13</xdr:row>
          <xdr:rowOff>533400</xdr:rowOff>
        </xdr:to>
        <xdr:sp macro="" textlink="">
          <xdr:nvSpPr>
            <xdr:cNvPr id="1258" name="CheckBox4" hidden="1">
              <a:extLst>
                <a:ext uri="{63B3BB69-23CF-44E3-9099-C40C66FF867C}">
                  <a14:compatExt spid="_x0000_s1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14</xdr:row>
          <xdr:rowOff>104775</xdr:rowOff>
        </xdr:from>
        <xdr:to>
          <xdr:col>10</xdr:col>
          <xdr:colOff>704850</xdr:colOff>
          <xdr:row>14</xdr:row>
          <xdr:rowOff>533400</xdr:rowOff>
        </xdr:to>
        <xdr:sp macro="" textlink="">
          <xdr:nvSpPr>
            <xdr:cNvPr id="1259" name="CheckBox5" hidden="1">
              <a:extLst>
                <a:ext uri="{63B3BB69-23CF-44E3-9099-C40C66FF867C}">
                  <a14:compatExt spid="_x0000_s1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15</xdr:row>
          <xdr:rowOff>104775</xdr:rowOff>
        </xdr:from>
        <xdr:to>
          <xdr:col>10</xdr:col>
          <xdr:colOff>704850</xdr:colOff>
          <xdr:row>15</xdr:row>
          <xdr:rowOff>533400</xdr:rowOff>
        </xdr:to>
        <xdr:sp macro="" textlink="">
          <xdr:nvSpPr>
            <xdr:cNvPr id="1260" name="CheckBox6" hidden="1">
              <a:extLst>
                <a:ext uri="{63B3BB69-23CF-44E3-9099-C40C66FF867C}">
                  <a14:compatExt spid="_x0000_s1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16</xdr:row>
          <xdr:rowOff>104775</xdr:rowOff>
        </xdr:from>
        <xdr:to>
          <xdr:col>10</xdr:col>
          <xdr:colOff>704850</xdr:colOff>
          <xdr:row>16</xdr:row>
          <xdr:rowOff>533400</xdr:rowOff>
        </xdr:to>
        <xdr:sp macro="" textlink="">
          <xdr:nvSpPr>
            <xdr:cNvPr id="1261" name="CheckBox7" hidden="1">
              <a:extLst>
                <a:ext uri="{63B3BB69-23CF-44E3-9099-C40C66FF867C}">
                  <a14:compatExt spid="_x0000_s1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17</xdr:row>
          <xdr:rowOff>104775</xdr:rowOff>
        </xdr:from>
        <xdr:to>
          <xdr:col>10</xdr:col>
          <xdr:colOff>704850</xdr:colOff>
          <xdr:row>17</xdr:row>
          <xdr:rowOff>533400</xdr:rowOff>
        </xdr:to>
        <xdr:sp macro="" textlink="">
          <xdr:nvSpPr>
            <xdr:cNvPr id="1262" name="CheckBox8" hidden="1">
              <a:extLst>
                <a:ext uri="{63B3BB69-23CF-44E3-9099-C40C66FF867C}">
                  <a14:compatExt spid="_x0000_s1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18</xdr:row>
          <xdr:rowOff>104775</xdr:rowOff>
        </xdr:from>
        <xdr:to>
          <xdr:col>10</xdr:col>
          <xdr:colOff>704850</xdr:colOff>
          <xdr:row>18</xdr:row>
          <xdr:rowOff>533400</xdr:rowOff>
        </xdr:to>
        <xdr:sp macro="" textlink="">
          <xdr:nvSpPr>
            <xdr:cNvPr id="1263" name="CheckBox9" hidden="1">
              <a:extLst>
                <a:ext uri="{63B3BB69-23CF-44E3-9099-C40C66FF867C}">
                  <a14:compatExt spid="_x0000_s1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19</xdr:row>
          <xdr:rowOff>104775</xdr:rowOff>
        </xdr:from>
        <xdr:to>
          <xdr:col>10</xdr:col>
          <xdr:colOff>704850</xdr:colOff>
          <xdr:row>19</xdr:row>
          <xdr:rowOff>533400</xdr:rowOff>
        </xdr:to>
        <xdr:sp macro="" textlink="">
          <xdr:nvSpPr>
            <xdr:cNvPr id="1264" name="CheckBox10" hidden="1">
              <a:extLst>
                <a:ext uri="{63B3BB69-23CF-44E3-9099-C40C66FF867C}">
                  <a14:compatExt spid="_x0000_s1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20</xdr:row>
          <xdr:rowOff>104775</xdr:rowOff>
        </xdr:from>
        <xdr:to>
          <xdr:col>10</xdr:col>
          <xdr:colOff>704850</xdr:colOff>
          <xdr:row>20</xdr:row>
          <xdr:rowOff>533400</xdr:rowOff>
        </xdr:to>
        <xdr:sp macro="" textlink="">
          <xdr:nvSpPr>
            <xdr:cNvPr id="1265" name="CheckBox11" hidden="1">
              <a:extLst>
                <a:ext uri="{63B3BB69-23CF-44E3-9099-C40C66FF867C}">
                  <a14:compatExt spid="_x0000_s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21</xdr:row>
          <xdr:rowOff>104775</xdr:rowOff>
        </xdr:from>
        <xdr:to>
          <xdr:col>10</xdr:col>
          <xdr:colOff>704850</xdr:colOff>
          <xdr:row>21</xdr:row>
          <xdr:rowOff>533400</xdr:rowOff>
        </xdr:to>
        <xdr:sp macro="" textlink="">
          <xdr:nvSpPr>
            <xdr:cNvPr id="1266" name="CheckBox12" hidden="1">
              <a:extLst>
                <a:ext uri="{63B3BB69-23CF-44E3-9099-C40C66FF867C}">
                  <a14:compatExt spid="_x0000_s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22</xdr:row>
          <xdr:rowOff>104775</xdr:rowOff>
        </xdr:from>
        <xdr:to>
          <xdr:col>10</xdr:col>
          <xdr:colOff>704850</xdr:colOff>
          <xdr:row>22</xdr:row>
          <xdr:rowOff>533400</xdr:rowOff>
        </xdr:to>
        <xdr:sp macro="" textlink="">
          <xdr:nvSpPr>
            <xdr:cNvPr id="1267" name="CheckBox13" hidden="1">
              <a:extLst>
                <a:ext uri="{63B3BB69-23CF-44E3-9099-C40C66FF867C}">
                  <a14:compatExt spid="_x0000_s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23</xdr:row>
          <xdr:rowOff>104775</xdr:rowOff>
        </xdr:from>
        <xdr:to>
          <xdr:col>10</xdr:col>
          <xdr:colOff>704850</xdr:colOff>
          <xdr:row>23</xdr:row>
          <xdr:rowOff>533400</xdr:rowOff>
        </xdr:to>
        <xdr:sp macro="" textlink="">
          <xdr:nvSpPr>
            <xdr:cNvPr id="1268" name="CheckBox14" hidden="1">
              <a:extLst>
                <a:ext uri="{63B3BB69-23CF-44E3-9099-C40C66FF867C}">
                  <a14:compatExt spid="_x0000_s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24</xdr:row>
          <xdr:rowOff>104775</xdr:rowOff>
        </xdr:from>
        <xdr:to>
          <xdr:col>10</xdr:col>
          <xdr:colOff>704850</xdr:colOff>
          <xdr:row>24</xdr:row>
          <xdr:rowOff>533400</xdr:rowOff>
        </xdr:to>
        <xdr:sp macro="" textlink="">
          <xdr:nvSpPr>
            <xdr:cNvPr id="1269" name="CheckBox15" hidden="1">
              <a:extLst>
                <a:ext uri="{63B3BB69-23CF-44E3-9099-C40C66FF867C}">
                  <a14:compatExt spid="_x0000_s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25</xdr:row>
          <xdr:rowOff>104775</xdr:rowOff>
        </xdr:from>
        <xdr:to>
          <xdr:col>10</xdr:col>
          <xdr:colOff>704850</xdr:colOff>
          <xdr:row>25</xdr:row>
          <xdr:rowOff>533400</xdr:rowOff>
        </xdr:to>
        <xdr:sp macro="" textlink="">
          <xdr:nvSpPr>
            <xdr:cNvPr id="1270" name="CheckBox16" hidden="1">
              <a:extLst>
                <a:ext uri="{63B3BB69-23CF-44E3-9099-C40C66FF867C}">
                  <a14:compatExt spid="_x0000_s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26</xdr:row>
          <xdr:rowOff>104775</xdr:rowOff>
        </xdr:from>
        <xdr:to>
          <xdr:col>10</xdr:col>
          <xdr:colOff>704850</xdr:colOff>
          <xdr:row>26</xdr:row>
          <xdr:rowOff>533400</xdr:rowOff>
        </xdr:to>
        <xdr:sp macro="" textlink="">
          <xdr:nvSpPr>
            <xdr:cNvPr id="1271" name="CheckBox17" hidden="1">
              <a:extLst>
                <a:ext uri="{63B3BB69-23CF-44E3-9099-C40C66FF867C}">
                  <a14:compatExt spid="_x0000_s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27</xdr:row>
          <xdr:rowOff>104775</xdr:rowOff>
        </xdr:from>
        <xdr:to>
          <xdr:col>10</xdr:col>
          <xdr:colOff>704850</xdr:colOff>
          <xdr:row>27</xdr:row>
          <xdr:rowOff>533400</xdr:rowOff>
        </xdr:to>
        <xdr:sp macro="" textlink="">
          <xdr:nvSpPr>
            <xdr:cNvPr id="1272" name="CheckBox18" hidden="1">
              <a:extLst>
                <a:ext uri="{63B3BB69-23CF-44E3-9099-C40C66FF867C}">
                  <a14:compatExt spid="_x0000_s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28</xdr:row>
          <xdr:rowOff>104775</xdr:rowOff>
        </xdr:from>
        <xdr:to>
          <xdr:col>10</xdr:col>
          <xdr:colOff>704850</xdr:colOff>
          <xdr:row>28</xdr:row>
          <xdr:rowOff>533400</xdr:rowOff>
        </xdr:to>
        <xdr:sp macro="" textlink="">
          <xdr:nvSpPr>
            <xdr:cNvPr id="1273" name="CheckBox19" hidden="1">
              <a:extLst>
                <a:ext uri="{63B3BB69-23CF-44E3-9099-C40C66FF867C}">
                  <a14:compatExt spid="_x0000_s1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29</xdr:row>
          <xdr:rowOff>104775</xdr:rowOff>
        </xdr:from>
        <xdr:to>
          <xdr:col>10</xdr:col>
          <xdr:colOff>704850</xdr:colOff>
          <xdr:row>29</xdr:row>
          <xdr:rowOff>533400</xdr:rowOff>
        </xdr:to>
        <xdr:sp macro="" textlink="">
          <xdr:nvSpPr>
            <xdr:cNvPr id="1274" name="CheckBox20" hidden="1">
              <a:extLst>
                <a:ext uri="{63B3BB69-23CF-44E3-9099-C40C66FF867C}">
                  <a14:compatExt spid="_x0000_s1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30</xdr:row>
          <xdr:rowOff>104775</xdr:rowOff>
        </xdr:from>
        <xdr:to>
          <xdr:col>10</xdr:col>
          <xdr:colOff>704850</xdr:colOff>
          <xdr:row>30</xdr:row>
          <xdr:rowOff>533400</xdr:rowOff>
        </xdr:to>
        <xdr:sp macro="" textlink="">
          <xdr:nvSpPr>
            <xdr:cNvPr id="1275" name="CheckBox21" hidden="1">
              <a:extLst>
                <a:ext uri="{63B3BB69-23CF-44E3-9099-C40C66FF867C}">
                  <a14:compatExt spid="_x0000_s1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31</xdr:row>
          <xdr:rowOff>104775</xdr:rowOff>
        </xdr:from>
        <xdr:to>
          <xdr:col>10</xdr:col>
          <xdr:colOff>704850</xdr:colOff>
          <xdr:row>31</xdr:row>
          <xdr:rowOff>533400</xdr:rowOff>
        </xdr:to>
        <xdr:sp macro="" textlink="">
          <xdr:nvSpPr>
            <xdr:cNvPr id="1276" name="CheckBox22" hidden="1">
              <a:extLst>
                <a:ext uri="{63B3BB69-23CF-44E3-9099-C40C66FF867C}">
                  <a14:compatExt spid="_x0000_s1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32</xdr:row>
          <xdr:rowOff>104775</xdr:rowOff>
        </xdr:from>
        <xdr:to>
          <xdr:col>10</xdr:col>
          <xdr:colOff>704850</xdr:colOff>
          <xdr:row>32</xdr:row>
          <xdr:rowOff>533400</xdr:rowOff>
        </xdr:to>
        <xdr:sp macro="" textlink="">
          <xdr:nvSpPr>
            <xdr:cNvPr id="1277" name="CheckBox23" hidden="1">
              <a:extLst>
                <a:ext uri="{63B3BB69-23CF-44E3-9099-C40C66FF867C}">
                  <a14:compatExt spid="_x0000_s1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33</xdr:row>
          <xdr:rowOff>104775</xdr:rowOff>
        </xdr:from>
        <xdr:to>
          <xdr:col>10</xdr:col>
          <xdr:colOff>704850</xdr:colOff>
          <xdr:row>33</xdr:row>
          <xdr:rowOff>533400</xdr:rowOff>
        </xdr:to>
        <xdr:sp macro="" textlink="">
          <xdr:nvSpPr>
            <xdr:cNvPr id="1278" name="CheckBox24" hidden="1">
              <a:extLst>
                <a:ext uri="{63B3BB69-23CF-44E3-9099-C40C66FF867C}">
                  <a14:compatExt spid="_x0000_s1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34</xdr:row>
          <xdr:rowOff>104775</xdr:rowOff>
        </xdr:from>
        <xdr:to>
          <xdr:col>10</xdr:col>
          <xdr:colOff>704850</xdr:colOff>
          <xdr:row>34</xdr:row>
          <xdr:rowOff>533400</xdr:rowOff>
        </xdr:to>
        <xdr:sp macro="" textlink="">
          <xdr:nvSpPr>
            <xdr:cNvPr id="1279" name="CheckBox25" hidden="1">
              <a:extLst>
                <a:ext uri="{63B3BB69-23CF-44E3-9099-C40C66FF867C}">
                  <a14:compatExt spid="_x0000_s1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35</xdr:row>
          <xdr:rowOff>104775</xdr:rowOff>
        </xdr:from>
        <xdr:to>
          <xdr:col>10</xdr:col>
          <xdr:colOff>704850</xdr:colOff>
          <xdr:row>35</xdr:row>
          <xdr:rowOff>533400</xdr:rowOff>
        </xdr:to>
        <xdr:sp macro="" textlink="">
          <xdr:nvSpPr>
            <xdr:cNvPr id="1280" name="CheckBox26" hidden="1">
              <a:extLst>
                <a:ext uri="{63B3BB69-23CF-44E3-9099-C40C66FF867C}">
                  <a14:compatExt spid="_x0000_s1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36</xdr:row>
          <xdr:rowOff>104775</xdr:rowOff>
        </xdr:from>
        <xdr:to>
          <xdr:col>10</xdr:col>
          <xdr:colOff>704850</xdr:colOff>
          <xdr:row>36</xdr:row>
          <xdr:rowOff>533400</xdr:rowOff>
        </xdr:to>
        <xdr:sp macro="" textlink="">
          <xdr:nvSpPr>
            <xdr:cNvPr id="1281" name="CheckBox27" hidden="1">
              <a:extLst>
                <a:ext uri="{63B3BB69-23CF-44E3-9099-C40C66FF867C}">
                  <a14:compatExt spid="_x0000_s1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37</xdr:row>
          <xdr:rowOff>104775</xdr:rowOff>
        </xdr:from>
        <xdr:to>
          <xdr:col>10</xdr:col>
          <xdr:colOff>704850</xdr:colOff>
          <xdr:row>37</xdr:row>
          <xdr:rowOff>533400</xdr:rowOff>
        </xdr:to>
        <xdr:sp macro="" textlink="">
          <xdr:nvSpPr>
            <xdr:cNvPr id="1282" name="CheckBox28" hidden="1">
              <a:extLst>
                <a:ext uri="{63B3BB69-23CF-44E3-9099-C40C66FF867C}">
                  <a14:compatExt spid="_x0000_s1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38</xdr:row>
          <xdr:rowOff>104775</xdr:rowOff>
        </xdr:from>
        <xdr:to>
          <xdr:col>10</xdr:col>
          <xdr:colOff>704850</xdr:colOff>
          <xdr:row>38</xdr:row>
          <xdr:rowOff>533400</xdr:rowOff>
        </xdr:to>
        <xdr:sp macro="" textlink="">
          <xdr:nvSpPr>
            <xdr:cNvPr id="1283" name="CheckBox29" hidden="1">
              <a:extLst>
                <a:ext uri="{63B3BB69-23CF-44E3-9099-C40C66FF867C}">
                  <a14:compatExt spid="_x0000_s1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39</xdr:row>
          <xdr:rowOff>104775</xdr:rowOff>
        </xdr:from>
        <xdr:to>
          <xdr:col>10</xdr:col>
          <xdr:colOff>704850</xdr:colOff>
          <xdr:row>39</xdr:row>
          <xdr:rowOff>533400</xdr:rowOff>
        </xdr:to>
        <xdr:sp macro="" textlink="">
          <xdr:nvSpPr>
            <xdr:cNvPr id="1284" name="CheckBox30" hidden="1">
              <a:extLst>
                <a:ext uri="{63B3BB69-23CF-44E3-9099-C40C66FF867C}">
                  <a14:compatExt spid="_x0000_s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40</xdr:row>
          <xdr:rowOff>104775</xdr:rowOff>
        </xdr:from>
        <xdr:to>
          <xdr:col>10</xdr:col>
          <xdr:colOff>704850</xdr:colOff>
          <xdr:row>40</xdr:row>
          <xdr:rowOff>533400</xdr:rowOff>
        </xdr:to>
        <xdr:sp macro="" textlink="">
          <xdr:nvSpPr>
            <xdr:cNvPr id="1285" name="CheckBox31" hidden="1">
              <a:extLst>
                <a:ext uri="{63B3BB69-23CF-44E3-9099-C40C66FF867C}">
                  <a14:compatExt spid="_x0000_s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41</xdr:row>
          <xdr:rowOff>104775</xdr:rowOff>
        </xdr:from>
        <xdr:to>
          <xdr:col>10</xdr:col>
          <xdr:colOff>704850</xdr:colOff>
          <xdr:row>41</xdr:row>
          <xdr:rowOff>533400</xdr:rowOff>
        </xdr:to>
        <xdr:sp macro="" textlink="">
          <xdr:nvSpPr>
            <xdr:cNvPr id="1286" name="CheckBox32" hidden="1">
              <a:extLst>
                <a:ext uri="{63B3BB69-23CF-44E3-9099-C40C66FF867C}">
                  <a14:compatExt spid="_x0000_s1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42</xdr:row>
          <xdr:rowOff>142875</xdr:rowOff>
        </xdr:from>
        <xdr:to>
          <xdr:col>10</xdr:col>
          <xdr:colOff>723900</xdr:colOff>
          <xdr:row>42</xdr:row>
          <xdr:rowOff>571500</xdr:rowOff>
        </xdr:to>
        <xdr:sp macro="" textlink="">
          <xdr:nvSpPr>
            <xdr:cNvPr id="1287" name="CheckBox33" hidden="1">
              <a:extLst>
                <a:ext uri="{63B3BB69-23CF-44E3-9099-C40C66FF867C}">
                  <a14:compatExt spid="_x0000_s1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43</xdr:row>
          <xdr:rowOff>104775</xdr:rowOff>
        </xdr:from>
        <xdr:to>
          <xdr:col>10</xdr:col>
          <xdr:colOff>704850</xdr:colOff>
          <xdr:row>43</xdr:row>
          <xdr:rowOff>533400</xdr:rowOff>
        </xdr:to>
        <xdr:sp macro="" textlink="">
          <xdr:nvSpPr>
            <xdr:cNvPr id="1288" name="CheckBox34" hidden="1">
              <a:extLst>
                <a:ext uri="{63B3BB69-23CF-44E3-9099-C40C66FF867C}">
                  <a14:compatExt spid="_x0000_s1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44</xdr:row>
          <xdr:rowOff>104775</xdr:rowOff>
        </xdr:from>
        <xdr:to>
          <xdr:col>10</xdr:col>
          <xdr:colOff>704850</xdr:colOff>
          <xdr:row>44</xdr:row>
          <xdr:rowOff>533400</xdr:rowOff>
        </xdr:to>
        <xdr:sp macro="" textlink="">
          <xdr:nvSpPr>
            <xdr:cNvPr id="1289" name="CheckBox35" hidden="1">
              <a:extLst>
                <a:ext uri="{63B3BB69-23CF-44E3-9099-C40C66FF867C}">
                  <a14:compatExt spid="_x0000_s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45</xdr:row>
          <xdr:rowOff>104775</xdr:rowOff>
        </xdr:from>
        <xdr:to>
          <xdr:col>10</xdr:col>
          <xdr:colOff>704850</xdr:colOff>
          <xdr:row>45</xdr:row>
          <xdr:rowOff>533400</xdr:rowOff>
        </xdr:to>
        <xdr:sp macro="" textlink="">
          <xdr:nvSpPr>
            <xdr:cNvPr id="1290" name="CheckBox36" hidden="1">
              <a:extLst>
                <a:ext uri="{63B3BB69-23CF-44E3-9099-C40C66FF867C}">
                  <a14:compatExt spid="_x0000_s1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46</xdr:row>
          <xdr:rowOff>104775</xdr:rowOff>
        </xdr:from>
        <xdr:to>
          <xdr:col>10</xdr:col>
          <xdr:colOff>704850</xdr:colOff>
          <xdr:row>46</xdr:row>
          <xdr:rowOff>533400</xdr:rowOff>
        </xdr:to>
        <xdr:sp macro="" textlink="">
          <xdr:nvSpPr>
            <xdr:cNvPr id="1291" name="CheckBox37" hidden="1">
              <a:extLst>
                <a:ext uri="{63B3BB69-23CF-44E3-9099-C40C66FF867C}">
                  <a14:compatExt spid="_x0000_s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47</xdr:row>
          <xdr:rowOff>104775</xdr:rowOff>
        </xdr:from>
        <xdr:to>
          <xdr:col>10</xdr:col>
          <xdr:colOff>704850</xdr:colOff>
          <xdr:row>47</xdr:row>
          <xdr:rowOff>533400</xdr:rowOff>
        </xdr:to>
        <xdr:sp macro="" textlink="">
          <xdr:nvSpPr>
            <xdr:cNvPr id="1292" name="CheckBox38" hidden="1">
              <a:extLst>
                <a:ext uri="{63B3BB69-23CF-44E3-9099-C40C66FF867C}">
                  <a14:compatExt spid="_x0000_s1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48</xdr:row>
          <xdr:rowOff>104775</xdr:rowOff>
        </xdr:from>
        <xdr:to>
          <xdr:col>10</xdr:col>
          <xdr:colOff>704850</xdr:colOff>
          <xdr:row>48</xdr:row>
          <xdr:rowOff>533400</xdr:rowOff>
        </xdr:to>
        <xdr:sp macro="" textlink="">
          <xdr:nvSpPr>
            <xdr:cNvPr id="1293" name="CheckBox39" hidden="1">
              <a:extLst>
                <a:ext uri="{63B3BB69-23CF-44E3-9099-C40C66FF867C}">
                  <a14:compatExt spid="_x0000_s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49</xdr:row>
          <xdr:rowOff>104775</xdr:rowOff>
        </xdr:from>
        <xdr:to>
          <xdr:col>10</xdr:col>
          <xdr:colOff>704850</xdr:colOff>
          <xdr:row>49</xdr:row>
          <xdr:rowOff>533400</xdr:rowOff>
        </xdr:to>
        <xdr:sp macro="" textlink="">
          <xdr:nvSpPr>
            <xdr:cNvPr id="1294" name="CheckBox40" hidden="1">
              <a:extLst>
                <a:ext uri="{63B3BB69-23CF-44E3-9099-C40C66FF867C}">
                  <a14:compatExt spid="_x0000_s1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50</xdr:row>
          <xdr:rowOff>104775</xdr:rowOff>
        </xdr:from>
        <xdr:to>
          <xdr:col>10</xdr:col>
          <xdr:colOff>704850</xdr:colOff>
          <xdr:row>50</xdr:row>
          <xdr:rowOff>533400</xdr:rowOff>
        </xdr:to>
        <xdr:sp macro="" textlink="">
          <xdr:nvSpPr>
            <xdr:cNvPr id="1295" name="CheckBox41" hidden="1">
              <a:extLst>
                <a:ext uri="{63B3BB69-23CF-44E3-9099-C40C66FF867C}">
                  <a14:compatExt spid="_x0000_s1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51</xdr:row>
          <xdr:rowOff>104775</xdr:rowOff>
        </xdr:from>
        <xdr:to>
          <xdr:col>10</xdr:col>
          <xdr:colOff>704850</xdr:colOff>
          <xdr:row>51</xdr:row>
          <xdr:rowOff>533400</xdr:rowOff>
        </xdr:to>
        <xdr:sp macro="" textlink="">
          <xdr:nvSpPr>
            <xdr:cNvPr id="1296" name="CheckBox42" hidden="1">
              <a:extLst>
                <a:ext uri="{63B3BB69-23CF-44E3-9099-C40C66FF867C}">
                  <a14:compatExt spid="_x0000_s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52</xdr:row>
          <xdr:rowOff>104775</xdr:rowOff>
        </xdr:from>
        <xdr:to>
          <xdr:col>10</xdr:col>
          <xdr:colOff>704850</xdr:colOff>
          <xdr:row>52</xdr:row>
          <xdr:rowOff>533400</xdr:rowOff>
        </xdr:to>
        <xdr:sp macro="" textlink="">
          <xdr:nvSpPr>
            <xdr:cNvPr id="1297" name="CheckBox43" hidden="1">
              <a:extLst>
                <a:ext uri="{63B3BB69-23CF-44E3-9099-C40C66FF867C}">
                  <a14:compatExt spid="_x0000_s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53</xdr:row>
          <xdr:rowOff>104775</xdr:rowOff>
        </xdr:from>
        <xdr:to>
          <xdr:col>10</xdr:col>
          <xdr:colOff>704850</xdr:colOff>
          <xdr:row>53</xdr:row>
          <xdr:rowOff>533400</xdr:rowOff>
        </xdr:to>
        <xdr:sp macro="" textlink="">
          <xdr:nvSpPr>
            <xdr:cNvPr id="1298" name="CheckBox44" hidden="1">
              <a:extLst>
                <a:ext uri="{63B3BB69-23CF-44E3-9099-C40C66FF867C}">
                  <a14:compatExt spid="_x0000_s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54</xdr:row>
          <xdr:rowOff>104775</xdr:rowOff>
        </xdr:from>
        <xdr:to>
          <xdr:col>10</xdr:col>
          <xdr:colOff>704850</xdr:colOff>
          <xdr:row>54</xdr:row>
          <xdr:rowOff>533400</xdr:rowOff>
        </xdr:to>
        <xdr:sp macro="" textlink="">
          <xdr:nvSpPr>
            <xdr:cNvPr id="1299" name="CheckBox45" hidden="1">
              <a:extLst>
                <a:ext uri="{63B3BB69-23CF-44E3-9099-C40C66FF867C}">
                  <a14:compatExt spid="_x0000_s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55</xdr:row>
          <xdr:rowOff>104775</xdr:rowOff>
        </xdr:from>
        <xdr:to>
          <xdr:col>10</xdr:col>
          <xdr:colOff>704850</xdr:colOff>
          <xdr:row>55</xdr:row>
          <xdr:rowOff>533400</xdr:rowOff>
        </xdr:to>
        <xdr:sp macro="" textlink="">
          <xdr:nvSpPr>
            <xdr:cNvPr id="1300" name="CheckBox46" hidden="1">
              <a:extLst>
                <a:ext uri="{63B3BB69-23CF-44E3-9099-C40C66FF867C}">
                  <a14:compatExt spid="_x0000_s1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56</xdr:row>
          <xdr:rowOff>104775</xdr:rowOff>
        </xdr:from>
        <xdr:to>
          <xdr:col>10</xdr:col>
          <xdr:colOff>704850</xdr:colOff>
          <xdr:row>56</xdr:row>
          <xdr:rowOff>533400</xdr:rowOff>
        </xdr:to>
        <xdr:sp macro="" textlink="">
          <xdr:nvSpPr>
            <xdr:cNvPr id="1301" name="CheckBox47" hidden="1">
              <a:extLst>
                <a:ext uri="{63B3BB69-23CF-44E3-9099-C40C66FF867C}">
                  <a14:compatExt spid="_x0000_s1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57</xdr:row>
          <xdr:rowOff>104775</xdr:rowOff>
        </xdr:from>
        <xdr:to>
          <xdr:col>10</xdr:col>
          <xdr:colOff>704850</xdr:colOff>
          <xdr:row>57</xdr:row>
          <xdr:rowOff>533400</xdr:rowOff>
        </xdr:to>
        <xdr:sp macro="" textlink="">
          <xdr:nvSpPr>
            <xdr:cNvPr id="1302" name="CheckBox48" hidden="1">
              <a:extLst>
                <a:ext uri="{63B3BB69-23CF-44E3-9099-C40C66FF867C}">
                  <a14:compatExt spid="_x0000_s1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58</xdr:row>
          <xdr:rowOff>104775</xdr:rowOff>
        </xdr:from>
        <xdr:to>
          <xdr:col>10</xdr:col>
          <xdr:colOff>704850</xdr:colOff>
          <xdr:row>58</xdr:row>
          <xdr:rowOff>533400</xdr:rowOff>
        </xdr:to>
        <xdr:sp macro="" textlink="">
          <xdr:nvSpPr>
            <xdr:cNvPr id="1303" name="CheckBox49" hidden="1">
              <a:extLst>
                <a:ext uri="{63B3BB69-23CF-44E3-9099-C40C66FF867C}">
                  <a14:compatExt spid="_x0000_s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59</xdr:row>
          <xdr:rowOff>104775</xdr:rowOff>
        </xdr:from>
        <xdr:to>
          <xdr:col>10</xdr:col>
          <xdr:colOff>704850</xdr:colOff>
          <xdr:row>59</xdr:row>
          <xdr:rowOff>533400</xdr:rowOff>
        </xdr:to>
        <xdr:sp macro="" textlink="">
          <xdr:nvSpPr>
            <xdr:cNvPr id="1304" name="CheckBox50" hidden="1">
              <a:extLst>
                <a:ext uri="{63B3BB69-23CF-44E3-9099-C40C66FF867C}">
                  <a14:compatExt spid="_x0000_s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60</xdr:row>
          <xdr:rowOff>104775</xdr:rowOff>
        </xdr:from>
        <xdr:to>
          <xdr:col>10</xdr:col>
          <xdr:colOff>704850</xdr:colOff>
          <xdr:row>60</xdr:row>
          <xdr:rowOff>533400</xdr:rowOff>
        </xdr:to>
        <xdr:sp macro="" textlink="">
          <xdr:nvSpPr>
            <xdr:cNvPr id="1305" name="CheckBox51" hidden="1">
              <a:extLst>
                <a:ext uri="{63B3BB69-23CF-44E3-9099-C40C66FF867C}">
                  <a14:compatExt spid="_x0000_s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61</xdr:row>
          <xdr:rowOff>104775</xdr:rowOff>
        </xdr:from>
        <xdr:to>
          <xdr:col>10</xdr:col>
          <xdr:colOff>704850</xdr:colOff>
          <xdr:row>61</xdr:row>
          <xdr:rowOff>533400</xdr:rowOff>
        </xdr:to>
        <xdr:sp macro="" textlink="">
          <xdr:nvSpPr>
            <xdr:cNvPr id="1306" name="CheckBox52" hidden="1">
              <a:extLst>
                <a:ext uri="{63B3BB69-23CF-44E3-9099-C40C66FF867C}">
                  <a14:compatExt spid="_x0000_s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62</xdr:row>
          <xdr:rowOff>104775</xdr:rowOff>
        </xdr:from>
        <xdr:to>
          <xdr:col>10</xdr:col>
          <xdr:colOff>704850</xdr:colOff>
          <xdr:row>62</xdr:row>
          <xdr:rowOff>533400</xdr:rowOff>
        </xdr:to>
        <xdr:sp macro="" textlink="">
          <xdr:nvSpPr>
            <xdr:cNvPr id="1307" name="CheckBox53" hidden="1">
              <a:extLst>
                <a:ext uri="{63B3BB69-23CF-44E3-9099-C40C66FF867C}">
                  <a14:compatExt spid="_x0000_s1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63</xdr:row>
          <xdr:rowOff>104775</xdr:rowOff>
        </xdr:from>
        <xdr:to>
          <xdr:col>10</xdr:col>
          <xdr:colOff>704850</xdr:colOff>
          <xdr:row>63</xdr:row>
          <xdr:rowOff>533400</xdr:rowOff>
        </xdr:to>
        <xdr:sp macro="" textlink="">
          <xdr:nvSpPr>
            <xdr:cNvPr id="1308" name="CheckBox54" hidden="1">
              <a:extLst>
                <a:ext uri="{63B3BB69-23CF-44E3-9099-C40C66FF867C}">
                  <a14:compatExt spid="_x0000_s1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64</xdr:row>
          <xdr:rowOff>104775</xdr:rowOff>
        </xdr:from>
        <xdr:to>
          <xdr:col>10</xdr:col>
          <xdr:colOff>704850</xdr:colOff>
          <xdr:row>64</xdr:row>
          <xdr:rowOff>533400</xdr:rowOff>
        </xdr:to>
        <xdr:sp macro="" textlink="">
          <xdr:nvSpPr>
            <xdr:cNvPr id="1309" name="CheckBox55" hidden="1">
              <a:extLst>
                <a:ext uri="{63B3BB69-23CF-44E3-9099-C40C66FF867C}">
                  <a14:compatExt spid="_x0000_s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65</xdr:row>
          <xdr:rowOff>104775</xdr:rowOff>
        </xdr:from>
        <xdr:to>
          <xdr:col>10</xdr:col>
          <xdr:colOff>704850</xdr:colOff>
          <xdr:row>65</xdr:row>
          <xdr:rowOff>533400</xdr:rowOff>
        </xdr:to>
        <xdr:sp macro="" textlink="">
          <xdr:nvSpPr>
            <xdr:cNvPr id="1310" name="CheckBox56" hidden="1">
              <a:extLst>
                <a:ext uri="{63B3BB69-23CF-44E3-9099-C40C66FF867C}">
                  <a14:compatExt spid="_x0000_s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66</xdr:row>
          <xdr:rowOff>104775</xdr:rowOff>
        </xdr:from>
        <xdr:to>
          <xdr:col>10</xdr:col>
          <xdr:colOff>704850</xdr:colOff>
          <xdr:row>66</xdr:row>
          <xdr:rowOff>533400</xdr:rowOff>
        </xdr:to>
        <xdr:sp macro="" textlink="">
          <xdr:nvSpPr>
            <xdr:cNvPr id="1311" name="CheckBox57" hidden="1">
              <a:extLst>
                <a:ext uri="{63B3BB69-23CF-44E3-9099-C40C66FF867C}">
                  <a14:compatExt spid="_x0000_s1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67</xdr:row>
          <xdr:rowOff>104775</xdr:rowOff>
        </xdr:from>
        <xdr:to>
          <xdr:col>10</xdr:col>
          <xdr:colOff>704850</xdr:colOff>
          <xdr:row>67</xdr:row>
          <xdr:rowOff>533400</xdr:rowOff>
        </xdr:to>
        <xdr:sp macro="" textlink="">
          <xdr:nvSpPr>
            <xdr:cNvPr id="1312" name="CheckBox58" hidden="1">
              <a:extLst>
                <a:ext uri="{63B3BB69-23CF-44E3-9099-C40C66FF867C}">
                  <a14:compatExt spid="_x0000_s1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68</xdr:row>
          <xdr:rowOff>104775</xdr:rowOff>
        </xdr:from>
        <xdr:to>
          <xdr:col>10</xdr:col>
          <xdr:colOff>704850</xdr:colOff>
          <xdr:row>68</xdr:row>
          <xdr:rowOff>533400</xdr:rowOff>
        </xdr:to>
        <xdr:sp macro="" textlink="">
          <xdr:nvSpPr>
            <xdr:cNvPr id="1313" name="CheckBox59" hidden="1">
              <a:extLst>
                <a:ext uri="{63B3BB69-23CF-44E3-9099-C40C66FF867C}">
                  <a14:compatExt spid="_x0000_s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69</xdr:row>
          <xdr:rowOff>104775</xdr:rowOff>
        </xdr:from>
        <xdr:to>
          <xdr:col>10</xdr:col>
          <xdr:colOff>704850</xdr:colOff>
          <xdr:row>69</xdr:row>
          <xdr:rowOff>533400</xdr:rowOff>
        </xdr:to>
        <xdr:sp macro="" textlink="">
          <xdr:nvSpPr>
            <xdr:cNvPr id="1314" name="CheckBox60" hidden="1">
              <a:extLst>
                <a:ext uri="{63B3BB69-23CF-44E3-9099-C40C66FF867C}">
                  <a14:compatExt spid="_x0000_s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70</xdr:row>
          <xdr:rowOff>104775</xdr:rowOff>
        </xdr:from>
        <xdr:to>
          <xdr:col>10</xdr:col>
          <xdr:colOff>704850</xdr:colOff>
          <xdr:row>70</xdr:row>
          <xdr:rowOff>533400</xdr:rowOff>
        </xdr:to>
        <xdr:sp macro="" textlink="">
          <xdr:nvSpPr>
            <xdr:cNvPr id="1315" name="CheckBox61" hidden="1">
              <a:extLst>
                <a:ext uri="{63B3BB69-23CF-44E3-9099-C40C66FF867C}">
                  <a14:compatExt spid="_x0000_s1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71</xdr:row>
          <xdr:rowOff>104775</xdr:rowOff>
        </xdr:from>
        <xdr:to>
          <xdr:col>10</xdr:col>
          <xdr:colOff>704850</xdr:colOff>
          <xdr:row>71</xdr:row>
          <xdr:rowOff>533400</xdr:rowOff>
        </xdr:to>
        <xdr:sp macro="" textlink="">
          <xdr:nvSpPr>
            <xdr:cNvPr id="1316" name="CheckBox62" hidden="1">
              <a:extLst>
                <a:ext uri="{63B3BB69-23CF-44E3-9099-C40C66FF867C}">
                  <a14:compatExt spid="_x0000_s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72</xdr:row>
          <xdr:rowOff>104775</xdr:rowOff>
        </xdr:from>
        <xdr:to>
          <xdr:col>10</xdr:col>
          <xdr:colOff>704850</xdr:colOff>
          <xdr:row>72</xdr:row>
          <xdr:rowOff>533400</xdr:rowOff>
        </xdr:to>
        <xdr:sp macro="" textlink="">
          <xdr:nvSpPr>
            <xdr:cNvPr id="1317" name="CheckBox63" hidden="1">
              <a:extLst>
                <a:ext uri="{63B3BB69-23CF-44E3-9099-C40C66FF867C}">
                  <a14:compatExt spid="_x0000_s1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73</xdr:row>
          <xdr:rowOff>104775</xdr:rowOff>
        </xdr:from>
        <xdr:to>
          <xdr:col>10</xdr:col>
          <xdr:colOff>704850</xdr:colOff>
          <xdr:row>73</xdr:row>
          <xdr:rowOff>533400</xdr:rowOff>
        </xdr:to>
        <xdr:sp macro="" textlink="">
          <xdr:nvSpPr>
            <xdr:cNvPr id="1318" name="CheckBox64" hidden="1">
              <a:extLst>
                <a:ext uri="{63B3BB69-23CF-44E3-9099-C40C66FF867C}">
                  <a14:compatExt spid="_x0000_s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74</xdr:row>
          <xdr:rowOff>104775</xdr:rowOff>
        </xdr:from>
        <xdr:to>
          <xdr:col>10</xdr:col>
          <xdr:colOff>704850</xdr:colOff>
          <xdr:row>74</xdr:row>
          <xdr:rowOff>533400</xdr:rowOff>
        </xdr:to>
        <xdr:sp macro="" textlink="">
          <xdr:nvSpPr>
            <xdr:cNvPr id="1319" name="CheckBox65" hidden="1">
              <a:extLst>
                <a:ext uri="{63B3BB69-23CF-44E3-9099-C40C66FF867C}">
                  <a14:compatExt spid="_x0000_s1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75</xdr:row>
          <xdr:rowOff>104775</xdr:rowOff>
        </xdr:from>
        <xdr:to>
          <xdr:col>10</xdr:col>
          <xdr:colOff>704850</xdr:colOff>
          <xdr:row>75</xdr:row>
          <xdr:rowOff>533400</xdr:rowOff>
        </xdr:to>
        <xdr:sp macro="" textlink="">
          <xdr:nvSpPr>
            <xdr:cNvPr id="1320" name="CheckBox66" hidden="1">
              <a:extLst>
                <a:ext uri="{63B3BB69-23CF-44E3-9099-C40C66FF867C}">
                  <a14:compatExt spid="_x0000_s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76</xdr:row>
          <xdr:rowOff>104775</xdr:rowOff>
        </xdr:from>
        <xdr:to>
          <xdr:col>10</xdr:col>
          <xdr:colOff>704850</xdr:colOff>
          <xdr:row>76</xdr:row>
          <xdr:rowOff>533400</xdr:rowOff>
        </xdr:to>
        <xdr:sp macro="" textlink="">
          <xdr:nvSpPr>
            <xdr:cNvPr id="1321" name="CheckBox67" hidden="1">
              <a:extLst>
                <a:ext uri="{63B3BB69-23CF-44E3-9099-C40C66FF867C}">
                  <a14:compatExt spid="_x0000_s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77</xdr:row>
          <xdr:rowOff>104775</xdr:rowOff>
        </xdr:from>
        <xdr:to>
          <xdr:col>10</xdr:col>
          <xdr:colOff>704850</xdr:colOff>
          <xdr:row>77</xdr:row>
          <xdr:rowOff>533400</xdr:rowOff>
        </xdr:to>
        <xdr:sp macro="" textlink="">
          <xdr:nvSpPr>
            <xdr:cNvPr id="1322" name="CheckBox68" hidden="1">
              <a:extLst>
                <a:ext uri="{63B3BB69-23CF-44E3-9099-C40C66FF867C}">
                  <a14:compatExt spid="_x0000_s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78</xdr:row>
          <xdr:rowOff>104775</xdr:rowOff>
        </xdr:from>
        <xdr:to>
          <xdr:col>10</xdr:col>
          <xdr:colOff>704850</xdr:colOff>
          <xdr:row>78</xdr:row>
          <xdr:rowOff>533400</xdr:rowOff>
        </xdr:to>
        <xdr:sp macro="" textlink="">
          <xdr:nvSpPr>
            <xdr:cNvPr id="1323" name="CheckBox69" hidden="1">
              <a:extLst>
                <a:ext uri="{63B3BB69-23CF-44E3-9099-C40C66FF867C}">
                  <a14:compatExt spid="_x0000_s1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79</xdr:row>
          <xdr:rowOff>104775</xdr:rowOff>
        </xdr:from>
        <xdr:to>
          <xdr:col>10</xdr:col>
          <xdr:colOff>704850</xdr:colOff>
          <xdr:row>79</xdr:row>
          <xdr:rowOff>533400</xdr:rowOff>
        </xdr:to>
        <xdr:sp macro="" textlink="">
          <xdr:nvSpPr>
            <xdr:cNvPr id="1324" name="CheckBox70" hidden="1">
              <a:extLst>
                <a:ext uri="{63B3BB69-23CF-44E3-9099-C40C66FF867C}">
                  <a14:compatExt spid="_x0000_s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80</xdr:row>
          <xdr:rowOff>104775</xdr:rowOff>
        </xdr:from>
        <xdr:to>
          <xdr:col>10</xdr:col>
          <xdr:colOff>704850</xdr:colOff>
          <xdr:row>80</xdr:row>
          <xdr:rowOff>533400</xdr:rowOff>
        </xdr:to>
        <xdr:sp macro="" textlink="">
          <xdr:nvSpPr>
            <xdr:cNvPr id="1325" name="CheckBox71" hidden="1">
              <a:extLst>
                <a:ext uri="{63B3BB69-23CF-44E3-9099-C40C66FF867C}">
                  <a14:compatExt spid="_x0000_s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81</xdr:row>
          <xdr:rowOff>104775</xdr:rowOff>
        </xdr:from>
        <xdr:to>
          <xdr:col>10</xdr:col>
          <xdr:colOff>704850</xdr:colOff>
          <xdr:row>81</xdr:row>
          <xdr:rowOff>533400</xdr:rowOff>
        </xdr:to>
        <xdr:sp macro="" textlink="">
          <xdr:nvSpPr>
            <xdr:cNvPr id="1326" name="CheckBox72" hidden="1">
              <a:extLst>
                <a:ext uri="{63B3BB69-23CF-44E3-9099-C40C66FF867C}">
                  <a14:compatExt spid="_x0000_s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82</xdr:row>
          <xdr:rowOff>104775</xdr:rowOff>
        </xdr:from>
        <xdr:to>
          <xdr:col>10</xdr:col>
          <xdr:colOff>704850</xdr:colOff>
          <xdr:row>82</xdr:row>
          <xdr:rowOff>533400</xdr:rowOff>
        </xdr:to>
        <xdr:sp macro="" textlink="">
          <xdr:nvSpPr>
            <xdr:cNvPr id="1327" name="CheckBox73" hidden="1">
              <a:extLst>
                <a:ext uri="{63B3BB69-23CF-44E3-9099-C40C66FF867C}">
                  <a14:compatExt spid="_x0000_s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83</xdr:row>
          <xdr:rowOff>104775</xdr:rowOff>
        </xdr:from>
        <xdr:to>
          <xdr:col>10</xdr:col>
          <xdr:colOff>704850</xdr:colOff>
          <xdr:row>83</xdr:row>
          <xdr:rowOff>533400</xdr:rowOff>
        </xdr:to>
        <xdr:sp macro="" textlink="">
          <xdr:nvSpPr>
            <xdr:cNvPr id="1328" name="CheckBox74" hidden="1">
              <a:extLst>
                <a:ext uri="{63B3BB69-23CF-44E3-9099-C40C66FF867C}">
                  <a14:compatExt spid="_x0000_s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84</xdr:row>
          <xdr:rowOff>104775</xdr:rowOff>
        </xdr:from>
        <xdr:to>
          <xdr:col>10</xdr:col>
          <xdr:colOff>704850</xdr:colOff>
          <xdr:row>84</xdr:row>
          <xdr:rowOff>533400</xdr:rowOff>
        </xdr:to>
        <xdr:sp macro="" textlink="">
          <xdr:nvSpPr>
            <xdr:cNvPr id="1329" name="CheckBox75" hidden="1">
              <a:extLst>
                <a:ext uri="{63B3BB69-23CF-44E3-9099-C40C66FF867C}">
                  <a14:compatExt spid="_x0000_s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85</xdr:row>
          <xdr:rowOff>104775</xdr:rowOff>
        </xdr:from>
        <xdr:to>
          <xdr:col>10</xdr:col>
          <xdr:colOff>704850</xdr:colOff>
          <xdr:row>85</xdr:row>
          <xdr:rowOff>533400</xdr:rowOff>
        </xdr:to>
        <xdr:sp macro="" textlink="">
          <xdr:nvSpPr>
            <xdr:cNvPr id="1330" name="CheckBox76" hidden="1">
              <a:extLst>
                <a:ext uri="{63B3BB69-23CF-44E3-9099-C40C66FF867C}">
                  <a14:compatExt spid="_x0000_s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86</xdr:row>
          <xdr:rowOff>104775</xdr:rowOff>
        </xdr:from>
        <xdr:to>
          <xdr:col>10</xdr:col>
          <xdr:colOff>704850</xdr:colOff>
          <xdr:row>86</xdr:row>
          <xdr:rowOff>533400</xdr:rowOff>
        </xdr:to>
        <xdr:sp macro="" textlink="">
          <xdr:nvSpPr>
            <xdr:cNvPr id="1331" name="CheckBox77" hidden="1">
              <a:extLst>
                <a:ext uri="{63B3BB69-23CF-44E3-9099-C40C66FF867C}">
                  <a14:compatExt spid="_x0000_s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87</xdr:row>
          <xdr:rowOff>104775</xdr:rowOff>
        </xdr:from>
        <xdr:to>
          <xdr:col>10</xdr:col>
          <xdr:colOff>704850</xdr:colOff>
          <xdr:row>87</xdr:row>
          <xdr:rowOff>533400</xdr:rowOff>
        </xdr:to>
        <xdr:sp macro="" textlink="">
          <xdr:nvSpPr>
            <xdr:cNvPr id="1332" name="CheckBox78" hidden="1">
              <a:extLst>
                <a:ext uri="{63B3BB69-23CF-44E3-9099-C40C66FF867C}">
                  <a14:compatExt spid="_x0000_s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88</xdr:row>
          <xdr:rowOff>104775</xdr:rowOff>
        </xdr:from>
        <xdr:to>
          <xdr:col>10</xdr:col>
          <xdr:colOff>704850</xdr:colOff>
          <xdr:row>88</xdr:row>
          <xdr:rowOff>533400</xdr:rowOff>
        </xdr:to>
        <xdr:sp macro="" textlink="">
          <xdr:nvSpPr>
            <xdr:cNvPr id="1333" name="CheckBox79" hidden="1">
              <a:extLst>
                <a:ext uri="{63B3BB69-23CF-44E3-9099-C40C66FF867C}">
                  <a14:compatExt spid="_x0000_s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89</xdr:row>
          <xdr:rowOff>104775</xdr:rowOff>
        </xdr:from>
        <xdr:to>
          <xdr:col>10</xdr:col>
          <xdr:colOff>704850</xdr:colOff>
          <xdr:row>89</xdr:row>
          <xdr:rowOff>533400</xdr:rowOff>
        </xdr:to>
        <xdr:sp macro="" textlink="">
          <xdr:nvSpPr>
            <xdr:cNvPr id="1334" name="CheckBox80" hidden="1">
              <a:extLst>
                <a:ext uri="{63B3BB69-23CF-44E3-9099-C40C66FF867C}">
                  <a14:compatExt spid="_x0000_s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90</xdr:row>
          <xdr:rowOff>104775</xdr:rowOff>
        </xdr:from>
        <xdr:to>
          <xdr:col>10</xdr:col>
          <xdr:colOff>704850</xdr:colOff>
          <xdr:row>90</xdr:row>
          <xdr:rowOff>533400</xdr:rowOff>
        </xdr:to>
        <xdr:sp macro="" textlink="">
          <xdr:nvSpPr>
            <xdr:cNvPr id="1335" name="CheckBox81" hidden="1">
              <a:extLst>
                <a:ext uri="{63B3BB69-23CF-44E3-9099-C40C66FF867C}">
                  <a14:compatExt spid="_x0000_s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91</xdr:row>
          <xdr:rowOff>104775</xdr:rowOff>
        </xdr:from>
        <xdr:to>
          <xdr:col>10</xdr:col>
          <xdr:colOff>704850</xdr:colOff>
          <xdr:row>91</xdr:row>
          <xdr:rowOff>533400</xdr:rowOff>
        </xdr:to>
        <xdr:sp macro="" textlink="">
          <xdr:nvSpPr>
            <xdr:cNvPr id="1336" name="CheckBox82" hidden="1">
              <a:extLst>
                <a:ext uri="{63B3BB69-23CF-44E3-9099-C40C66FF867C}">
                  <a14:compatExt spid="_x0000_s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92</xdr:row>
          <xdr:rowOff>104775</xdr:rowOff>
        </xdr:from>
        <xdr:to>
          <xdr:col>10</xdr:col>
          <xdr:colOff>704850</xdr:colOff>
          <xdr:row>92</xdr:row>
          <xdr:rowOff>533400</xdr:rowOff>
        </xdr:to>
        <xdr:sp macro="" textlink="">
          <xdr:nvSpPr>
            <xdr:cNvPr id="1337" name="CheckBox83" hidden="1">
              <a:extLst>
                <a:ext uri="{63B3BB69-23CF-44E3-9099-C40C66FF867C}">
                  <a14:compatExt spid="_x0000_s1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93</xdr:row>
          <xdr:rowOff>104775</xdr:rowOff>
        </xdr:from>
        <xdr:to>
          <xdr:col>10</xdr:col>
          <xdr:colOff>704850</xdr:colOff>
          <xdr:row>93</xdr:row>
          <xdr:rowOff>533400</xdr:rowOff>
        </xdr:to>
        <xdr:sp macro="" textlink="">
          <xdr:nvSpPr>
            <xdr:cNvPr id="1338" name="CheckBox84" hidden="1">
              <a:extLst>
                <a:ext uri="{63B3BB69-23CF-44E3-9099-C40C66FF867C}">
                  <a14:compatExt spid="_x0000_s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94</xdr:row>
          <xdr:rowOff>104775</xdr:rowOff>
        </xdr:from>
        <xdr:to>
          <xdr:col>10</xdr:col>
          <xdr:colOff>704850</xdr:colOff>
          <xdr:row>94</xdr:row>
          <xdr:rowOff>533400</xdr:rowOff>
        </xdr:to>
        <xdr:sp macro="" textlink="">
          <xdr:nvSpPr>
            <xdr:cNvPr id="1339" name="CheckBox85" hidden="1">
              <a:extLst>
                <a:ext uri="{63B3BB69-23CF-44E3-9099-C40C66FF867C}">
                  <a14:compatExt spid="_x0000_s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95</xdr:row>
          <xdr:rowOff>104775</xdr:rowOff>
        </xdr:from>
        <xdr:to>
          <xdr:col>10</xdr:col>
          <xdr:colOff>704850</xdr:colOff>
          <xdr:row>95</xdr:row>
          <xdr:rowOff>533400</xdr:rowOff>
        </xdr:to>
        <xdr:sp macro="" textlink="">
          <xdr:nvSpPr>
            <xdr:cNvPr id="1340" name="CheckBox86" hidden="1">
              <a:extLst>
                <a:ext uri="{63B3BB69-23CF-44E3-9099-C40C66FF867C}">
                  <a14:compatExt spid="_x0000_s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96</xdr:row>
          <xdr:rowOff>104775</xdr:rowOff>
        </xdr:from>
        <xdr:to>
          <xdr:col>10</xdr:col>
          <xdr:colOff>704850</xdr:colOff>
          <xdr:row>96</xdr:row>
          <xdr:rowOff>533400</xdr:rowOff>
        </xdr:to>
        <xdr:sp macro="" textlink="">
          <xdr:nvSpPr>
            <xdr:cNvPr id="1341" name="CheckBox87" hidden="1">
              <a:extLst>
                <a:ext uri="{63B3BB69-23CF-44E3-9099-C40C66FF867C}">
                  <a14:compatExt spid="_x0000_s1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97</xdr:row>
          <xdr:rowOff>104775</xdr:rowOff>
        </xdr:from>
        <xdr:to>
          <xdr:col>10</xdr:col>
          <xdr:colOff>704850</xdr:colOff>
          <xdr:row>97</xdr:row>
          <xdr:rowOff>533400</xdr:rowOff>
        </xdr:to>
        <xdr:sp macro="" textlink="">
          <xdr:nvSpPr>
            <xdr:cNvPr id="1342" name="CheckBox88" hidden="1">
              <a:extLst>
                <a:ext uri="{63B3BB69-23CF-44E3-9099-C40C66FF867C}">
                  <a14:compatExt spid="_x0000_s1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98</xdr:row>
          <xdr:rowOff>104775</xdr:rowOff>
        </xdr:from>
        <xdr:to>
          <xdr:col>10</xdr:col>
          <xdr:colOff>704850</xdr:colOff>
          <xdr:row>98</xdr:row>
          <xdr:rowOff>533400</xdr:rowOff>
        </xdr:to>
        <xdr:sp macro="" textlink="">
          <xdr:nvSpPr>
            <xdr:cNvPr id="1343" name="CheckBox89" hidden="1">
              <a:extLst>
                <a:ext uri="{63B3BB69-23CF-44E3-9099-C40C66FF867C}">
                  <a14:compatExt spid="_x0000_s1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99</xdr:row>
          <xdr:rowOff>104775</xdr:rowOff>
        </xdr:from>
        <xdr:to>
          <xdr:col>10</xdr:col>
          <xdr:colOff>704850</xdr:colOff>
          <xdr:row>99</xdr:row>
          <xdr:rowOff>533400</xdr:rowOff>
        </xdr:to>
        <xdr:sp macro="" textlink="">
          <xdr:nvSpPr>
            <xdr:cNvPr id="1344" name="CheckBox90" hidden="1">
              <a:extLst>
                <a:ext uri="{63B3BB69-23CF-44E3-9099-C40C66FF867C}">
                  <a14:compatExt spid="_x0000_s1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100</xdr:row>
          <xdr:rowOff>123825</xdr:rowOff>
        </xdr:from>
        <xdr:to>
          <xdr:col>10</xdr:col>
          <xdr:colOff>723900</xdr:colOff>
          <xdr:row>100</xdr:row>
          <xdr:rowOff>552450</xdr:rowOff>
        </xdr:to>
        <xdr:sp macro="" textlink="">
          <xdr:nvSpPr>
            <xdr:cNvPr id="1345" name="CheckBox91" hidden="1">
              <a:extLst>
                <a:ext uri="{63B3BB69-23CF-44E3-9099-C40C66FF867C}">
                  <a14:compatExt spid="_x0000_s1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101</xdr:row>
          <xdr:rowOff>104775</xdr:rowOff>
        </xdr:from>
        <xdr:to>
          <xdr:col>10</xdr:col>
          <xdr:colOff>704850</xdr:colOff>
          <xdr:row>101</xdr:row>
          <xdr:rowOff>533400</xdr:rowOff>
        </xdr:to>
        <xdr:sp macro="" textlink="">
          <xdr:nvSpPr>
            <xdr:cNvPr id="1346" name="CheckBox92" hidden="1">
              <a:extLst>
                <a:ext uri="{63B3BB69-23CF-44E3-9099-C40C66FF867C}">
                  <a14:compatExt spid="_x0000_s1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102</xdr:row>
          <xdr:rowOff>104775</xdr:rowOff>
        </xdr:from>
        <xdr:to>
          <xdr:col>10</xdr:col>
          <xdr:colOff>704850</xdr:colOff>
          <xdr:row>102</xdr:row>
          <xdr:rowOff>533400</xdr:rowOff>
        </xdr:to>
        <xdr:sp macro="" textlink="">
          <xdr:nvSpPr>
            <xdr:cNvPr id="1347" name="CheckBox93" hidden="1">
              <a:extLst>
                <a:ext uri="{63B3BB69-23CF-44E3-9099-C40C66FF867C}">
                  <a14:compatExt spid="_x0000_s1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103</xdr:row>
          <xdr:rowOff>104775</xdr:rowOff>
        </xdr:from>
        <xdr:to>
          <xdr:col>10</xdr:col>
          <xdr:colOff>704850</xdr:colOff>
          <xdr:row>103</xdr:row>
          <xdr:rowOff>533400</xdr:rowOff>
        </xdr:to>
        <xdr:sp macro="" textlink="">
          <xdr:nvSpPr>
            <xdr:cNvPr id="1348" name="CheckBox94" hidden="1">
              <a:extLst>
                <a:ext uri="{63B3BB69-23CF-44E3-9099-C40C66FF867C}">
                  <a14:compatExt spid="_x0000_s1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104</xdr:row>
          <xdr:rowOff>104775</xdr:rowOff>
        </xdr:from>
        <xdr:to>
          <xdr:col>10</xdr:col>
          <xdr:colOff>704850</xdr:colOff>
          <xdr:row>104</xdr:row>
          <xdr:rowOff>533400</xdr:rowOff>
        </xdr:to>
        <xdr:sp macro="" textlink="">
          <xdr:nvSpPr>
            <xdr:cNvPr id="1349" name="CheckBox95" hidden="1">
              <a:extLst>
                <a:ext uri="{63B3BB69-23CF-44E3-9099-C40C66FF867C}">
                  <a14:compatExt spid="_x0000_s1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105</xdr:row>
          <xdr:rowOff>104775</xdr:rowOff>
        </xdr:from>
        <xdr:to>
          <xdr:col>10</xdr:col>
          <xdr:colOff>704850</xdr:colOff>
          <xdr:row>105</xdr:row>
          <xdr:rowOff>533400</xdr:rowOff>
        </xdr:to>
        <xdr:sp macro="" textlink="">
          <xdr:nvSpPr>
            <xdr:cNvPr id="1350" name="CheckBox96" hidden="1">
              <a:extLst>
                <a:ext uri="{63B3BB69-23CF-44E3-9099-C40C66FF867C}">
                  <a14:compatExt spid="_x0000_s1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106</xdr:row>
          <xdr:rowOff>104775</xdr:rowOff>
        </xdr:from>
        <xdr:to>
          <xdr:col>10</xdr:col>
          <xdr:colOff>704850</xdr:colOff>
          <xdr:row>106</xdr:row>
          <xdr:rowOff>533400</xdr:rowOff>
        </xdr:to>
        <xdr:sp macro="" textlink="">
          <xdr:nvSpPr>
            <xdr:cNvPr id="1351" name="CheckBox97" hidden="1">
              <a:extLst>
                <a:ext uri="{63B3BB69-23CF-44E3-9099-C40C66FF867C}">
                  <a14:compatExt spid="_x0000_s1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107</xdr:row>
          <xdr:rowOff>104775</xdr:rowOff>
        </xdr:from>
        <xdr:to>
          <xdr:col>10</xdr:col>
          <xdr:colOff>704850</xdr:colOff>
          <xdr:row>107</xdr:row>
          <xdr:rowOff>533400</xdr:rowOff>
        </xdr:to>
        <xdr:sp macro="" textlink="">
          <xdr:nvSpPr>
            <xdr:cNvPr id="1352" name="CheckBox98" hidden="1">
              <a:extLst>
                <a:ext uri="{63B3BB69-23CF-44E3-9099-C40C66FF867C}">
                  <a14:compatExt spid="_x0000_s1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108</xdr:row>
          <xdr:rowOff>104775</xdr:rowOff>
        </xdr:from>
        <xdr:to>
          <xdr:col>10</xdr:col>
          <xdr:colOff>704850</xdr:colOff>
          <xdr:row>108</xdr:row>
          <xdr:rowOff>533400</xdr:rowOff>
        </xdr:to>
        <xdr:sp macro="" textlink="">
          <xdr:nvSpPr>
            <xdr:cNvPr id="1353" name="CheckBox99" hidden="1">
              <a:extLst>
                <a:ext uri="{63B3BB69-23CF-44E3-9099-C40C66FF867C}">
                  <a14:compatExt spid="_x0000_s1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109</xdr:row>
          <xdr:rowOff>104775</xdr:rowOff>
        </xdr:from>
        <xdr:to>
          <xdr:col>10</xdr:col>
          <xdr:colOff>704850</xdr:colOff>
          <xdr:row>109</xdr:row>
          <xdr:rowOff>533400</xdr:rowOff>
        </xdr:to>
        <xdr:sp macro="" textlink="">
          <xdr:nvSpPr>
            <xdr:cNvPr id="1354" name="CheckBox100" hidden="1">
              <a:extLst>
                <a:ext uri="{63B3BB69-23CF-44E3-9099-C40C66FF867C}">
                  <a14:compatExt spid="_x0000_s1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</xdr:colOff>
      <xdr:row>25</xdr:row>
      <xdr:rowOff>9525</xdr:rowOff>
    </xdr:from>
    <xdr:ext cx="3524250" cy="1470146"/>
    <xdr:sp macro="" textlink="">
      <xdr:nvSpPr>
        <xdr:cNvPr id="4" name="CuadroTexto 3"/>
        <xdr:cNvSpPr txBox="1"/>
      </xdr:nvSpPr>
      <xdr:spPr>
        <a:xfrm>
          <a:off x="1" y="4391025"/>
          <a:ext cx="3524250" cy="14701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L" sz="1100" b="1"/>
            <a:t>Nota:</a:t>
          </a:r>
          <a:r>
            <a:rPr lang="es-CL" sz="1100" b="1" baseline="0"/>
            <a:t> </a:t>
          </a:r>
          <a:r>
            <a:rPr lang="es-CL" sz="1100" baseline="0"/>
            <a:t>Para editar la lista de proyectos (en la hoja de Formulario), debe pinchar en la celda donde se ubica la lista desplegable, ir a la ventana de DATOS (barra de herramientas de Excel, adyacente a FÓRMULAS) hacer click en el cuadro de Validación de datos y en la casilla de Origen, selccionar el rango de celdas que quiere que desplegable la lista. Cualquier duda llamar a Clemente Serrano, Tel: +56 9 7389 0401.</a:t>
          </a:r>
          <a:endParaRPr lang="es-CL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56029</xdr:colOff>
      <xdr:row>1</xdr:row>
      <xdr:rowOff>11205</xdr:rowOff>
    </xdr:from>
    <xdr:to>
      <xdr:col>2</xdr:col>
      <xdr:colOff>927175</xdr:colOff>
      <xdr:row>3</xdr:row>
      <xdr:rowOff>3362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7029" y="212911"/>
          <a:ext cx="2249470" cy="102309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3" name="Tabla3" displayName="Tabla3" ref="A2:A24" totalsRowShown="0">
  <autoFilter ref="A2:A24"/>
  <tableColumns count="1">
    <tableColumn id="1" name="Proyecto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aProyecto" displayName="TablaProyecto" ref="B5:C23" totalsRowShown="0" headerRowDxfId="11" dataDxfId="9" headerRowBorderDxfId="10" tableBorderDxfId="8">
  <autoFilter ref="B5:C23"/>
  <sortState ref="B6:C23">
    <sortCondition ref="B5:B23"/>
  </sortState>
  <tableColumns count="2">
    <tableColumn id="1" name="Nombre Obra" dataDxfId="7"/>
    <tableColumn id="2" name="Obra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la1" displayName="Tabla1" ref="B2:B4" totalsRowShown="0">
  <autoFilter ref="B2:B4"/>
  <tableColumns count="1">
    <tableColumn id="1" name="Est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21.xml"/><Relationship Id="rId21" Type="http://schemas.openxmlformats.org/officeDocument/2006/relationships/control" Target="../activeX/activeX16.xml"/><Relationship Id="rId42" Type="http://schemas.openxmlformats.org/officeDocument/2006/relationships/control" Target="../activeX/activeX37.xml"/><Relationship Id="rId47" Type="http://schemas.openxmlformats.org/officeDocument/2006/relationships/control" Target="../activeX/activeX42.xml"/><Relationship Id="rId63" Type="http://schemas.openxmlformats.org/officeDocument/2006/relationships/control" Target="../activeX/activeX58.xml"/><Relationship Id="rId68" Type="http://schemas.openxmlformats.org/officeDocument/2006/relationships/control" Target="../activeX/activeX63.xml"/><Relationship Id="rId84" Type="http://schemas.openxmlformats.org/officeDocument/2006/relationships/control" Target="../activeX/activeX79.xml"/><Relationship Id="rId89" Type="http://schemas.openxmlformats.org/officeDocument/2006/relationships/control" Target="../activeX/activeX84.xml"/><Relationship Id="rId7" Type="http://schemas.openxmlformats.org/officeDocument/2006/relationships/image" Target="../media/image2.emf"/><Relationship Id="rId71" Type="http://schemas.openxmlformats.org/officeDocument/2006/relationships/control" Target="../activeX/activeX66.xml"/><Relationship Id="rId92" Type="http://schemas.openxmlformats.org/officeDocument/2006/relationships/control" Target="../activeX/activeX87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1.xml"/><Relationship Id="rId29" Type="http://schemas.openxmlformats.org/officeDocument/2006/relationships/control" Target="../activeX/activeX24.xml"/><Relationship Id="rId11" Type="http://schemas.openxmlformats.org/officeDocument/2006/relationships/control" Target="../activeX/activeX6.xml"/><Relationship Id="rId24" Type="http://schemas.openxmlformats.org/officeDocument/2006/relationships/control" Target="../activeX/activeX19.xml"/><Relationship Id="rId32" Type="http://schemas.openxmlformats.org/officeDocument/2006/relationships/control" Target="../activeX/activeX27.xml"/><Relationship Id="rId37" Type="http://schemas.openxmlformats.org/officeDocument/2006/relationships/control" Target="../activeX/activeX32.xml"/><Relationship Id="rId40" Type="http://schemas.openxmlformats.org/officeDocument/2006/relationships/control" Target="../activeX/activeX35.xml"/><Relationship Id="rId45" Type="http://schemas.openxmlformats.org/officeDocument/2006/relationships/control" Target="../activeX/activeX40.xml"/><Relationship Id="rId53" Type="http://schemas.openxmlformats.org/officeDocument/2006/relationships/control" Target="../activeX/activeX48.xml"/><Relationship Id="rId58" Type="http://schemas.openxmlformats.org/officeDocument/2006/relationships/control" Target="../activeX/activeX53.xml"/><Relationship Id="rId66" Type="http://schemas.openxmlformats.org/officeDocument/2006/relationships/control" Target="../activeX/activeX61.xml"/><Relationship Id="rId74" Type="http://schemas.openxmlformats.org/officeDocument/2006/relationships/control" Target="../activeX/activeX69.xml"/><Relationship Id="rId79" Type="http://schemas.openxmlformats.org/officeDocument/2006/relationships/control" Target="../activeX/activeX74.xml"/><Relationship Id="rId87" Type="http://schemas.openxmlformats.org/officeDocument/2006/relationships/control" Target="../activeX/activeX82.xml"/><Relationship Id="rId102" Type="http://schemas.openxmlformats.org/officeDocument/2006/relationships/control" Target="../activeX/activeX97.xml"/><Relationship Id="rId5" Type="http://schemas.openxmlformats.org/officeDocument/2006/relationships/image" Target="../media/image1.emf"/><Relationship Id="rId61" Type="http://schemas.openxmlformats.org/officeDocument/2006/relationships/control" Target="../activeX/activeX56.xml"/><Relationship Id="rId82" Type="http://schemas.openxmlformats.org/officeDocument/2006/relationships/control" Target="../activeX/activeX77.xml"/><Relationship Id="rId90" Type="http://schemas.openxmlformats.org/officeDocument/2006/relationships/control" Target="../activeX/activeX85.xml"/><Relationship Id="rId95" Type="http://schemas.openxmlformats.org/officeDocument/2006/relationships/control" Target="../activeX/activeX90.xml"/><Relationship Id="rId19" Type="http://schemas.openxmlformats.org/officeDocument/2006/relationships/control" Target="../activeX/activeX14.xml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7.xml"/><Relationship Id="rId27" Type="http://schemas.openxmlformats.org/officeDocument/2006/relationships/control" Target="../activeX/activeX22.xml"/><Relationship Id="rId30" Type="http://schemas.openxmlformats.org/officeDocument/2006/relationships/control" Target="../activeX/activeX25.xml"/><Relationship Id="rId35" Type="http://schemas.openxmlformats.org/officeDocument/2006/relationships/control" Target="../activeX/activeX30.xml"/><Relationship Id="rId43" Type="http://schemas.openxmlformats.org/officeDocument/2006/relationships/control" Target="../activeX/activeX38.xml"/><Relationship Id="rId48" Type="http://schemas.openxmlformats.org/officeDocument/2006/relationships/control" Target="../activeX/activeX43.xml"/><Relationship Id="rId56" Type="http://schemas.openxmlformats.org/officeDocument/2006/relationships/control" Target="../activeX/activeX51.xml"/><Relationship Id="rId64" Type="http://schemas.openxmlformats.org/officeDocument/2006/relationships/control" Target="../activeX/activeX59.xml"/><Relationship Id="rId69" Type="http://schemas.openxmlformats.org/officeDocument/2006/relationships/control" Target="../activeX/activeX64.xml"/><Relationship Id="rId77" Type="http://schemas.openxmlformats.org/officeDocument/2006/relationships/control" Target="../activeX/activeX72.xml"/><Relationship Id="rId100" Type="http://schemas.openxmlformats.org/officeDocument/2006/relationships/control" Target="../activeX/activeX95.xml"/><Relationship Id="rId105" Type="http://schemas.openxmlformats.org/officeDocument/2006/relationships/control" Target="../activeX/activeX100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46.xml"/><Relationship Id="rId72" Type="http://schemas.openxmlformats.org/officeDocument/2006/relationships/control" Target="../activeX/activeX67.xml"/><Relationship Id="rId80" Type="http://schemas.openxmlformats.org/officeDocument/2006/relationships/control" Target="../activeX/activeX75.xml"/><Relationship Id="rId85" Type="http://schemas.openxmlformats.org/officeDocument/2006/relationships/control" Target="../activeX/activeX80.xml"/><Relationship Id="rId93" Type="http://schemas.openxmlformats.org/officeDocument/2006/relationships/control" Target="../activeX/activeX88.xml"/><Relationship Id="rId98" Type="http://schemas.openxmlformats.org/officeDocument/2006/relationships/control" Target="../activeX/activeX9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7.xml"/><Relationship Id="rId17" Type="http://schemas.openxmlformats.org/officeDocument/2006/relationships/control" Target="../activeX/activeX12.xml"/><Relationship Id="rId25" Type="http://schemas.openxmlformats.org/officeDocument/2006/relationships/control" Target="../activeX/activeX20.xml"/><Relationship Id="rId33" Type="http://schemas.openxmlformats.org/officeDocument/2006/relationships/control" Target="../activeX/activeX28.xml"/><Relationship Id="rId38" Type="http://schemas.openxmlformats.org/officeDocument/2006/relationships/control" Target="../activeX/activeX33.xml"/><Relationship Id="rId46" Type="http://schemas.openxmlformats.org/officeDocument/2006/relationships/control" Target="../activeX/activeX41.xml"/><Relationship Id="rId59" Type="http://schemas.openxmlformats.org/officeDocument/2006/relationships/control" Target="../activeX/activeX54.xml"/><Relationship Id="rId67" Type="http://schemas.openxmlformats.org/officeDocument/2006/relationships/control" Target="../activeX/activeX62.xml"/><Relationship Id="rId103" Type="http://schemas.openxmlformats.org/officeDocument/2006/relationships/control" Target="../activeX/activeX98.xml"/><Relationship Id="rId20" Type="http://schemas.openxmlformats.org/officeDocument/2006/relationships/control" Target="../activeX/activeX15.xml"/><Relationship Id="rId41" Type="http://schemas.openxmlformats.org/officeDocument/2006/relationships/control" Target="../activeX/activeX36.xml"/><Relationship Id="rId54" Type="http://schemas.openxmlformats.org/officeDocument/2006/relationships/control" Target="../activeX/activeX49.xml"/><Relationship Id="rId62" Type="http://schemas.openxmlformats.org/officeDocument/2006/relationships/control" Target="../activeX/activeX57.xml"/><Relationship Id="rId70" Type="http://schemas.openxmlformats.org/officeDocument/2006/relationships/control" Target="../activeX/activeX65.xml"/><Relationship Id="rId75" Type="http://schemas.openxmlformats.org/officeDocument/2006/relationships/control" Target="../activeX/activeX70.xml"/><Relationship Id="rId83" Type="http://schemas.openxmlformats.org/officeDocument/2006/relationships/control" Target="../activeX/activeX78.xml"/><Relationship Id="rId88" Type="http://schemas.openxmlformats.org/officeDocument/2006/relationships/control" Target="../activeX/activeX83.xml"/><Relationship Id="rId91" Type="http://schemas.openxmlformats.org/officeDocument/2006/relationships/control" Target="../activeX/activeX86.xml"/><Relationship Id="rId96" Type="http://schemas.openxmlformats.org/officeDocument/2006/relationships/control" Target="../activeX/activeX9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10.xml"/><Relationship Id="rId23" Type="http://schemas.openxmlformats.org/officeDocument/2006/relationships/control" Target="../activeX/activeX18.xml"/><Relationship Id="rId28" Type="http://schemas.openxmlformats.org/officeDocument/2006/relationships/control" Target="../activeX/activeX23.xml"/><Relationship Id="rId36" Type="http://schemas.openxmlformats.org/officeDocument/2006/relationships/control" Target="../activeX/activeX31.xml"/><Relationship Id="rId49" Type="http://schemas.openxmlformats.org/officeDocument/2006/relationships/control" Target="../activeX/activeX44.xml"/><Relationship Id="rId57" Type="http://schemas.openxmlformats.org/officeDocument/2006/relationships/control" Target="../activeX/activeX52.xml"/><Relationship Id="rId106" Type="http://schemas.openxmlformats.org/officeDocument/2006/relationships/ctrlProp" Target="../ctrlProps/ctrlProp1.xml"/><Relationship Id="rId10" Type="http://schemas.openxmlformats.org/officeDocument/2006/relationships/control" Target="../activeX/activeX5.xml"/><Relationship Id="rId31" Type="http://schemas.openxmlformats.org/officeDocument/2006/relationships/control" Target="../activeX/activeX26.xml"/><Relationship Id="rId44" Type="http://schemas.openxmlformats.org/officeDocument/2006/relationships/control" Target="../activeX/activeX39.xml"/><Relationship Id="rId52" Type="http://schemas.openxmlformats.org/officeDocument/2006/relationships/control" Target="../activeX/activeX47.xml"/><Relationship Id="rId60" Type="http://schemas.openxmlformats.org/officeDocument/2006/relationships/control" Target="../activeX/activeX55.xml"/><Relationship Id="rId65" Type="http://schemas.openxmlformats.org/officeDocument/2006/relationships/control" Target="../activeX/activeX60.xml"/><Relationship Id="rId73" Type="http://schemas.openxmlformats.org/officeDocument/2006/relationships/control" Target="../activeX/activeX68.xml"/><Relationship Id="rId78" Type="http://schemas.openxmlformats.org/officeDocument/2006/relationships/control" Target="../activeX/activeX73.xml"/><Relationship Id="rId81" Type="http://schemas.openxmlformats.org/officeDocument/2006/relationships/control" Target="../activeX/activeX76.xml"/><Relationship Id="rId86" Type="http://schemas.openxmlformats.org/officeDocument/2006/relationships/control" Target="../activeX/activeX81.xml"/><Relationship Id="rId94" Type="http://schemas.openxmlformats.org/officeDocument/2006/relationships/control" Target="../activeX/activeX89.xml"/><Relationship Id="rId99" Type="http://schemas.openxmlformats.org/officeDocument/2006/relationships/control" Target="../activeX/activeX94.xml"/><Relationship Id="rId101" Type="http://schemas.openxmlformats.org/officeDocument/2006/relationships/control" Target="../activeX/activeX96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3" Type="http://schemas.openxmlformats.org/officeDocument/2006/relationships/control" Target="../activeX/activeX8.xml"/><Relationship Id="rId18" Type="http://schemas.openxmlformats.org/officeDocument/2006/relationships/control" Target="../activeX/activeX13.xml"/><Relationship Id="rId39" Type="http://schemas.openxmlformats.org/officeDocument/2006/relationships/control" Target="../activeX/activeX34.xml"/><Relationship Id="rId34" Type="http://schemas.openxmlformats.org/officeDocument/2006/relationships/control" Target="../activeX/activeX29.xml"/><Relationship Id="rId50" Type="http://schemas.openxmlformats.org/officeDocument/2006/relationships/control" Target="../activeX/activeX45.xml"/><Relationship Id="rId55" Type="http://schemas.openxmlformats.org/officeDocument/2006/relationships/control" Target="../activeX/activeX50.xml"/><Relationship Id="rId76" Type="http://schemas.openxmlformats.org/officeDocument/2006/relationships/control" Target="../activeX/activeX71.xml"/><Relationship Id="rId97" Type="http://schemas.openxmlformats.org/officeDocument/2006/relationships/control" Target="../activeX/activeX92.xml"/><Relationship Id="rId104" Type="http://schemas.openxmlformats.org/officeDocument/2006/relationships/control" Target="../activeX/activeX9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Q608"/>
  <sheetViews>
    <sheetView showGridLines="0" zoomScale="69" zoomScaleNormal="69" workbookViewId="0">
      <selection activeCell="H20" sqref="H20"/>
    </sheetView>
  </sheetViews>
  <sheetFormatPr baseColWidth="10" defaultColWidth="14.7109375" defaultRowHeight="15"/>
  <cols>
    <col min="1" max="1" width="5.7109375" style="2" customWidth="1"/>
    <col min="2" max="2" width="9.85546875" style="2" customWidth="1"/>
    <col min="3" max="3" width="15.140625" style="178" customWidth="1"/>
    <col min="4" max="4" width="70" style="2" customWidth="1"/>
    <col min="5" max="5" width="22.140625" style="2" customWidth="1"/>
    <col min="6" max="6" width="15.140625" style="2" customWidth="1"/>
    <col min="7" max="7" width="15.42578125" style="2" customWidth="1"/>
    <col min="8" max="8" width="20.140625" style="2" customWidth="1"/>
    <col min="9" max="9" width="13" style="2" customWidth="1"/>
    <col min="10" max="10" width="17.42578125" style="2" customWidth="1"/>
    <col min="11" max="11" width="13.140625" style="2" customWidth="1"/>
    <col min="12" max="12" width="12.85546875" style="194" hidden="1" customWidth="1"/>
    <col min="13" max="13" width="11.140625" style="2" bestFit="1" customWidth="1"/>
    <col min="14" max="14" width="14.140625" style="2" bestFit="1" customWidth="1"/>
    <col min="15" max="15" width="15" style="2" customWidth="1"/>
    <col min="16" max="16" width="14.7109375" style="2"/>
    <col min="17" max="17" width="1.42578125" style="2" customWidth="1"/>
    <col min="18" max="16384" width="14.7109375" style="2"/>
  </cols>
  <sheetData>
    <row r="1" spans="1:17">
      <c r="A1"/>
      <c r="B1" s="26"/>
      <c r="C1" s="162"/>
      <c r="D1" s="26"/>
      <c r="E1" s="26"/>
      <c r="F1" s="26"/>
      <c r="G1" s="26"/>
      <c r="H1" s="26"/>
      <c r="I1" s="26"/>
      <c r="J1" s="26"/>
      <c r="K1" s="55"/>
      <c r="L1" s="21"/>
      <c r="M1" s="26" t="s">
        <v>69</v>
      </c>
      <c r="N1" s="55"/>
      <c r="O1" s="26"/>
      <c r="P1"/>
      <c r="Q1" s="1"/>
    </row>
    <row r="2" spans="1:17" ht="30" customHeight="1">
      <c r="A2"/>
      <c r="B2" s="45" t="s">
        <v>54</v>
      </c>
      <c r="C2" s="163"/>
      <c r="D2" s="33"/>
      <c r="E2" s="33"/>
      <c r="F2" s="33"/>
      <c r="G2" s="33"/>
      <c r="H2" s="33"/>
      <c r="I2" s="33"/>
      <c r="J2" s="33"/>
      <c r="K2" s="33"/>
      <c r="L2" s="187"/>
      <c r="M2" s="33"/>
      <c r="N2" s="33"/>
      <c r="O2" s="33"/>
      <c r="P2"/>
      <c r="Q2" s="1"/>
    </row>
    <row r="3" spans="1:17" ht="30" customHeight="1">
      <c r="A3"/>
      <c r="B3" s="46" t="s">
        <v>3</v>
      </c>
      <c r="C3" s="164"/>
      <c r="D3" s="22"/>
      <c r="E3" s="22"/>
      <c r="F3" s="22"/>
      <c r="G3" s="22"/>
      <c r="H3" s="22"/>
      <c r="I3" s="22"/>
      <c r="J3" s="22"/>
      <c r="K3" s="22"/>
      <c r="L3" s="188"/>
      <c r="M3" s="22"/>
      <c r="N3" s="22"/>
      <c r="O3" s="22"/>
      <c r="P3"/>
      <c r="Q3" s="1"/>
    </row>
    <row r="4" spans="1:17" ht="15.75" thickBot="1">
      <c r="A4"/>
      <c r="B4" s="26"/>
      <c r="C4" s="162"/>
      <c r="D4" s="26"/>
      <c r="E4" s="26"/>
      <c r="F4" s="26"/>
      <c r="G4" s="26"/>
      <c r="H4" s="26"/>
      <c r="I4" s="26"/>
      <c r="J4" s="26"/>
      <c r="K4" s="55"/>
      <c r="L4" s="21"/>
      <c r="M4" s="26"/>
      <c r="N4" s="55" t="s">
        <v>140</v>
      </c>
      <c r="O4" s="26"/>
      <c r="P4"/>
      <c r="Q4" s="1"/>
    </row>
    <row r="5" spans="1:17" ht="24.95" customHeight="1">
      <c r="A5"/>
      <c r="B5" s="34" t="s">
        <v>6</v>
      </c>
      <c r="C5" s="165"/>
      <c r="D5" s="208" t="s">
        <v>90</v>
      </c>
      <c r="E5" s="209"/>
      <c r="F5" s="151"/>
      <c r="G5" s="151"/>
      <c r="H5" s="202" t="s">
        <v>76</v>
      </c>
      <c r="I5" s="203"/>
      <c r="J5" s="196" t="s">
        <v>116</v>
      </c>
      <c r="K5" s="196"/>
      <c r="L5" s="196"/>
      <c r="M5" s="196"/>
      <c r="N5" s="196"/>
      <c r="O5" s="196"/>
      <c r="P5" s="72"/>
      <c r="Q5" s="1"/>
    </row>
    <row r="6" spans="1:17" ht="24.95" customHeight="1">
      <c r="A6"/>
      <c r="B6" s="150" t="s">
        <v>0</v>
      </c>
      <c r="C6" s="166"/>
      <c r="D6" s="198" t="s">
        <v>38</v>
      </c>
      <c r="E6" s="199"/>
      <c r="F6" s="152"/>
      <c r="G6" s="152"/>
      <c r="H6" s="204" t="s">
        <v>5</v>
      </c>
      <c r="I6" s="205"/>
      <c r="J6" s="197">
        <v>43787</v>
      </c>
      <c r="K6" s="197"/>
      <c r="L6" s="197"/>
      <c r="M6" s="197"/>
      <c r="N6" s="197"/>
      <c r="O6" s="197"/>
      <c r="P6" s="9"/>
      <c r="Q6" s="1"/>
    </row>
    <row r="7" spans="1:17" ht="24.95" customHeight="1" thickBot="1">
      <c r="A7" s="55"/>
      <c r="B7" s="34" t="s">
        <v>73</v>
      </c>
      <c r="C7" s="165"/>
      <c r="D7" s="200" t="s">
        <v>98</v>
      </c>
      <c r="E7" s="201"/>
      <c r="F7" s="151"/>
      <c r="G7" s="151"/>
      <c r="H7" s="206" t="s">
        <v>77</v>
      </c>
      <c r="I7" s="206"/>
      <c r="J7" s="207" t="s">
        <v>131</v>
      </c>
      <c r="K7" s="207"/>
      <c r="L7" s="207"/>
      <c r="M7" s="207"/>
      <c r="N7" s="207"/>
      <c r="O7" s="207"/>
      <c r="P7" s="9"/>
      <c r="Q7" s="1"/>
    </row>
    <row r="8" spans="1:17" ht="24.95" customHeight="1">
      <c r="A8" s="55"/>
      <c r="B8" s="159"/>
      <c r="C8" s="167"/>
      <c r="D8" s="158"/>
      <c r="E8" s="158"/>
      <c r="F8" s="159"/>
      <c r="G8" s="159"/>
      <c r="H8" s="159"/>
      <c r="I8" s="159"/>
      <c r="J8" s="160"/>
      <c r="K8" s="160"/>
      <c r="L8" s="189"/>
      <c r="M8" s="160"/>
      <c r="N8" s="160"/>
      <c r="O8" s="160"/>
      <c r="P8" s="9"/>
      <c r="Q8" s="1"/>
    </row>
    <row r="9" spans="1:17" ht="20.100000000000001" customHeight="1">
      <c r="A9"/>
      <c r="B9" s="149"/>
      <c r="C9" s="162"/>
      <c r="D9" s="26"/>
      <c r="E9" s="26"/>
      <c r="F9" s="162"/>
      <c r="G9" s="26"/>
      <c r="H9" s="26"/>
      <c r="I9" s="26"/>
      <c r="J9" s="26"/>
      <c r="K9" s="55"/>
      <c r="L9" s="21"/>
      <c r="M9" s="26"/>
      <c r="N9" s="55"/>
      <c r="O9" s="26"/>
      <c r="P9"/>
      <c r="Q9" s="1"/>
    </row>
    <row r="10" spans="1:17" ht="20.100000000000001" customHeight="1">
      <c r="A10"/>
      <c r="B10" s="3" t="s">
        <v>8</v>
      </c>
      <c r="C10" s="168" t="s">
        <v>131</v>
      </c>
      <c r="D10" s="3" t="s">
        <v>51</v>
      </c>
      <c r="E10" s="18" t="s">
        <v>1</v>
      </c>
      <c r="F10" s="3" t="s">
        <v>9</v>
      </c>
      <c r="G10" s="3" t="s">
        <v>52</v>
      </c>
      <c r="H10" s="3" t="s">
        <v>2</v>
      </c>
      <c r="I10" s="3" t="s">
        <v>4</v>
      </c>
      <c r="J10" s="3" t="s">
        <v>53</v>
      </c>
      <c r="K10" s="3" t="s">
        <v>78</v>
      </c>
      <c r="L10" s="190" t="s">
        <v>143</v>
      </c>
      <c r="M10" s="3" t="s">
        <v>71</v>
      </c>
      <c r="N10" s="3" t="s">
        <v>72</v>
      </c>
      <c r="O10" s="3" t="s">
        <v>138</v>
      </c>
      <c r="P10"/>
      <c r="Q10" s="1"/>
    </row>
    <row r="11" spans="1:17" ht="49.5" customHeight="1">
      <c r="A11" s="21"/>
      <c r="B11" s="115">
        <v>1</v>
      </c>
      <c r="C11" s="184" t="s">
        <v>144</v>
      </c>
      <c r="D11" s="182" t="s">
        <v>146</v>
      </c>
      <c r="E11" s="133"/>
      <c r="F11" s="121"/>
      <c r="G11" s="135"/>
      <c r="H11" s="133"/>
      <c r="I11" s="134"/>
      <c r="J11" s="185">
        <v>43752</v>
      </c>
      <c r="K11" s="135"/>
      <c r="L11" s="191">
        <v>0</v>
      </c>
      <c r="M11" s="186">
        <v>0.5</v>
      </c>
      <c r="N11" s="136">
        <v>0.5625</v>
      </c>
      <c r="O11" s="119" t="s">
        <v>139</v>
      </c>
      <c r="P11" s="120"/>
      <c r="Q11" s="1"/>
    </row>
    <row r="12" spans="1:17" ht="49.5" customHeight="1">
      <c r="A12" s="21"/>
      <c r="B12" s="115">
        <f>IF((C12&gt;0),1+B11,"")</f>
        <v>2</v>
      </c>
      <c r="C12" s="212" t="s">
        <v>144</v>
      </c>
      <c r="D12" s="183" t="s">
        <v>146</v>
      </c>
      <c r="E12" s="133"/>
      <c r="F12" s="121"/>
      <c r="G12" s="135"/>
      <c r="H12" s="133"/>
      <c r="I12" s="134"/>
      <c r="J12" s="213">
        <f>SUM(J13:J14)</f>
        <v>87509</v>
      </c>
      <c r="K12" s="135"/>
      <c r="L12" s="191">
        <v>0</v>
      </c>
      <c r="M12" s="186">
        <v>0.5</v>
      </c>
      <c r="N12" s="136">
        <v>0.5625</v>
      </c>
      <c r="O12" s="119" t="s">
        <v>145</v>
      </c>
      <c r="P12" s="120"/>
      <c r="Q12" s="1"/>
    </row>
    <row r="13" spans="1:17" ht="49.5" customHeight="1">
      <c r="A13" s="21"/>
      <c r="B13" s="115">
        <f t="shared" ref="B13:B41" si="0">IF((C13&gt;0),1+B12,"")</f>
        <v>3</v>
      </c>
      <c r="C13" s="184" t="s">
        <v>144</v>
      </c>
      <c r="D13" s="182" t="s">
        <v>146</v>
      </c>
      <c r="E13" s="133"/>
      <c r="F13" s="121"/>
      <c r="G13" s="135"/>
      <c r="H13" s="133"/>
      <c r="I13" s="132"/>
      <c r="J13" s="185">
        <v>43754</v>
      </c>
      <c r="K13" s="135"/>
      <c r="L13" s="191">
        <v>0</v>
      </c>
      <c r="M13" s="186">
        <v>0.54166666666666663</v>
      </c>
      <c r="N13" s="136">
        <v>0.625</v>
      </c>
      <c r="O13" s="119" t="s">
        <v>139</v>
      </c>
      <c r="P13" s="120"/>
      <c r="Q13" s="1"/>
    </row>
    <row r="14" spans="1:17" ht="49.5" customHeight="1">
      <c r="A14" s="21"/>
      <c r="B14" s="115">
        <f t="shared" si="0"/>
        <v>4</v>
      </c>
      <c r="C14" s="212" t="s">
        <v>144</v>
      </c>
      <c r="D14" s="183" t="s">
        <v>146</v>
      </c>
      <c r="E14" s="133"/>
      <c r="F14" s="121"/>
      <c r="G14" s="135"/>
      <c r="H14" s="133"/>
      <c r="I14" s="132"/>
      <c r="J14" s="213">
        <v>43755</v>
      </c>
      <c r="K14" s="135"/>
      <c r="L14" s="191">
        <v>0</v>
      </c>
      <c r="M14" s="186">
        <v>0.54166666666666663</v>
      </c>
      <c r="N14" s="136">
        <v>0.625</v>
      </c>
      <c r="O14" s="119" t="s">
        <v>145</v>
      </c>
      <c r="P14" s="120"/>
      <c r="Q14" s="1"/>
    </row>
    <row r="15" spans="1:17" ht="49.5" customHeight="1">
      <c r="A15" s="21"/>
      <c r="B15" s="115">
        <f t="shared" si="0"/>
        <v>5</v>
      </c>
      <c r="C15" s="184" t="s">
        <v>144</v>
      </c>
      <c r="D15" s="182" t="s">
        <v>146</v>
      </c>
      <c r="E15" s="133"/>
      <c r="F15" s="121"/>
      <c r="G15" s="135"/>
      <c r="H15" s="133"/>
      <c r="I15" s="132"/>
      <c r="J15" s="185">
        <v>43756</v>
      </c>
      <c r="K15" s="135"/>
      <c r="L15" s="191">
        <v>0</v>
      </c>
      <c r="M15" s="186">
        <v>0.54166666666666663</v>
      </c>
      <c r="N15" s="136">
        <v>0.625</v>
      </c>
      <c r="O15" s="119" t="s">
        <v>139</v>
      </c>
      <c r="P15" s="120"/>
      <c r="Q15" s="1"/>
    </row>
    <row r="16" spans="1:17" ht="49.5" customHeight="1">
      <c r="A16" s="21"/>
      <c r="B16" s="115">
        <f t="shared" si="0"/>
        <v>6</v>
      </c>
      <c r="C16" s="212">
        <v>201</v>
      </c>
      <c r="D16" s="183" t="s">
        <v>147</v>
      </c>
      <c r="E16" s="133"/>
      <c r="F16" s="121"/>
      <c r="G16" s="135"/>
      <c r="H16" s="133"/>
      <c r="I16" s="132"/>
      <c r="J16" s="213">
        <v>43753</v>
      </c>
      <c r="K16" s="135"/>
      <c r="L16" s="191">
        <v>0</v>
      </c>
      <c r="M16" s="186">
        <v>0.54166666666666663</v>
      </c>
      <c r="N16" s="136">
        <v>0.625</v>
      </c>
      <c r="O16" s="119" t="s">
        <v>145</v>
      </c>
      <c r="P16" s="120"/>
      <c r="Q16" s="1"/>
    </row>
    <row r="17" spans="1:17" ht="49.5" customHeight="1">
      <c r="A17" s="21"/>
      <c r="B17" s="115">
        <f t="shared" si="0"/>
        <v>7</v>
      </c>
      <c r="C17" s="184">
        <v>405</v>
      </c>
      <c r="D17" s="182" t="s">
        <v>148</v>
      </c>
      <c r="E17" s="133"/>
      <c r="F17" s="121"/>
      <c r="G17" s="135"/>
      <c r="H17" s="133"/>
      <c r="I17" s="132"/>
      <c r="J17" s="185">
        <v>43753</v>
      </c>
      <c r="K17" s="135"/>
      <c r="L17" s="191">
        <v>0</v>
      </c>
      <c r="M17" s="186">
        <v>0.54166666666666663</v>
      </c>
      <c r="N17" s="136">
        <v>0.625</v>
      </c>
      <c r="O17" s="119" t="s">
        <v>145</v>
      </c>
      <c r="P17" s="120"/>
      <c r="Q17" s="1"/>
    </row>
    <row r="18" spans="1:17" ht="49.5" customHeight="1">
      <c r="A18" s="21"/>
      <c r="B18" s="115">
        <f t="shared" si="0"/>
        <v>8</v>
      </c>
      <c r="C18" s="214">
        <v>409</v>
      </c>
      <c r="D18" s="215" t="s">
        <v>149</v>
      </c>
      <c r="E18" s="216"/>
      <c r="F18" s="217"/>
      <c r="G18" s="218"/>
      <c r="H18" s="216"/>
      <c r="I18" s="219"/>
      <c r="J18" s="220">
        <v>43753</v>
      </c>
      <c r="K18" s="135"/>
      <c r="L18" s="191">
        <v>0</v>
      </c>
      <c r="M18" s="186">
        <v>0.54166666666666663</v>
      </c>
      <c r="N18" s="136">
        <v>0.625</v>
      </c>
      <c r="O18" s="119" t="s">
        <v>145</v>
      </c>
      <c r="P18" s="120"/>
      <c r="Q18" s="1"/>
    </row>
    <row r="19" spans="1:17" ht="49.5" customHeight="1">
      <c r="A19" s="21"/>
      <c r="B19" s="115" t="str">
        <f t="shared" si="0"/>
        <v/>
      </c>
      <c r="C19" s="195"/>
      <c r="D19" s="121"/>
      <c r="E19" s="133"/>
      <c r="F19" s="121"/>
      <c r="G19" s="135"/>
      <c r="H19" s="133"/>
      <c r="I19" s="125"/>
      <c r="J19" s="135"/>
      <c r="K19" s="135"/>
      <c r="L19" s="191">
        <v>0</v>
      </c>
      <c r="M19" s="136"/>
      <c r="N19" s="136"/>
      <c r="O19" s="119" t="s">
        <v>145</v>
      </c>
      <c r="P19" s="120"/>
      <c r="Q19" s="1"/>
    </row>
    <row r="20" spans="1:17" ht="49.5" customHeight="1">
      <c r="A20" s="21"/>
      <c r="B20" s="115" t="str">
        <f t="shared" si="0"/>
        <v/>
      </c>
      <c r="C20" s="195"/>
      <c r="D20" s="121"/>
      <c r="E20" s="133"/>
      <c r="F20" s="121"/>
      <c r="G20" s="135"/>
      <c r="H20" s="133"/>
      <c r="I20" s="125"/>
      <c r="J20" s="135"/>
      <c r="K20" s="135"/>
      <c r="L20" s="191">
        <v>0</v>
      </c>
      <c r="M20" s="136"/>
      <c r="N20" s="136"/>
      <c r="O20" s="119" t="s">
        <v>145</v>
      </c>
      <c r="P20" s="120"/>
      <c r="Q20" s="1"/>
    </row>
    <row r="21" spans="1:17" ht="49.5" customHeight="1">
      <c r="A21" s="21"/>
      <c r="B21" s="115" t="str">
        <f t="shared" si="0"/>
        <v/>
      </c>
      <c r="C21" s="195"/>
      <c r="D21" s="121"/>
      <c r="E21" s="133"/>
      <c r="F21" s="121"/>
      <c r="G21" s="135"/>
      <c r="H21" s="133"/>
      <c r="I21" s="125"/>
      <c r="J21" s="135"/>
      <c r="K21" s="135"/>
      <c r="L21" s="191">
        <v>0</v>
      </c>
      <c r="M21" s="136"/>
      <c r="N21" s="136"/>
      <c r="O21" s="119" t="s">
        <v>145</v>
      </c>
      <c r="P21" s="120"/>
      <c r="Q21" s="1"/>
    </row>
    <row r="22" spans="1:17" ht="49.5" customHeight="1">
      <c r="A22" s="21"/>
      <c r="B22" s="115" t="str">
        <f t="shared" si="0"/>
        <v/>
      </c>
      <c r="C22" s="195"/>
      <c r="D22" s="121"/>
      <c r="E22" s="133"/>
      <c r="F22" s="121"/>
      <c r="G22" s="135"/>
      <c r="H22" s="133"/>
      <c r="I22" s="125"/>
      <c r="J22" s="135"/>
      <c r="K22" s="135"/>
      <c r="L22" s="191">
        <v>0</v>
      </c>
      <c r="M22" s="136"/>
      <c r="N22" s="136"/>
      <c r="O22" s="119" t="s">
        <v>145</v>
      </c>
      <c r="P22" s="120"/>
      <c r="Q22" s="1"/>
    </row>
    <row r="23" spans="1:17" ht="49.5" customHeight="1">
      <c r="A23" s="21"/>
      <c r="B23" s="115" t="str">
        <f t="shared" si="0"/>
        <v/>
      </c>
      <c r="C23" s="195"/>
      <c r="D23" s="121"/>
      <c r="E23" s="133"/>
      <c r="F23" s="121"/>
      <c r="G23" s="135"/>
      <c r="H23" s="133"/>
      <c r="I23" s="125"/>
      <c r="J23" s="135"/>
      <c r="K23" s="135"/>
      <c r="L23" s="191">
        <v>0</v>
      </c>
      <c r="M23" s="136"/>
      <c r="N23" s="136"/>
      <c r="O23" s="119" t="s">
        <v>145</v>
      </c>
      <c r="P23" s="120"/>
      <c r="Q23" s="1"/>
    </row>
    <row r="24" spans="1:17" ht="49.5" customHeight="1">
      <c r="A24" s="21"/>
      <c r="B24" s="115" t="str">
        <f t="shared" si="0"/>
        <v/>
      </c>
      <c r="C24" s="169"/>
      <c r="D24" s="121"/>
      <c r="E24" s="133"/>
      <c r="F24" s="121"/>
      <c r="G24" s="135"/>
      <c r="H24" s="133"/>
      <c r="I24" s="125"/>
      <c r="J24" s="135"/>
      <c r="K24" s="135"/>
      <c r="L24" s="191">
        <v>0</v>
      </c>
      <c r="M24" s="136"/>
      <c r="N24" s="136"/>
      <c r="O24" s="119" t="s">
        <v>145</v>
      </c>
      <c r="P24" s="120"/>
      <c r="Q24" s="1"/>
    </row>
    <row r="25" spans="1:17" ht="49.5" customHeight="1">
      <c r="A25" s="21"/>
      <c r="B25" s="115" t="str">
        <f t="shared" si="0"/>
        <v/>
      </c>
      <c r="C25" s="169"/>
      <c r="D25" s="121"/>
      <c r="E25" s="133"/>
      <c r="F25" s="121"/>
      <c r="G25" s="135"/>
      <c r="H25" s="133"/>
      <c r="I25" s="125"/>
      <c r="J25" s="135"/>
      <c r="K25" s="135"/>
      <c r="L25" s="191">
        <v>0</v>
      </c>
      <c r="M25" s="136"/>
      <c r="N25" s="136"/>
      <c r="O25" s="119" t="s">
        <v>145</v>
      </c>
      <c r="P25" s="120"/>
      <c r="Q25" s="1"/>
    </row>
    <row r="26" spans="1:17" ht="49.5" customHeight="1">
      <c r="A26" s="21"/>
      <c r="B26" s="115" t="str">
        <f t="shared" si="0"/>
        <v/>
      </c>
      <c r="C26" s="169"/>
      <c r="D26" s="121"/>
      <c r="E26" s="133"/>
      <c r="F26" s="121"/>
      <c r="G26" s="135"/>
      <c r="H26" s="133"/>
      <c r="I26" s="125"/>
      <c r="J26" s="135"/>
      <c r="K26" s="135"/>
      <c r="L26" s="191">
        <v>0</v>
      </c>
      <c r="M26" s="136"/>
      <c r="N26" s="136"/>
      <c r="O26" s="119" t="s">
        <v>145</v>
      </c>
      <c r="P26" s="120"/>
      <c r="Q26" s="1"/>
    </row>
    <row r="27" spans="1:17" ht="49.5" customHeight="1">
      <c r="A27" s="21"/>
      <c r="B27" s="115" t="str">
        <f t="shared" si="0"/>
        <v/>
      </c>
      <c r="C27" s="169"/>
      <c r="D27" s="121"/>
      <c r="E27" s="133"/>
      <c r="F27" s="121"/>
      <c r="G27" s="135"/>
      <c r="H27" s="133"/>
      <c r="I27" s="125"/>
      <c r="J27" s="135"/>
      <c r="K27" s="135"/>
      <c r="L27" s="191">
        <v>0</v>
      </c>
      <c r="M27" s="136"/>
      <c r="N27" s="136"/>
      <c r="O27" s="119" t="s">
        <v>145</v>
      </c>
      <c r="P27" s="120"/>
      <c r="Q27" s="1"/>
    </row>
    <row r="28" spans="1:17" ht="49.5" customHeight="1">
      <c r="A28" s="21"/>
      <c r="B28" s="115" t="str">
        <f t="shared" si="0"/>
        <v/>
      </c>
      <c r="C28" s="169"/>
      <c r="D28" s="121"/>
      <c r="E28" s="133"/>
      <c r="F28" s="121"/>
      <c r="G28" s="135"/>
      <c r="H28" s="133"/>
      <c r="I28" s="125"/>
      <c r="J28" s="135"/>
      <c r="K28" s="135"/>
      <c r="L28" s="191">
        <v>0</v>
      </c>
      <c r="M28" s="136"/>
      <c r="N28" s="136"/>
      <c r="O28" s="119" t="s">
        <v>145</v>
      </c>
      <c r="P28" s="120"/>
      <c r="Q28" s="1"/>
    </row>
    <row r="29" spans="1:17" ht="49.5" customHeight="1">
      <c r="A29" s="21"/>
      <c r="B29" s="115" t="str">
        <f t="shared" si="0"/>
        <v/>
      </c>
      <c r="C29" s="169"/>
      <c r="D29" s="121"/>
      <c r="E29" s="133"/>
      <c r="F29" s="121"/>
      <c r="G29" s="135"/>
      <c r="H29" s="133"/>
      <c r="I29" s="125"/>
      <c r="J29" s="135"/>
      <c r="K29" s="135"/>
      <c r="L29" s="191">
        <v>0</v>
      </c>
      <c r="M29" s="136"/>
      <c r="N29" s="136"/>
      <c r="O29" s="119" t="s">
        <v>145</v>
      </c>
      <c r="P29" s="120"/>
      <c r="Q29" s="1"/>
    </row>
    <row r="30" spans="1:17" ht="49.5" customHeight="1">
      <c r="A30" s="21"/>
      <c r="B30" s="115" t="str">
        <f t="shared" si="0"/>
        <v/>
      </c>
      <c r="C30" s="169"/>
      <c r="D30" s="121"/>
      <c r="E30" s="133"/>
      <c r="F30" s="121"/>
      <c r="G30" s="135"/>
      <c r="H30" s="133"/>
      <c r="I30" s="125"/>
      <c r="J30" s="135"/>
      <c r="K30" s="135"/>
      <c r="L30" s="191">
        <v>0</v>
      </c>
      <c r="M30" s="136"/>
      <c r="N30" s="136"/>
      <c r="O30" s="119" t="s">
        <v>145</v>
      </c>
      <c r="P30" s="120"/>
      <c r="Q30" s="1"/>
    </row>
    <row r="31" spans="1:17" ht="49.5" customHeight="1">
      <c r="A31" s="21"/>
      <c r="B31" s="115" t="str">
        <f t="shared" si="0"/>
        <v/>
      </c>
      <c r="C31" s="169"/>
      <c r="D31" s="121"/>
      <c r="E31" s="133"/>
      <c r="F31" s="121"/>
      <c r="G31" s="135"/>
      <c r="H31" s="133"/>
      <c r="I31" s="125"/>
      <c r="J31" s="135"/>
      <c r="K31" s="135"/>
      <c r="L31" s="191">
        <v>0</v>
      </c>
      <c r="M31" s="136"/>
      <c r="N31" s="136"/>
      <c r="O31" s="119" t="s">
        <v>145</v>
      </c>
      <c r="P31" s="120"/>
      <c r="Q31" s="1"/>
    </row>
    <row r="32" spans="1:17" ht="49.5" customHeight="1">
      <c r="A32" s="21"/>
      <c r="B32" s="115" t="str">
        <f t="shared" si="0"/>
        <v/>
      </c>
      <c r="C32" s="169"/>
      <c r="D32" s="121"/>
      <c r="E32" s="133"/>
      <c r="F32" s="121"/>
      <c r="G32" s="135"/>
      <c r="H32" s="133"/>
      <c r="I32" s="125"/>
      <c r="J32" s="135"/>
      <c r="K32" s="135"/>
      <c r="L32" s="191">
        <v>0</v>
      </c>
      <c r="M32" s="136"/>
      <c r="N32" s="136"/>
      <c r="O32" s="119" t="s">
        <v>145</v>
      </c>
      <c r="P32" s="120"/>
      <c r="Q32" s="1"/>
    </row>
    <row r="33" spans="1:17" ht="49.5" customHeight="1">
      <c r="A33" s="21"/>
      <c r="B33" s="115" t="str">
        <f t="shared" si="0"/>
        <v/>
      </c>
      <c r="C33" s="169"/>
      <c r="D33" s="121"/>
      <c r="E33" s="133"/>
      <c r="F33" s="121"/>
      <c r="G33" s="135"/>
      <c r="H33" s="133"/>
      <c r="I33" s="125"/>
      <c r="J33" s="135"/>
      <c r="K33" s="135"/>
      <c r="L33" s="191">
        <v>0</v>
      </c>
      <c r="M33" s="136"/>
      <c r="N33" s="136"/>
      <c r="O33" s="119" t="s">
        <v>145</v>
      </c>
      <c r="P33" s="120"/>
      <c r="Q33" s="1"/>
    </row>
    <row r="34" spans="1:17" ht="49.5" customHeight="1">
      <c r="A34" s="21"/>
      <c r="B34" s="115" t="str">
        <f t="shared" si="0"/>
        <v/>
      </c>
      <c r="C34" s="169"/>
      <c r="D34" s="121"/>
      <c r="E34" s="133"/>
      <c r="F34" s="121"/>
      <c r="G34" s="135"/>
      <c r="H34" s="133"/>
      <c r="I34" s="125"/>
      <c r="J34" s="135"/>
      <c r="K34" s="135"/>
      <c r="L34" s="191">
        <v>0</v>
      </c>
      <c r="M34" s="136"/>
      <c r="N34" s="136"/>
      <c r="O34" s="119" t="s">
        <v>145</v>
      </c>
      <c r="P34" s="120"/>
      <c r="Q34" s="1"/>
    </row>
    <row r="35" spans="1:17" ht="49.5" customHeight="1">
      <c r="A35" s="21"/>
      <c r="B35" s="115" t="str">
        <f t="shared" si="0"/>
        <v/>
      </c>
      <c r="C35" s="169"/>
      <c r="D35" s="121"/>
      <c r="E35" s="133"/>
      <c r="F35" s="121"/>
      <c r="G35" s="135"/>
      <c r="H35" s="133"/>
      <c r="I35" s="125"/>
      <c r="J35" s="135"/>
      <c r="K35" s="135"/>
      <c r="L35" s="191">
        <v>0</v>
      </c>
      <c r="M35" s="136"/>
      <c r="N35" s="136"/>
      <c r="O35" s="119" t="s">
        <v>145</v>
      </c>
      <c r="P35" s="120"/>
      <c r="Q35" s="1"/>
    </row>
    <row r="36" spans="1:17" ht="49.5" customHeight="1">
      <c r="A36" s="21"/>
      <c r="B36" s="115" t="str">
        <f t="shared" si="0"/>
        <v/>
      </c>
      <c r="C36" s="169"/>
      <c r="D36" s="121"/>
      <c r="E36" s="133"/>
      <c r="F36" s="121"/>
      <c r="G36" s="135"/>
      <c r="H36" s="133"/>
      <c r="I36" s="125"/>
      <c r="J36" s="135"/>
      <c r="K36" s="135"/>
      <c r="L36" s="191">
        <v>0</v>
      </c>
      <c r="M36" s="136"/>
      <c r="N36" s="136"/>
      <c r="O36" s="119" t="s">
        <v>145</v>
      </c>
      <c r="P36" s="120"/>
      <c r="Q36" s="1"/>
    </row>
    <row r="37" spans="1:17" ht="49.5" customHeight="1">
      <c r="A37" s="21"/>
      <c r="B37" s="115" t="str">
        <f t="shared" si="0"/>
        <v/>
      </c>
      <c r="C37" s="169"/>
      <c r="D37" s="121"/>
      <c r="E37" s="133"/>
      <c r="F37" s="121"/>
      <c r="G37" s="135"/>
      <c r="H37" s="133"/>
      <c r="I37" s="125"/>
      <c r="J37" s="135"/>
      <c r="K37" s="135"/>
      <c r="L37" s="191">
        <v>0</v>
      </c>
      <c r="M37" s="136">
        <v>0.4375</v>
      </c>
      <c r="N37" s="136">
        <v>0.47916666666666669</v>
      </c>
      <c r="O37" s="119" t="s">
        <v>145</v>
      </c>
      <c r="P37" s="120"/>
      <c r="Q37" s="1"/>
    </row>
    <row r="38" spans="1:17" ht="49.5" customHeight="1">
      <c r="A38" s="21"/>
      <c r="B38" s="115" t="str">
        <f t="shared" si="0"/>
        <v/>
      </c>
      <c r="C38" s="169"/>
      <c r="D38" s="121"/>
      <c r="E38" s="133"/>
      <c r="F38" s="121"/>
      <c r="G38" s="135"/>
      <c r="H38" s="133"/>
      <c r="I38" s="125"/>
      <c r="J38" s="135"/>
      <c r="K38" s="135"/>
      <c r="L38" s="191">
        <v>0</v>
      </c>
      <c r="M38" s="136">
        <v>0.6875</v>
      </c>
      <c r="N38" s="136">
        <v>0.77083333333333337</v>
      </c>
      <c r="O38" s="119" t="s">
        <v>145</v>
      </c>
      <c r="P38" s="120"/>
      <c r="Q38" s="1"/>
    </row>
    <row r="39" spans="1:17" ht="49.5" customHeight="1">
      <c r="A39" s="21"/>
      <c r="B39" s="115" t="str">
        <f>IF((C39&gt;0),1+B38,"")</f>
        <v/>
      </c>
      <c r="C39" s="169"/>
      <c r="D39" s="121"/>
      <c r="E39" s="133"/>
      <c r="F39" s="121"/>
      <c r="G39" s="135"/>
      <c r="H39" s="133"/>
      <c r="I39" s="125"/>
      <c r="J39" s="135"/>
      <c r="K39" s="135"/>
      <c r="L39" s="191">
        <v>0</v>
      </c>
      <c r="M39" s="136">
        <v>0.4375</v>
      </c>
      <c r="N39" s="136">
        <v>0.47916666666666669</v>
      </c>
      <c r="O39" s="119" t="s">
        <v>145</v>
      </c>
      <c r="P39" s="120"/>
      <c r="Q39" s="1"/>
    </row>
    <row r="40" spans="1:17" ht="49.5" customHeight="1">
      <c r="A40" s="21"/>
      <c r="B40" s="115" t="str">
        <f t="shared" si="0"/>
        <v/>
      </c>
      <c r="C40" s="169"/>
      <c r="D40" s="121"/>
      <c r="E40" s="121"/>
      <c r="F40" s="121"/>
      <c r="G40" s="135"/>
      <c r="H40" s="133"/>
      <c r="I40" s="132"/>
      <c r="J40" s="135"/>
      <c r="K40" s="135"/>
      <c r="L40" s="191">
        <v>0</v>
      </c>
      <c r="M40" s="136">
        <v>0.4375</v>
      </c>
      <c r="N40" s="136">
        <v>0.47916666666666669</v>
      </c>
      <c r="O40" s="119" t="s">
        <v>145</v>
      </c>
      <c r="P40" s="120"/>
      <c r="Q40" s="1"/>
    </row>
    <row r="41" spans="1:17" ht="49.5" customHeight="1">
      <c r="A41" s="21"/>
      <c r="B41" s="115" t="str">
        <f t="shared" si="0"/>
        <v/>
      </c>
      <c r="C41" s="169"/>
      <c r="D41" s="121"/>
      <c r="E41" s="121"/>
      <c r="F41" s="121"/>
      <c r="G41" s="135"/>
      <c r="H41" s="133"/>
      <c r="I41" s="132"/>
      <c r="J41" s="135"/>
      <c r="K41" s="135"/>
      <c r="L41" s="191">
        <v>0</v>
      </c>
      <c r="M41" s="136">
        <v>0.4375</v>
      </c>
      <c r="N41" s="136">
        <v>0.47916666666666669</v>
      </c>
      <c r="O41" s="119" t="s">
        <v>145</v>
      </c>
      <c r="P41" s="120"/>
      <c r="Q41" s="1"/>
    </row>
    <row r="42" spans="1:17" ht="49.5" customHeight="1">
      <c r="A42" s="21"/>
      <c r="B42" s="115" t="str">
        <f>IF((C42&gt;0),1+B41,"")</f>
        <v/>
      </c>
      <c r="C42" s="169"/>
      <c r="D42" s="121"/>
      <c r="E42" s="121"/>
      <c r="F42" s="121"/>
      <c r="G42" s="135"/>
      <c r="H42" s="133"/>
      <c r="I42" s="132"/>
      <c r="J42" s="135"/>
      <c r="K42" s="135"/>
      <c r="L42" s="191">
        <v>0</v>
      </c>
      <c r="M42" s="136">
        <v>0.70833333333333337</v>
      </c>
      <c r="N42" s="136">
        <v>0.72916666666666663</v>
      </c>
      <c r="O42" s="119" t="s">
        <v>145</v>
      </c>
      <c r="P42" s="120"/>
      <c r="Q42" s="1"/>
    </row>
    <row r="43" spans="1:17" ht="49.5" customHeight="1">
      <c r="A43" s="21"/>
      <c r="B43" s="115" t="str">
        <f t="shared" ref="B43:B101" si="1">IF((C43&gt;0),1+B42,"")</f>
        <v/>
      </c>
      <c r="C43" s="169"/>
      <c r="D43" s="121"/>
      <c r="E43" s="121"/>
      <c r="F43" s="121"/>
      <c r="G43" s="135"/>
      <c r="H43" s="133"/>
      <c r="I43" s="132"/>
      <c r="J43" s="135"/>
      <c r="K43" s="135"/>
      <c r="L43" s="191">
        <v>0</v>
      </c>
      <c r="M43" s="136">
        <v>0.4375</v>
      </c>
      <c r="N43" s="136">
        <v>0.47916666666666669</v>
      </c>
      <c r="O43" s="119" t="s">
        <v>145</v>
      </c>
      <c r="P43" s="120"/>
      <c r="Q43" s="1"/>
    </row>
    <row r="44" spans="1:17" ht="49.5" customHeight="1">
      <c r="A44" s="21"/>
      <c r="B44" s="115" t="str">
        <f t="shared" si="1"/>
        <v/>
      </c>
      <c r="C44" s="169"/>
      <c r="D44" s="121"/>
      <c r="E44" s="121"/>
      <c r="F44" s="121"/>
      <c r="G44" s="135"/>
      <c r="H44" s="133"/>
      <c r="I44" s="132"/>
      <c r="J44" s="135"/>
      <c r="K44" s="135"/>
      <c r="L44" s="191">
        <v>0</v>
      </c>
      <c r="M44" s="136">
        <v>0.4375</v>
      </c>
      <c r="N44" s="136">
        <v>0.47916666666666669</v>
      </c>
      <c r="O44" s="119" t="s">
        <v>145</v>
      </c>
      <c r="P44" s="120"/>
      <c r="Q44" s="1"/>
    </row>
    <row r="45" spans="1:17" ht="49.5" customHeight="1">
      <c r="A45" s="21"/>
      <c r="B45" s="115" t="str">
        <f t="shared" si="1"/>
        <v/>
      </c>
      <c r="C45" s="184"/>
      <c r="D45" s="182"/>
      <c r="E45" s="121"/>
      <c r="F45" s="121"/>
      <c r="G45" s="124"/>
      <c r="H45" s="123"/>
      <c r="I45" s="126"/>
      <c r="J45" s="185"/>
      <c r="K45" s="135"/>
      <c r="L45" s="191">
        <v>0</v>
      </c>
      <c r="M45" s="186">
        <v>0</v>
      </c>
      <c r="N45" s="136">
        <v>0</v>
      </c>
      <c r="O45" s="119" t="s">
        <v>145</v>
      </c>
      <c r="P45" s="120"/>
      <c r="Q45" s="1"/>
    </row>
    <row r="46" spans="1:17" ht="49.5" customHeight="1">
      <c r="A46" s="21"/>
      <c r="B46" s="115" t="str">
        <f t="shared" si="1"/>
        <v/>
      </c>
      <c r="C46" s="169"/>
      <c r="D46" s="183"/>
      <c r="E46" s="121"/>
      <c r="F46" s="121"/>
      <c r="G46" s="124"/>
      <c r="H46" s="123"/>
      <c r="I46" s="132"/>
      <c r="J46" s="124"/>
      <c r="K46" s="135"/>
      <c r="L46" s="191">
        <v>0</v>
      </c>
      <c r="M46" s="136">
        <v>0</v>
      </c>
      <c r="N46" s="136">
        <v>0</v>
      </c>
      <c r="O46" s="119" t="s">
        <v>145</v>
      </c>
      <c r="P46" s="120"/>
      <c r="Q46" s="1"/>
    </row>
    <row r="47" spans="1:17" ht="49.5" customHeight="1">
      <c r="A47" s="21"/>
      <c r="B47" s="115" t="str">
        <f t="shared" si="1"/>
        <v/>
      </c>
      <c r="C47" s="169"/>
      <c r="D47" s="121"/>
      <c r="E47" s="121"/>
      <c r="F47" s="121"/>
      <c r="G47" s="124"/>
      <c r="H47" s="123"/>
      <c r="I47" s="132"/>
      <c r="J47" s="124"/>
      <c r="K47" s="135"/>
      <c r="L47" s="191">
        <v>0</v>
      </c>
      <c r="M47" s="136">
        <v>0</v>
      </c>
      <c r="N47" s="136">
        <v>0</v>
      </c>
      <c r="O47" s="119" t="s">
        <v>145</v>
      </c>
      <c r="P47" s="120"/>
      <c r="Q47" s="1"/>
    </row>
    <row r="48" spans="1:17" ht="49.5" customHeight="1">
      <c r="A48" s="21"/>
      <c r="B48" s="115" t="str">
        <f t="shared" si="1"/>
        <v/>
      </c>
      <c r="C48" s="169"/>
      <c r="D48" s="121"/>
      <c r="E48" s="121"/>
      <c r="F48" s="121"/>
      <c r="G48" s="117"/>
      <c r="H48" s="116"/>
      <c r="I48" s="127"/>
      <c r="J48" s="124"/>
      <c r="K48" s="135"/>
      <c r="L48" s="191">
        <v>0</v>
      </c>
      <c r="M48" s="136">
        <v>0</v>
      </c>
      <c r="N48" s="136">
        <v>0</v>
      </c>
      <c r="O48" s="119" t="s">
        <v>145</v>
      </c>
      <c r="P48" s="120"/>
      <c r="Q48" s="1"/>
    </row>
    <row r="49" spans="1:17" ht="49.5" customHeight="1">
      <c r="A49" s="21"/>
      <c r="B49" s="115" t="str">
        <f t="shared" si="1"/>
        <v/>
      </c>
      <c r="C49" s="169"/>
      <c r="D49" s="121"/>
      <c r="E49" s="121"/>
      <c r="F49" s="121"/>
      <c r="G49" s="117"/>
      <c r="H49" s="116"/>
      <c r="I49" s="132"/>
      <c r="J49" s="124"/>
      <c r="K49" s="135"/>
      <c r="L49" s="191">
        <v>0</v>
      </c>
      <c r="M49" s="136">
        <v>0</v>
      </c>
      <c r="N49" s="136">
        <v>0</v>
      </c>
      <c r="O49" s="119" t="s">
        <v>145</v>
      </c>
      <c r="P49" s="120"/>
      <c r="Q49" s="1"/>
    </row>
    <row r="50" spans="1:17" ht="49.5" customHeight="1">
      <c r="A50" s="21"/>
      <c r="B50" s="115" t="str">
        <f t="shared" si="1"/>
        <v/>
      </c>
      <c r="C50" s="169"/>
      <c r="D50" s="121"/>
      <c r="E50" s="121"/>
      <c r="F50" s="121"/>
      <c r="G50" s="117"/>
      <c r="H50" s="116"/>
      <c r="I50" s="132"/>
      <c r="J50" s="124"/>
      <c r="K50" s="135"/>
      <c r="L50" s="191">
        <v>0</v>
      </c>
      <c r="M50" s="136">
        <v>0</v>
      </c>
      <c r="N50" s="136">
        <v>0</v>
      </c>
      <c r="O50" s="119" t="s">
        <v>145</v>
      </c>
      <c r="P50" s="120"/>
      <c r="Q50" s="1"/>
    </row>
    <row r="51" spans="1:17" ht="49.5" customHeight="1">
      <c r="A51" s="21"/>
      <c r="B51" s="115" t="str">
        <f t="shared" si="1"/>
        <v/>
      </c>
      <c r="C51" s="169"/>
      <c r="D51" s="121"/>
      <c r="E51" s="121"/>
      <c r="F51" s="121"/>
      <c r="G51" s="117"/>
      <c r="H51" s="116"/>
      <c r="I51" s="132"/>
      <c r="J51" s="124"/>
      <c r="K51" s="135"/>
      <c r="L51" s="191">
        <v>0</v>
      </c>
      <c r="M51" s="136">
        <v>0</v>
      </c>
      <c r="N51" s="136">
        <v>0</v>
      </c>
      <c r="O51" s="119" t="s">
        <v>145</v>
      </c>
      <c r="P51" s="120"/>
      <c r="Q51" s="1"/>
    </row>
    <row r="52" spans="1:17" ht="49.5" customHeight="1">
      <c r="A52" s="21"/>
      <c r="B52" s="115" t="str">
        <f t="shared" si="1"/>
        <v/>
      </c>
      <c r="C52" s="169"/>
      <c r="D52" s="121"/>
      <c r="E52" s="121"/>
      <c r="F52" s="121"/>
      <c r="G52" s="117"/>
      <c r="H52" s="116"/>
      <c r="I52" s="132"/>
      <c r="J52" s="135"/>
      <c r="K52" s="135"/>
      <c r="L52" s="191">
        <v>0</v>
      </c>
      <c r="M52" s="136">
        <v>0</v>
      </c>
      <c r="N52" s="136">
        <v>0</v>
      </c>
      <c r="O52" s="119" t="s">
        <v>145</v>
      </c>
      <c r="P52" s="120"/>
      <c r="Q52" s="1"/>
    </row>
    <row r="53" spans="1:17" ht="49.5" customHeight="1">
      <c r="A53" s="21"/>
      <c r="B53" s="115" t="str">
        <f t="shared" si="1"/>
        <v/>
      </c>
      <c r="C53" s="169"/>
      <c r="D53" s="121"/>
      <c r="E53" s="121"/>
      <c r="F53" s="121"/>
      <c r="G53" s="117"/>
      <c r="H53" s="116"/>
      <c r="I53" s="128"/>
      <c r="J53" s="124"/>
      <c r="K53" s="135"/>
      <c r="L53" s="191">
        <v>0</v>
      </c>
      <c r="M53" s="136">
        <v>0</v>
      </c>
      <c r="N53" s="136">
        <v>0</v>
      </c>
      <c r="O53" s="119" t="s">
        <v>145</v>
      </c>
      <c r="P53" s="120"/>
      <c r="Q53" s="1"/>
    </row>
    <row r="54" spans="1:17" ht="49.5" customHeight="1">
      <c r="A54" s="21"/>
      <c r="B54" s="115" t="str">
        <f t="shared" si="1"/>
        <v/>
      </c>
      <c r="C54" s="169"/>
      <c r="D54" s="121"/>
      <c r="E54" s="121"/>
      <c r="F54" s="121"/>
      <c r="G54" s="117"/>
      <c r="H54" s="116"/>
      <c r="I54" s="129"/>
      <c r="J54" s="124"/>
      <c r="K54" s="135"/>
      <c r="L54" s="191">
        <v>0</v>
      </c>
      <c r="M54" s="136">
        <v>0</v>
      </c>
      <c r="N54" s="136">
        <v>0</v>
      </c>
      <c r="O54" s="119" t="s">
        <v>145</v>
      </c>
      <c r="P54" s="120"/>
      <c r="Q54" s="1"/>
    </row>
    <row r="55" spans="1:17" ht="49.5" customHeight="1">
      <c r="A55" s="21"/>
      <c r="B55" s="115" t="str">
        <f t="shared" si="1"/>
        <v/>
      </c>
      <c r="C55" s="169"/>
      <c r="D55" s="121"/>
      <c r="E55" s="121"/>
      <c r="F55" s="121"/>
      <c r="G55" s="117"/>
      <c r="H55" s="116"/>
      <c r="I55" s="130"/>
      <c r="J55" s="124"/>
      <c r="K55" s="135"/>
      <c r="L55" s="191">
        <v>0</v>
      </c>
      <c r="M55" s="136">
        <v>0</v>
      </c>
      <c r="N55" s="136">
        <v>0</v>
      </c>
      <c r="O55" s="119" t="s">
        <v>145</v>
      </c>
      <c r="P55" s="120"/>
      <c r="Q55" s="1"/>
    </row>
    <row r="56" spans="1:17" ht="49.5" customHeight="1">
      <c r="A56" s="21"/>
      <c r="B56" s="115" t="str">
        <f t="shared" si="1"/>
        <v/>
      </c>
      <c r="C56" s="169"/>
      <c r="D56" s="121"/>
      <c r="E56" s="121"/>
      <c r="F56" s="121"/>
      <c r="G56" s="117"/>
      <c r="H56" s="116"/>
      <c r="I56" s="131"/>
      <c r="J56" s="118"/>
      <c r="K56" s="135"/>
      <c r="L56" s="191">
        <v>0</v>
      </c>
      <c r="M56" s="136">
        <v>0</v>
      </c>
      <c r="N56" s="136">
        <v>0</v>
      </c>
      <c r="O56" s="119" t="s">
        <v>145</v>
      </c>
      <c r="P56" s="120"/>
      <c r="Q56" s="1"/>
    </row>
    <row r="57" spans="1:17" ht="49.5" customHeight="1">
      <c r="A57" s="21"/>
      <c r="B57" s="115" t="str">
        <f t="shared" si="1"/>
        <v/>
      </c>
      <c r="C57" s="169"/>
      <c r="D57" s="121"/>
      <c r="E57" s="121"/>
      <c r="F57" s="121"/>
      <c r="G57" s="117"/>
      <c r="H57" s="116"/>
      <c r="I57" s="132"/>
      <c r="J57" s="118"/>
      <c r="K57" s="135"/>
      <c r="L57" s="191">
        <v>0</v>
      </c>
      <c r="M57" s="136">
        <v>0</v>
      </c>
      <c r="N57" s="136">
        <v>0</v>
      </c>
      <c r="O57" s="119" t="s">
        <v>145</v>
      </c>
      <c r="P57" s="120"/>
      <c r="Q57" s="1"/>
    </row>
    <row r="58" spans="1:17" ht="49.5" customHeight="1">
      <c r="A58" s="21"/>
      <c r="B58" s="115" t="str">
        <f t="shared" si="1"/>
        <v/>
      </c>
      <c r="C58" s="169"/>
      <c r="D58" s="121"/>
      <c r="E58" s="121"/>
      <c r="F58" s="121"/>
      <c r="G58" s="117"/>
      <c r="H58" s="116"/>
      <c r="I58" s="122"/>
      <c r="J58" s="118"/>
      <c r="K58" s="135"/>
      <c r="L58" s="191">
        <v>0</v>
      </c>
      <c r="M58" s="136">
        <v>0</v>
      </c>
      <c r="N58" s="136">
        <v>0</v>
      </c>
      <c r="O58" s="119" t="s">
        <v>145</v>
      </c>
      <c r="P58" s="120"/>
      <c r="Q58" s="1"/>
    </row>
    <row r="59" spans="1:17" ht="49.5" customHeight="1">
      <c r="A59" s="21"/>
      <c r="B59" s="115" t="str">
        <f t="shared" si="1"/>
        <v/>
      </c>
      <c r="C59" s="169"/>
      <c r="D59" s="121"/>
      <c r="E59" s="121"/>
      <c r="F59" s="121"/>
      <c r="G59" s="117"/>
      <c r="H59" s="116"/>
      <c r="I59" s="122"/>
      <c r="J59" s="124"/>
      <c r="K59" s="135"/>
      <c r="L59" s="191">
        <v>0</v>
      </c>
      <c r="M59" s="136">
        <v>0</v>
      </c>
      <c r="N59" s="136">
        <v>0</v>
      </c>
      <c r="O59" s="119" t="s">
        <v>145</v>
      </c>
      <c r="P59" s="120"/>
      <c r="Q59" s="1"/>
    </row>
    <row r="60" spans="1:17" ht="49.5" customHeight="1">
      <c r="A60" s="21"/>
      <c r="B60" s="115" t="str">
        <f t="shared" si="1"/>
        <v/>
      </c>
      <c r="C60" s="169"/>
      <c r="D60" s="121"/>
      <c r="E60" s="121"/>
      <c r="F60" s="121"/>
      <c r="G60" s="117"/>
      <c r="H60" s="116"/>
      <c r="I60" s="115"/>
      <c r="J60" s="118"/>
      <c r="K60" s="135"/>
      <c r="L60" s="191">
        <v>0</v>
      </c>
      <c r="M60" s="136">
        <v>0</v>
      </c>
      <c r="N60" s="136">
        <v>0</v>
      </c>
      <c r="O60" s="119" t="s">
        <v>145</v>
      </c>
      <c r="P60" s="120"/>
      <c r="Q60" s="1"/>
    </row>
    <row r="61" spans="1:17" ht="49.5" customHeight="1">
      <c r="A61" s="21"/>
      <c r="B61" s="115" t="str">
        <f t="shared" si="1"/>
        <v/>
      </c>
      <c r="C61" s="169"/>
      <c r="D61" s="121"/>
      <c r="E61" s="121"/>
      <c r="F61" s="121"/>
      <c r="G61" s="117"/>
      <c r="H61" s="116"/>
      <c r="I61" s="115"/>
      <c r="J61" s="124"/>
      <c r="K61" s="135"/>
      <c r="L61" s="191">
        <v>0</v>
      </c>
      <c r="M61" s="136">
        <v>0</v>
      </c>
      <c r="N61" s="136">
        <v>0</v>
      </c>
      <c r="O61" s="119" t="s">
        <v>145</v>
      </c>
      <c r="P61" s="120"/>
      <c r="Q61" s="1"/>
    </row>
    <row r="62" spans="1:17" ht="49.5" customHeight="1">
      <c r="A62" s="21"/>
      <c r="B62" s="115" t="str">
        <f t="shared" si="1"/>
        <v/>
      </c>
      <c r="C62" s="169"/>
      <c r="D62" s="121"/>
      <c r="E62" s="121"/>
      <c r="F62" s="121"/>
      <c r="G62" s="117"/>
      <c r="H62" s="116"/>
      <c r="I62" s="115"/>
      <c r="J62" s="118"/>
      <c r="K62" s="135"/>
      <c r="L62" s="191">
        <v>0</v>
      </c>
      <c r="M62" s="136">
        <v>0</v>
      </c>
      <c r="N62" s="136">
        <v>0</v>
      </c>
      <c r="O62" s="119" t="s">
        <v>145</v>
      </c>
      <c r="P62" s="120"/>
      <c r="Q62" s="1"/>
    </row>
    <row r="63" spans="1:17" ht="49.5" customHeight="1">
      <c r="A63" s="21"/>
      <c r="B63" s="115" t="str">
        <f t="shared" si="1"/>
        <v/>
      </c>
      <c r="C63" s="169"/>
      <c r="D63" s="121"/>
      <c r="E63" s="121"/>
      <c r="F63" s="121"/>
      <c r="G63" s="117"/>
      <c r="H63" s="116"/>
      <c r="I63" s="115"/>
      <c r="J63" s="118"/>
      <c r="K63" s="135"/>
      <c r="L63" s="191">
        <v>0</v>
      </c>
      <c r="M63" s="136">
        <v>0</v>
      </c>
      <c r="N63" s="136">
        <v>0</v>
      </c>
      <c r="O63" s="119" t="s">
        <v>145</v>
      </c>
      <c r="P63" s="120"/>
      <c r="Q63" s="1"/>
    </row>
    <row r="64" spans="1:17" ht="49.5" customHeight="1">
      <c r="A64" s="21"/>
      <c r="B64" s="115" t="str">
        <f t="shared" si="1"/>
        <v/>
      </c>
      <c r="C64" s="169"/>
      <c r="D64" s="121"/>
      <c r="E64" s="121"/>
      <c r="F64" s="121"/>
      <c r="G64" s="117"/>
      <c r="H64" s="116"/>
      <c r="I64" s="115"/>
      <c r="J64" s="118"/>
      <c r="K64" s="135"/>
      <c r="L64" s="191">
        <v>0</v>
      </c>
      <c r="M64" s="136">
        <v>0</v>
      </c>
      <c r="N64" s="136">
        <v>0</v>
      </c>
      <c r="O64" s="119" t="s">
        <v>145</v>
      </c>
      <c r="P64" s="120"/>
      <c r="Q64" s="1"/>
    </row>
    <row r="65" spans="1:17" ht="49.5" customHeight="1">
      <c r="A65" s="21"/>
      <c r="B65" s="115" t="str">
        <f t="shared" si="1"/>
        <v/>
      </c>
      <c r="C65" s="169"/>
      <c r="D65" s="121"/>
      <c r="E65" s="121"/>
      <c r="F65" s="121"/>
      <c r="G65" s="117"/>
      <c r="H65" s="116"/>
      <c r="I65" s="115"/>
      <c r="J65" s="118"/>
      <c r="K65" s="135"/>
      <c r="L65" s="191">
        <v>0</v>
      </c>
      <c r="M65" s="136">
        <v>0</v>
      </c>
      <c r="N65" s="136">
        <v>0</v>
      </c>
      <c r="O65" s="119" t="s">
        <v>145</v>
      </c>
      <c r="P65" s="120"/>
      <c r="Q65" s="1"/>
    </row>
    <row r="66" spans="1:17" ht="49.5" customHeight="1">
      <c r="A66" s="21"/>
      <c r="B66" s="115" t="str">
        <f t="shared" si="1"/>
        <v/>
      </c>
      <c r="C66" s="169"/>
      <c r="D66" s="121"/>
      <c r="E66" s="121"/>
      <c r="F66" s="121"/>
      <c r="G66" s="117"/>
      <c r="H66" s="116"/>
      <c r="I66" s="115"/>
      <c r="J66" s="118"/>
      <c r="K66" s="135"/>
      <c r="L66" s="191">
        <v>0</v>
      </c>
      <c r="M66" s="136">
        <v>0</v>
      </c>
      <c r="N66" s="136">
        <v>0</v>
      </c>
      <c r="O66" s="119" t="s">
        <v>145</v>
      </c>
      <c r="P66" s="120"/>
      <c r="Q66" s="1"/>
    </row>
    <row r="67" spans="1:17" ht="49.5" customHeight="1">
      <c r="A67" s="21"/>
      <c r="B67" s="115" t="str">
        <f t="shared" si="1"/>
        <v/>
      </c>
      <c r="C67" s="169"/>
      <c r="D67" s="121"/>
      <c r="E67" s="121"/>
      <c r="F67" s="121"/>
      <c r="G67" s="117"/>
      <c r="H67" s="116"/>
      <c r="I67" s="115"/>
      <c r="J67" s="118"/>
      <c r="K67" s="135"/>
      <c r="L67" s="191">
        <v>0</v>
      </c>
      <c r="M67" s="136">
        <v>0</v>
      </c>
      <c r="N67" s="136">
        <v>0</v>
      </c>
      <c r="O67" s="119" t="s">
        <v>145</v>
      </c>
      <c r="P67" s="120"/>
      <c r="Q67" s="1"/>
    </row>
    <row r="68" spans="1:17" ht="49.5" customHeight="1">
      <c r="A68" s="21"/>
      <c r="B68" s="115" t="str">
        <f t="shared" si="1"/>
        <v/>
      </c>
      <c r="C68" s="169"/>
      <c r="D68" s="121"/>
      <c r="E68" s="121"/>
      <c r="F68" s="121"/>
      <c r="G68" s="117"/>
      <c r="H68" s="116"/>
      <c r="I68" s="115"/>
      <c r="J68" s="118"/>
      <c r="K68" s="135"/>
      <c r="L68" s="191">
        <v>0</v>
      </c>
      <c r="M68" s="136">
        <v>0</v>
      </c>
      <c r="N68" s="136">
        <v>0</v>
      </c>
      <c r="O68" s="119" t="s">
        <v>145</v>
      </c>
      <c r="P68" s="120"/>
      <c r="Q68" s="1"/>
    </row>
    <row r="69" spans="1:17" ht="49.5" customHeight="1">
      <c r="A69" s="21"/>
      <c r="B69" s="115" t="str">
        <f t="shared" si="1"/>
        <v/>
      </c>
      <c r="C69" s="169"/>
      <c r="D69" s="121"/>
      <c r="E69" s="121"/>
      <c r="F69" s="121"/>
      <c r="G69" s="117"/>
      <c r="H69" s="116"/>
      <c r="I69" s="115"/>
      <c r="J69" s="118"/>
      <c r="K69" s="135"/>
      <c r="L69" s="191">
        <v>0</v>
      </c>
      <c r="M69" s="136">
        <v>0</v>
      </c>
      <c r="N69" s="136">
        <v>0</v>
      </c>
      <c r="O69" s="119" t="s">
        <v>145</v>
      </c>
      <c r="P69" s="120"/>
      <c r="Q69" s="1"/>
    </row>
    <row r="70" spans="1:17" ht="49.5" customHeight="1">
      <c r="A70" s="21"/>
      <c r="B70" s="115" t="str">
        <f t="shared" si="1"/>
        <v/>
      </c>
      <c r="C70" s="169"/>
      <c r="D70" s="121"/>
      <c r="E70" s="121"/>
      <c r="F70" s="121"/>
      <c r="G70" s="117"/>
      <c r="H70" s="116"/>
      <c r="I70" s="115"/>
      <c r="J70" s="118"/>
      <c r="K70" s="135"/>
      <c r="L70" s="191">
        <v>0</v>
      </c>
      <c r="M70" s="136">
        <v>0</v>
      </c>
      <c r="N70" s="136">
        <v>0</v>
      </c>
      <c r="O70" s="119" t="s">
        <v>145</v>
      </c>
      <c r="P70" s="120"/>
      <c r="Q70" s="1"/>
    </row>
    <row r="71" spans="1:17" ht="49.5" customHeight="1">
      <c r="A71" s="21"/>
      <c r="B71" s="115" t="str">
        <f t="shared" si="1"/>
        <v/>
      </c>
      <c r="C71" s="169"/>
      <c r="D71" s="121"/>
      <c r="E71" s="121"/>
      <c r="F71" s="121"/>
      <c r="G71" s="117"/>
      <c r="H71" s="116"/>
      <c r="I71" s="115"/>
      <c r="J71" s="118"/>
      <c r="K71" s="135"/>
      <c r="L71" s="191">
        <v>0</v>
      </c>
      <c r="M71" s="136">
        <v>0</v>
      </c>
      <c r="N71" s="136">
        <v>0</v>
      </c>
      <c r="O71" s="119" t="s">
        <v>145</v>
      </c>
      <c r="P71" s="120"/>
      <c r="Q71" s="1"/>
    </row>
    <row r="72" spans="1:17" ht="49.5" customHeight="1">
      <c r="A72" s="21"/>
      <c r="B72" s="115" t="str">
        <f t="shared" si="1"/>
        <v/>
      </c>
      <c r="C72" s="169"/>
      <c r="D72" s="121"/>
      <c r="E72" s="121"/>
      <c r="F72" s="121"/>
      <c r="G72" s="117"/>
      <c r="H72" s="116"/>
      <c r="I72" s="115"/>
      <c r="J72" s="118"/>
      <c r="K72" s="135"/>
      <c r="L72" s="191">
        <v>0</v>
      </c>
      <c r="M72" s="136">
        <v>0</v>
      </c>
      <c r="N72" s="136">
        <v>0</v>
      </c>
      <c r="O72" s="119" t="s">
        <v>145</v>
      </c>
      <c r="P72" s="120"/>
      <c r="Q72" s="1"/>
    </row>
    <row r="73" spans="1:17" ht="49.5" customHeight="1">
      <c r="A73" s="21"/>
      <c r="B73" s="115" t="str">
        <f t="shared" si="1"/>
        <v/>
      </c>
      <c r="C73" s="169"/>
      <c r="D73" s="121"/>
      <c r="E73" s="121"/>
      <c r="F73" s="121"/>
      <c r="G73" s="117"/>
      <c r="H73" s="116"/>
      <c r="I73" s="115"/>
      <c r="J73" s="118"/>
      <c r="K73" s="135"/>
      <c r="L73" s="191">
        <v>0</v>
      </c>
      <c r="M73" s="136">
        <v>0</v>
      </c>
      <c r="N73" s="136">
        <v>0</v>
      </c>
      <c r="O73" s="119" t="s">
        <v>145</v>
      </c>
      <c r="P73" s="120"/>
      <c r="Q73" s="1"/>
    </row>
    <row r="74" spans="1:17" ht="49.5" customHeight="1">
      <c r="A74" s="21"/>
      <c r="B74" s="115" t="str">
        <f t="shared" si="1"/>
        <v/>
      </c>
      <c r="C74" s="169"/>
      <c r="D74" s="121"/>
      <c r="E74" s="121"/>
      <c r="F74" s="121"/>
      <c r="G74" s="117"/>
      <c r="H74" s="116"/>
      <c r="I74" s="115"/>
      <c r="J74" s="118"/>
      <c r="K74" s="135"/>
      <c r="L74" s="191">
        <v>0</v>
      </c>
      <c r="M74" s="136">
        <v>0</v>
      </c>
      <c r="N74" s="136">
        <v>0</v>
      </c>
      <c r="O74" s="119" t="s">
        <v>145</v>
      </c>
      <c r="P74" s="120"/>
      <c r="Q74" s="1"/>
    </row>
    <row r="75" spans="1:17" ht="49.5" customHeight="1">
      <c r="A75" s="21"/>
      <c r="B75" s="115" t="str">
        <f t="shared" si="1"/>
        <v/>
      </c>
      <c r="C75" s="169"/>
      <c r="D75" s="121"/>
      <c r="E75" s="121"/>
      <c r="F75" s="121"/>
      <c r="G75" s="117"/>
      <c r="H75" s="116"/>
      <c r="I75" s="115"/>
      <c r="J75" s="118"/>
      <c r="K75" s="135"/>
      <c r="L75" s="191">
        <v>0</v>
      </c>
      <c r="M75" s="136">
        <v>0</v>
      </c>
      <c r="N75" s="136">
        <v>0</v>
      </c>
      <c r="O75" s="119" t="s">
        <v>145</v>
      </c>
      <c r="P75" s="120"/>
      <c r="Q75" s="1"/>
    </row>
    <row r="76" spans="1:17" ht="49.5" customHeight="1">
      <c r="A76" s="21"/>
      <c r="B76" s="115" t="str">
        <f t="shared" si="1"/>
        <v/>
      </c>
      <c r="C76" s="169"/>
      <c r="D76" s="121"/>
      <c r="E76" s="121"/>
      <c r="F76" s="121"/>
      <c r="G76" s="117"/>
      <c r="H76" s="116"/>
      <c r="I76" s="115"/>
      <c r="J76" s="118"/>
      <c r="K76" s="135"/>
      <c r="L76" s="191">
        <v>0</v>
      </c>
      <c r="M76" s="136">
        <v>0</v>
      </c>
      <c r="N76" s="136">
        <v>0</v>
      </c>
      <c r="O76" s="119" t="s">
        <v>145</v>
      </c>
      <c r="P76" s="120"/>
      <c r="Q76" s="1"/>
    </row>
    <row r="77" spans="1:17" ht="49.5" customHeight="1">
      <c r="A77" s="21"/>
      <c r="B77" s="115" t="str">
        <f t="shared" si="1"/>
        <v/>
      </c>
      <c r="C77" s="169"/>
      <c r="D77" s="121"/>
      <c r="E77" s="121"/>
      <c r="F77" s="121"/>
      <c r="G77" s="117"/>
      <c r="H77" s="116"/>
      <c r="I77" s="115"/>
      <c r="J77" s="118"/>
      <c r="K77" s="135"/>
      <c r="L77" s="191">
        <v>0</v>
      </c>
      <c r="M77" s="136">
        <v>0</v>
      </c>
      <c r="N77" s="136">
        <v>0</v>
      </c>
      <c r="O77" s="119" t="s">
        <v>145</v>
      </c>
      <c r="P77" s="120"/>
      <c r="Q77" s="1"/>
    </row>
    <row r="78" spans="1:17" ht="49.5" customHeight="1">
      <c r="A78" s="21"/>
      <c r="B78" s="115" t="str">
        <f t="shared" si="1"/>
        <v/>
      </c>
      <c r="C78" s="169"/>
      <c r="D78" s="121"/>
      <c r="E78" s="121"/>
      <c r="F78" s="121"/>
      <c r="G78" s="117"/>
      <c r="H78" s="116"/>
      <c r="I78" s="115"/>
      <c r="J78" s="118"/>
      <c r="K78" s="135"/>
      <c r="L78" s="191">
        <v>0</v>
      </c>
      <c r="M78" s="136">
        <v>0</v>
      </c>
      <c r="N78" s="136">
        <v>0</v>
      </c>
      <c r="O78" s="119" t="s">
        <v>145</v>
      </c>
      <c r="P78" s="120"/>
      <c r="Q78" s="1"/>
    </row>
    <row r="79" spans="1:17" ht="49.5" customHeight="1">
      <c r="A79" s="21"/>
      <c r="B79" s="115" t="str">
        <f t="shared" si="1"/>
        <v/>
      </c>
      <c r="C79" s="169"/>
      <c r="D79" s="121"/>
      <c r="E79" s="121"/>
      <c r="F79" s="121"/>
      <c r="G79" s="117"/>
      <c r="H79" s="116"/>
      <c r="I79" s="115"/>
      <c r="J79" s="118"/>
      <c r="K79" s="135"/>
      <c r="L79" s="191">
        <v>0</v>
      </c>
      <c r="M79" s="136">
        <v>0</v>
      </c>
      <c r="N79" s="136">
        <v>0</v>
      </c>
      <c r="O79" s="119" t="s">
        <v>145</v>
      </c>
      <c r="P79" s="120"/>
      <c r="Q79" s="1"/>
    </row>
    <row r="80" spans="1:17" ht="49.5" customHeight="1">
      <c r="A80" s="21"/>
      <c r="B80" s="115" t="str">
        <f t="shared" si="1"/>
        <v/>
      </c>
      <c r="C80" s="169"/>
      <c r="D80" s="121"/>
      <c r="E80" s="121"/>
      <c r="F80" s="121"/>
      <c r="G80" s="117"/>
      <c r="H80" s="116"/>
      <c r="I80" s="115"/>
      <c r="J80" s="118"/>
      <c r="K80" s="135"/>
      <c r="L80" s="191">
        <v>0</v>
      </c>
      <c r="M80" s="136">
        <v>0</v>
      </c>
      <c r="N80" s="136">
        <v>0</v>
      </c>
      <c r="O80" s="119" t="s">
        <v>145</v>
      </c>
      <c r="P80" s="120"/>
      <c r="Q80" s="1"/>
    </row>
    <row r="81" spans="1:17" ht="49.5" customHeight="1">
      <c r="A81" s="21"/>
      <c r="B81" s="115" t="str">
        <f t="shared" si="1"/>
        <v/>
      </c>
      <c r="C81" s="169"/>
      <c r="D81" s="121"/>
      <c r="E81" s="121"/>
      <c r="F81" s="121"/>
      <c r="G81" s="117"/>
      <c r="H81" s="116"/>
      <c r="I81" s="115"/>
      <c r="J81" s="118"/>
      <c r="K81" s="135"/>
      <c r="L81" s="191">
        <v>0</v>
      </c>
      <c r="M81" s="136">
        <v>0</v>
      </c>
      <c r="N81" s="136">
        <v>0</v>
      </c>
      <c r="O81" s="119" t="s">
        <v>145</v>
      </c>
      <c r="P81" s="120"/>
      <c r="Q81" s="1"/>
    </row>
    <row r="82" spans="1:17" ht="49.5" customHeight="1">
      <c r="A82" s="21"/>
      <c r="B82" s="115" t="str">
        <f t="shared" si="1"/>
        <v/>
      </c>
      <c r="C82" s="169"/>
      <c r="D82" s="121"/>
      <c r="E82" s="121"/>
      <c r="F82" s="121"/>
      <c r="G82" s="117"/>
      <c r="H82" s="116"/>
      <c r="I82" s="115"/>
      <c r="J82" s="118"/>
      <c r="K82" s="135"/>
      <c r="L82" s="191">
        <v>0</v>
      </c>
      <c r="M82" s="136">
        <v>0</v>
      </c>
      <c r="N82" s="136">
        <v>0</v>
      </c>
      <c r="O82" s="119" t="s">
        <v>145</v>
      </c>
      <c r="P82" s="120"/>
      <c r="Q82" s="1"/>
    </row>
    <row r="83" spans="1:17" ht="49.5" customHeight="1">
      <c r="A83" s="21"/>
      <c r="B83" s="115" t="str">
        <f t="shared" si="1"/>
        <v/>
      </c>
      <c r="C83" s="169"/>
      <c r="D83" s="121"/>
      <c r="E83" s="121"/>
      <c r="F83" s="121"/>
      <c r="G83" s="117"/>
      <c r="H83" s="116"/>
      <c r="I83" s="115"/>
      <c r="J83" s="118"/>
      <c r="K83" s="135"/>
      <c r="L83" s="191">
        <v>0</v>
      </c>
      <c r="M83" s="136">
        <v>0</v>
      </c>
      <c r="N83" s="136">
        <v>0</v>
      </c>
      <c r="O83" s="119" t="s">
        <v>145</v>
      </c>
      <c r="P83" s="120"/>
      <c r="Q83" s="1"/>
    </row>
    <row r="84" spans="1:17" ht="49.5" customHeight="1">
      <c r="A84" s="21"/>
      <c r="B84" s="115" t="str">
        <f t="shared" si="1"/>
        <v/>
      </c>
      <c r="C84" s="169"/>
      <c r="D84" s="121"/>
      <c r="E84" s="121"/>
      <c r="F84" s="121"/>
      <c r="G84" s="117"/>
      <c r="H84" s="116"/>
      <c r="I84" s="115"/>
      <c r="J84" s="124"/>
      <c r="K84" s="135"/>
      <c r="L84" s="191">
        <v>0</v>
      </c>
      <c r="M84" s="136">
        <v>0</v>
      </c>
      <c r="N84" s="136">
        <v>0</v>
      </c>
      <c r="O84" s="119" t="s">
        <v>145</v>
      </c>
      <c r="P84" s="120"/>
      <c r="Q84" s="1"/>
    </row>
    <row r="85" spans="1:17" ht="49.5" customHeight="1">
      <c r="A85" s="21"/>
      <c r="B85" s="115" t="str">
        <f t="shared" si="1"/>
        <v/>
      </c>
      <c r="C85" s="169"/>
      <c r="D85" s="121"/>
      <c r="E85" s="121"/>
      <c r="F85" s="121"/>
      <c r="G85" s="117"/>
      <c r="H85" s="116"/>
      <c r="I85" s="115"/>
      <c r="J85" s="118"/>
      <c r="K85" s="135"/>
      <c r="L85" s="191">
        <v>0</v>
      </c>
      <c r="M85" s="136">
        <v>0</v>
      </c>
      <c r="N85" s="136">
        <v>0</v>
      </c>
      <c r="O85" s="119" t="s">
        <v>145</v>
      </c>
      <c r="P85" s="120"/>
      <c r="Q85" s="1"/>
    </row>
    <row r="86" spans="1:17" ht="49.5" customHeight="1">
      <c r="A86" s="21"/>
      <c r="B86" s="115" t="str">
        <f t="shared" si="1"/>
        <v/>
      </c>
      <c r="C86" s="169"/>
      <c r="D86" s="121"/>
      <c r="E86" s="121"/>
      <c r="F86" s="121"/>
      <c r="G86" s="117"/>
      <c r="H86" s="116"/>
      <c r="I86" s="115"/>
      <c r="J86" s="118"/>
      <c r="K86" s="135"/>
      <c r="L86" s="191">
        <v>0</v>
      </c>
      <c r="M86" s="136">
        <v>0</v>
      </c>
      <c r="N86" s="136">
        <v>0</v>
      </c>
      <c r="O86" s="119" t="s">
        <v>145</v>
      </c>
      <c r="P86" s="120"/>
      <c r="Q86" s="1"/>
    </row>
    <row r="87" spans="1:17" ht="49.5" customHeight="1">
      <c r="A87" s="21"/>
      <c r="B87" s="115" t="str">
        <f t="shared" si="1"/>
        <v/>
      </c>
      <c r="C87" s="169"/>
      <c r="D87" s="121"/>
      <c r="E87" s="121"/>
      <c r="F87" s="121"/>
      <c r="G87" s="117"/>
      <c r="H87" s="116"/>
      <c r="I87" s="115"/>
      <c r="J87" s="118"/>
      <c r="K87" s="135"/>
      <c r="L87" s="191">
        <v>0</v>
      </c>
      <c r="M87" s="136">
        <v>0</v>
      </c>
      <c r="N87" s="136">
        <v>0</v>
      </c>
      <c r="O87" s="119" t="s">
        <v>145</v>
      </c>
      <c r="P87" s="120"/>
      <c r="Q87" s="1"/>
    </row>
    <row r="88" spans="1:17" ht="49.5" customHeight="1">
      <c r="A88" s="21"/>
      <c r="B88" s="115" t="str">
        <f t="shared" si="1"/>
        <v/>
      </c>
      <c r="C88" s="169"/>
      <c r="D88" s="121"/>
      <c r="E88" s="121"/>
      <c r="F88" s="121"/>
      <c r="G88" s="117"/>
      <c r="H88" s="116"/>
      <c r="I88" s="115"/>
      <c r="J88" s="124"/>
      <c r="K88" s="135"/>
      <c r="L88" s="191">
        <v>0</v>
      </c>
      <c r="M88" s="136">
        <v>0</v>
      </c>
      <c r="N88" s="136">
        <v>0</v>
      </c>
      <c r="O88" s="119" t="s">
        <v>145</v>
      </c>
      <c r="P88" s="120"/>
      <c r="Q88" s="1"/>
    </row>
    <row r="89" spans="1:17" ht="49.5" customHeight="1">
      <c r="A89" s="21"/>
      <c r="B89" s="115" t="str">
        <f t="shared" si="1"/>
        <v/>
      </c>
      <c r="C89" s="169"/>
      <c r="D89" s="121"/>
      <c r="E89" s="121"/>
      <c r="F89" s="121"/>
      <c r="G89" s="117"/>
      <c r="H89" s="116"/>
      <c r="I89" s="115"/>
      <c r="J89" s="124"/>
      <c r="K89" s="135"/>
      <c r="L89" s="191">
        <v>0</v>
      </c>
      <c r="M89" s="136">
        <v>0</v>
      </c>
      <c r="N89" s="136">
        <v>0</v>
      </c>
      <c r="O89" s="119" t="s">
        <v>145</v>
      </c>
      <c r="P89" s="120"/>
      <c r="Q89" s="1"/>
    </row>
    <row r="90" spans="1:17" ht="49.5" customHeight="1">
      <c r="A90" s="21"/>
      <c r="B90" s="115" t="str">
        <f t="shared" si="1"/>
        <v/>
      </c>
      <c r="C90" s="169"/>
      <c r="D90" s="121"/>
      <c r="E90" s="121"/>
      <c r="F90" s="121"/>
      <c r="G90" s="117"/>
      <c r="H90" s="116"/>
      <c r="I90" s="115"/>
      <c r="J90" s="124"/>
      <c r="K90" s="135"/>
      <c r="L90" s="191">
        <v>0</v>
      </c>
      <c r="M90" s="136">
        <v>0</v>
      </c>
      <c r="N90" s="136">
        <v>0</v>
      </c>
      <c r="O90" s="119" t="s">
        <v>145</v>
      </c>
      <c r="P90" s="120"/>
      <c r="Q90" s="1"/>
    </row>
    <row r="91" spans="1:17" ht="49.5" customHeight="1">
      <c r="A91" s="21"/>
      <c r="B91" s="115" t="str">
        <f t="shared" si="1"/>
        <v/>
      </c>
      <c r="C91" s="169"/>
      <c r="D91" s="121"/>
      <c r="E91" s="121"/>
      <c r="F91" s="121"/>
      <c r="G91" s="117"/>
      <c r="H91" s="116"/>
      <c r="I91" s="115"/>
      <c r="J91" s="124"/>
      <c r="K91" s="135"/>
      <c r="L91" s="191">
        <v>0</v>
      </c>
      <c r="M91" s="136">
        <v>0</v>
      </c>
      <c r="N91" s="136">
        <v>0</v>
      </c>
      <c r="O91" s="119" t="s">
        <v>145</v>
      </c>
      <c r="P91" s="55"/>
      <c r="Q91" s="1"/>
    </row>
    <row r="92" spans="1:17" ht="49.5" customHeight="1">
      <c r="A92" s="21"/>
      <c r="B92" s="115" t="str">
        <f t="shared" si="1"/>
        <v/>
      </c>
      <c r="C92" s="169"/>
      <c r="D92" s="121"/>
      <c r="E92" s="121"/>
      <c r="F92" s="121"/>
      <c r="G92" s="117"/>
      <c r="H92" s="115"/>
      <c r="I92" s="115"/>
      <c r="J92" s="118"/>
      <c r="K92" s="135"/>
      <c r="L92" s="191">
        <v>0</v>
      </c>
      <c r="M92" s="136">
        <v>0</v>
      </c>
      <c r="N92" s="136">
        <v>0</v>
      </c>
      <c r="O92" s="119" t="s">
        <v>145</v>
      </c>
      <c r="P92" s="55"/>
      <c r="Q92" s="1"/>
    </row>
    <row r="93" spans="1:17" ht="49.5" customHeight="1">
      <c r="A93" s="21"/>
      <c r="B93" s="115" t="str">
        <f t="shared" si="1"/>
        <v/>
      </c>
      <c r="C93" s="169"/>
      <c r="D93" s="121"/>
      <c r="E93" s="121"/>
      <c r="F93" s="121"/>
      <c r="G93" s="117"/>
      <c r="H93" s="115"/>
      <c r="I93" s="115"/>
      <c r="J93" s="118"/>
      <c r="K93" s="135"/>
      <c r="L93" s="191">
        <v>0</v>
      </c>
      <c r="M93" s="136">
        <v>0</v>
      </c>
      <c r="N93" s="136">
        <v>0</v>
      </c>
      <c r="O93" s="119" t="s">
        <v>145</v>
      </c>
      <c r="P93" s="55"/>
      <c r="Q93" s="1"/>
    </row>
    <row r="94" spans="1:17" ht="49.5" customHeight="1">
      <c r="A94" s="21"/>
      <c r="B94" s="115" t="str">
        <f t="shared" si="1"/>
        <v/>
      </c>
      <c r="C94" s="169"/>
      <c r="D94" s="121"/>
      <c r="E94" s="121"/>
      <c r="F94" s="121"/>
      <c r="G94" s="117"/>
      <c r="H94" s="115"/>
      <c r="I94" s="115"/>
      <c r="J94" s="124"/>
      <c r="K94" s="135"/>
      <c r="L94" s="191">
        <v>0</v>
      </c>
      <c r="M94" s="136">
        <v>0</v>
      </c>
      <c r="N94" s="136">
        <v>0</v>
      </c>
      <c r="O94" s="119" t="s">
        <v>145</v>
      </c>
      <c r="P94" s="55"/>
      <c r="Q94" s="1"/>
    </row>
    <row r="95" spans="1:17" ht="49.5" customHeight="1">
      <c r="A95" s="21"/>
      <c r="B95" s="115" t="str">
        <f t="shared" si="1"/>
        <v/>
      </c>
      <c r="C95" s="169"/>
      <c r="D95" s="121"/>
      <c r="E95" s="121"/>
      <c r="F95" s="121"/>
      <c r="G95" s="117"/>
      <c r="H95" s="115"/>
      <c r="I95" s="115"/>
      <c r="J95" s="124"/>
      <c r="K95" s="135"/>
      <c r="L95" s="191">
        <v>0</v>
      </c>
      <c r="M95" s="136">
        <v>0</v>
      </c>
      <c r="N95" s="136">
        <v>0</v>
      </c>
      <c r="O95" s="119" t="s">
        <v>145</v>
      </c>
      <c r="P95" s="55"/>
      <c r="Q95" s="1"/>
    </row>
    <row r="96" spans="1:17" ht="49.5" customHeight="1">
      <c r="A96" s="21"/>
      <c r="B96" s="115" t="str">
        <f t="shared" si="1"/>
        <v/>
      </c>
      <c r="C96" s="169"/>
      <c r="D96" s="121"/>
      <c r="E96" s="121"/>
      <c r="F96" s="121"/>
      <c r="G96" s="117"/>
      <c r="H96" s="115"/>
      <c r="I96" s="115"/>
      <c r="J96" s="124"/>
      <c r="K96" s="135"/>
      <c r="L96" s="191">
        <v>0</v>
      </c>
      <c r="M96" s="136">
        <v>0</v>
      </c>
      <c r="N96" s="136">
        <v>0</v>
      </c>
      <c r="O96" s="119" t="s">
        <v>145</v>
      </c>
      <c r="P96" s="55"/>
      <c r="Q96" s="1"/>
    </row>
    <row r="97" spans="1:17" ht="49.5" customHeight="1">
      <c r="A97" s="21"/>
      <c r="B97" s="115" t="str">
        <f t="shared" si="1"/>
        <v/>
      </c>
      <c r="C97" s="169"/>
      <c r="D97" s="121"/>
      <c r="E97" s="121"/>
      <c r="F97" s="121"/>
      <c r="G97" s="117"/>
      <c r="H97" s="115"/>
      <c r="I97" s="115"/>
      <c r="J97" s="124"/>
      <c r="K97" s="135"/>
      <c r="L97" s="191">
        <v>0</v>
      </c>
      <c r="M97" s="136">
        <v>0</v>
      </c>
      <c r="N97" s="136">
        <v>0</v>
      </c>
      <c r="O97" s="119" t="s">
        <v>145</v>
      </c>
      <c r="P97" s="55"/>
      <c r="Q97" s="1"/>
    </row>
    <row r="98" spans="1:17" ht="49.5" customHeight="1">
      <c r="A98" s="21"/>
      <c r="B98" s="115" t="str">
        <f t="shared" si="1"/>
        <v/>
      </c>
      <c r="C98" s="169"/>
      <c r="D98" s="121"/>
      <c r="E98" s="121"/>
      <c r="F98" s="121"/>
      <c r="G98" s="117"/>
      <c r="H98" s="116"/>
      <c r="I98" s="115"/>
      <c r="J98" s="118"/>
      <c r="K98" s="135"/>
      <c r="L98" s="191">
        <v>0</v>
      </c>
      <c r="M98" s="136">
        <v>0</v>
      </c>
      <c r="N98" s="136">
        <v>0</v>
      </c>
      <c r="O98" s="119" t="s">
        <v>145</v>
      </c>
      <c r="P98" s="55"/>
      <c r="Q98" s="1"/>
    </row>
    <row r="99" spans="1:17" ht="49.5" customHeight="1">
      <c r="A99" s="21"/>
      <c r="B99" s="115" t="str">
        <f t="shared" si="1"/>
        <v/>
      </c>
      <c r="C99" s="169"/>
      <c r="D99" s="121"/>
      <c r="E99" s="121"/>
      <c r="F99" s="121"/>
      <c r="G99" s="117"/>
      <c r="H99" s="116"/>
      <c r="I99" s="115"/>
      <c r="J99" s="124"/>
      <c r="K99" s="135"/>
      <c r="L99" s="191">
        <v>0</v>
      </c>
      <c r="M99" s="136">
        <v>0</v>
      </c>
      <c r="N99" s="136">
        <v>0</v>
      </c>
      <c r="O99" s="119" t="s">
        <v>145</v>
      </c>
      <c r="P99" s="55"/>
      <c r="Q99" s="1"/>
    </row>
    <row r="100" spans="1:17" ht="49.5" customHeight="1">
      <c r="A100" s="21"/>
      <c r="B100" s="115" t="str">
        <f t="shared" si="1"/>
        <v/>
      </c>
      <c r="C100" s="169"/>
      <c r="D100" s="121"/>
      <c r="E100" s="121"/>
      <c r="F100" s="121"/>
      <c r="G100" s="117"/>
      <c r="H100" s="116"/>
      <c r="I100" s="115"/>
      <c r="J100" s="118"/>
      <c r="K100" s="135"/>
      <c r="L100" s="191">
        <v>0</v>
      </c>
      <c r="M100" s="136">
        <v>0</v>
      </c>
      <c r="N100" s="136">
        <v>0</v>
      </c>
      <c r="O100" s="119" t="s">
        <v>145</v>
      </c>
      <c r="P100" s="55"/>
      <c r="Q100" s="1"/>
    </row>
    <row r="101" spans="1:17" ht="49.5" customHeight="1">
      <c r="A101" s="21"/>
      <c r="B101" s="115" t="str">
        <f t="shared" si="1"/>
        <v/>
      </c>
      <c r="C101" s="169"/>
      <c r="D101" s="121"/>
      <c r="E101" s="121"/>
      <c r="F101" s="121"/>
      <c r="G101" s="117"/>
      <c r="H101" s="116"/>
      <c r="I101" s="115"/>
      <c r="J101" s="124"/>
      <c r="K101" s="135"/>
      <c r="L101" s="191">
        <v>0</v>
      </c>
      <c r="M101" s="136">
        <v>0</v>
      </c>
      <c r="N101" s="136">
        <v>0</v>
      </c>
      <c r="O101" s="119" t="s">
        <v>145</v>
      </c>
      <c r="P101" s="55"/>
      <c r="Q101" s="1"/>
    </row>
    <row r="102" spans="1:17" ht="49.5" customHeight="1">
      <c r="A102" s="21"/>
      <c r="B102" s="115" t="str">
        <f t="shared" ref="B102:B109" si="2">IF((C102&gt;0),1+B101,"")</f>
        <v/>
      </c>
      <c r="C102" s="169"/>
      <c r="D102" s="121"/>
      <c r="E102" s="121"/>
      <c r="F102" s="121"/>
      <c r="G102" s="117"/>
      <c r="H102" s="116"/>
      <c r="I102" s="115"/>
      <c r="J102" s="135"/>
      <c r="K102" s="135"/>
      <c r="L102" s="191">
        <v>0</v>
      </c>
      <c r="M102" s="136">
        <v>0</v>
      </c>
      <c r="N102" s="136">
        <v>0</v>
      </c>
      <c r="O102" s="119" t="s">
        <v>145</v>
      </c>
      <c r="P102" s="55"/>
      <c r="Q102" s="1"/>
    </row>
    <row r="103" spans="1:17" ht="49.5" customHeight="1">
      <c r="A103" s="21"/>
      <c r="B103" s="115" t="str">
        <f t="shared" si="2"/>
        <v/>
      </c>
      <c r="C103" s="169"/>
      <c r="D103" s="121"/>
      <c r="E103" s="121"/>
      <c r="F103" s="121"/>
      <c r="G103" s="117"/>
      <c r="H103" s="116"/>
      <c r="I103" s="115"/>
      <c r="J103" s="135"/>
      <c r="K103" s="135"/>
      <c r="L103" s="191">
        <v>0</v>
      </c>
      <c r="M103" s="136">
        <v>0</v>
      </c>
      <c r="N103" s="136">
        <v>0</v>
      </c>
      <c r="O103" s="119" t="s">
        <v>145</v>
      </c>
      <c r="P103" s="55"/>
      <c r="Q103" s="1"/>
    </row>
    <row r="104" spans="1:17" ht="49.5" customHeight="1">
      <c r="A104" s="21"/>
      <c r="B104" s="115" t="str">
        <f t="shared" si="2"/>
        <v/>
      </c>
      <c r="C104" s="169"/>
      <c r="D104" s="121"/>
      <c r="E104" s="121"/>
      <c r="F104" s="121"/>
      <c r="G104" s="117"/>
      <c r="H104" s="116"/>
      <c r="I104" s="115"/>
      <c r="J104" s="135"/>
      <c r="K104" s="135"/>
      <c r="L104" s="191">
        <v>0</v>
      </c>
      <c r="M104" s="136">
        <v>0</v>
      </c>
      <c r="N104" s="136">
        <v>0</v>
      </c>
      <c r="O104" s="119" t="s">
        <v>145</v>
      </c>
      <c r="P104" s="55"/>
      <c r="Q104" s="1"/>
    </row>
    <row r="105" spans="1:17" ht="49.5" customHeight="1">
      <c r="A105" s="21"/>
      <c r="B105" s="115" t="str">
        <f t="shared" si="2"/>
        <v/>
      </c>
      <c r="C105" s="169"/>
      <c r="D105" s="121"/>
      <c r="E105" s="121"/>
      <c r="F105" s="121"/>
      <c r="G105" s="117"/>
      <c r="H105" s="116"/>
      <c r="I105" s="115"/>
      <c r="J105" s="135"/>
      <c r="K105" s="135"/>
      <c r="L105" s="191">
        <v>0</v>
      </c>
      <c r="M105" s="136">
        <v>0</v>
      </c>
      <c r="N105" s="136">
        <v>0</v>
      </c>
      <c r="O105" s="119" t="s">
        <v>145</v>
      </c>
      <c r="P105" s="55"/>
      <c r="Q105" s="1"/>
    </row>
    <row r="106" spans="1:17" ht="49.5" customHeight="1">
      <c r="A106" s="21"/>
      <c r="B106" s="115" t="str">
        <f t="shared" si="2"/>
        <v/>
      </c>
      <c r="C106" s="169"/>
      <c r="D106" s="121"/>
      <c r="E106" s="121"/>
      <c r="F106" s="121"/>
      <c r="G106" s="117"/>
      <c r="H106" s="116"/>
      <c r="I106" s="115"/>
      <c r="J106" s="135"/>
      <c r="K106" s="135"/>
      <c r="L106" s="191">
        <v>0</v>
      </c>
      <c r="M106" s="136">
        <v>0</v>
      </c>
      <c r="N106" s="136">
        <v>0</v>
      </c>
      <c r="O106" s="119" t="s">
        <v>145</v>
      </c>
      <c r="P106" s="55"/>
      <c r="Q106" s="1"/>
    </row>
    <row r="107" spans="1:17" ht="49.5" customHeight="1">
      <c r="A107" s="21"/>
      <c r="B107" s="115" t="str">
        <f t="shared" si="2"/>
        <v/>
      </c>
      <c r="C107" s="169"/>
      <c r="D107" s="121"/>
      <c r="E107" s="121"/>
      <c r="F107" s="121"/>
      <c r="G107" s="117"/>
      <c r="H107" s="116"/>
      <c r="I107" s="115"/>
      <c r="J107" s="135"/>
      <c r="K107" s="135"/>
      <c r="L107" s="191">
        <v>0</v>
      </c>
      <c r="M107" s="136">
        <v>0</v>
      </c>
      <c r="N107" s="136">
        <v>0</v>
      </c>
      <c r="O107" s="119" t="s">
        <v>145</v>
      </c>
      <c r="P107" s="55"/>
      <c r="Q107" s="1"/>
    </row>
    <row r="108" spans="1:17" ht="49.5" customHeight="1">
      <c r="A108" s="21"/>
      <c r="B108" s="115" t="str">
        <f t="shared" si="2"/>
        <v/>
      </c>
      <c r="C108" s="169"/>
      <c r="D108" s="121"/>
      <c r="E108" s="121"/>
      <c r="F108" s="121"/>
      <c r="G108" s="117"/>
      <c r="H108" s="116"/>
      <c r="I108" s="115"/>
      <c r="J108" s="135"/>
      <c r="K108" s="135"/>
      <c r="L108" s="191">
        <v>0</v>
      </c>
      <c r="M108" s="136">
        <v>0</v>
      </c>
      <c r="N108" s="136">
        <v>0</v>
      </c>
      <c r="O108" s="119" t="s">
        <v>145</v>
      </c>
      <c r="P108" s="55"/>
      <c r="Q108" s="1"/>
    </row>
    <row r="109" spans="1:17" ht="49.5" customHeight="1">
      <c r="A109" s="21"/>
      <c r="B109" s="115" t="str">
        <f t="shared" si="2"/>
        <v/>
      </c>
      <c r="C109" s="169"/>
      <c r="D109" s="121"/>
      <c r="E109" s="121"/>
      <c r="F109" s="121"/>
      <c r="G109" s="117"/>
      <c r="H109" s="116"/>
      <c r="I109" s="115"/>
      <c r="J109" s="135"/>
      <c r="K109" s="135"/>
      <c r="L109" s="191">
        <v>0</v>
      </c>
      <c r="M109" s="136">
        <v>0</v>
      </c>
      <c r="N109" s="136">
        <v>0</v>
      </c>
      <c r="O109" s="119" t="s">
        <v>145</v>
      </c>
      <c r="P109" s="55"/>
      <c r="Q109" s="1"/>
    </row>
    <row r="110" spans="1:17" ht="49.5" customHeight="1">
      <c r="A110" s="21"/>
      <c r="B110" s="115" t="str">
        <f t="shared" ref="B110" si="3">IF((C110&gt;0),1+B109,"")</f>
        <v/>
      </c>
      <c r="C110" s="169"/>
      <c r="D110" s="121"/>
      <c r="E110" s="121"/>
      <c r="F110" s="121"/>
      <c r="G110" s="117"/>
      <c r="H110" s="116"/>
      <c r="I110" s="115"/>
      <c r="J110" s="135"/>
      <c r="K110" s="135"/>
      <c r="L110" s="191">
        <v>1</v>
      </c>
      <c r="M110" s="136" t="s">
        <v>142</v>
      </c>
      <c r="N110" s="136" t="s">
        <v>141</v>
      </c>
      <c r="O110" s="119" t="s">
        <v>145</v>
      </c>
      <c r="P110" s="55"/>
      <c r="Q110" s="1"/>
    </row>
    <row r="111" spans="1:17" ht="49.5" customHeight="1">
      <c r="A111" s="21"/>
      <c r="B111" s="65"/>
      <c r="C111" s="170"/>
      <c r="D111" s="114"/>
      <c r="E111" s="86"/>
      <c r="F111" s="85"/>
      <c r="G111" s="88"/>
      <c r="H111" s="69"/>
      <c r="I111" s="84"/>
      <c r="J111" s="71"/>
      <c r="K111" s="135"/>
      <c r="L111" s="191"/>
      <c r="M111" s="67"/>
      <c r="N111" s="136"/>
      <c r="O111" s="119" t="s">
        <v>145</v>
      </c>
      <c r="P111" s="55"/>
      <c r="Q111" s="1"/>
    </row>
    <row r="112" spans="1:17" ht="49.5" customHeight="1">
      <c r="A112" s="21"/>
      <c r="B112" s="65"/>
      <c r="C112" s="170"/>
      <c r="D112" s="114"/>
      <c r="E112" s="86"/>
      <c r="F112" s="85"/>
      <c r="G112" s="88"/>
      <c r="H112" s="69"/>
      <c r="I112" s="84"/>
      <c r="J112" s="71"/>
      <c r="K112" s="135"/>
      <c r="L112" s="191"/>
      <c r="M112" s="67"/>
      <c r="N112" s="136"/>
      <c r="O112" s="119" t="s">
        <v>145</v>
      </c>
      <c r="P112" s="55"/>
      <c r="Q112" s="1"/>
    </row>
    <row r="113" spans="1:17" ht="49.5" customHeight="1">
      <c r="A113" s="21"/>
      <c r="B113" s="65"/>
      <c r="C113" s="170"/>
      <c r="D113" s="114"/>
      <c r="E113" s="86"/>
      <c r="F113" s="85"/>
      <c r="G113" s="88"/>
      <c r="H113" s="69"/>
      <c r="I113" s="84"/>
      <c r="J113" s="71"/>
      <c r="K113" s="135"/>
      <c r="L113" s="191"/>
      <c r="M113" s="67"/>
      <c r="N113" s="136"/>
      <c r="O113" s="119" t="s">
        <v>145</v>
      </c>
      <c r="P113" s="55"/>
      <c r="Q113" s="1"/>
    </row>
    <row r="114" spans="1:17" ht="49.5" customHeight="1">
      <c r="A114" s="21"/>
      <c r="B114" s="65"/>
      <c r="C114" s="170"/>
      <c r="D114" s="114"/>
      <c r="E114" s="86"/>
      <c r="F114" s="85"/>
      <c r="G114" s="88"/>
      <c r="H114" s="69"/>
      <c r="I114" s="84"/>
      <c r="J114" s="71"/>
      <c r="K114" s="135"/>
      <c r="L114" s="191"/>
      <c r="M114" s="67"/>
      <c r="N114" s="136"/>
      <c r="O114" s="119" t="s">
        <v>145</v>
      </c>
      <c r="P114" s="55"/>
      <c r="Q114" s="1"/>
    </row>
    <row r="115" spans="1:17" ht="49.5" customHeight="1">
      <c r="A115" s="21"/>
      <c r="B115" s="65"/>
      <c r="C115" s="170"/>
      <c r="D115" s="114"/>
      <c r="E115" s="86"/>
      <c r="F115" s="85"/>
      <c r="G115" s="88"/>
      <c r="H115" s="69"/>
      <c r="I115" s="84"/>
      <c r="J115" s="71"/>
      <c r="K115" s="135"/>
      <c r="L115" s="191"/>
      <c r="M115" s="67"/>
      <c r="N115" s="136"/>
      <c r="O115" s="119" t="s">
        <v>145</v>
      </c>
      <c r="P115" s="55"/>
      <c r="Q115" s="1"/>
    </row>
    <row r="116" spans="1:17" ht="49.5" customHeight="1">
      <c r="A116" s="21"/>
      <c r="B116" s="65"/>
      <c r="C116" s="170"/>
      <c r="D116" s="114"/>
      <c r="E116" s="86"/>
      <c r="F116" s="85"/>
      <c r="G116" s="88"/>
      <c r="H116" s="69"/>
      <c r="I116" s="84"/>
      <c r="J116" s="71"/>
      <c r="K116" s="135"/>
      <c r="L116" s="191"/>
      <c r="M116" s="67"/>
      <c r="N116" s="136"/>
      <c r="O116" s="119" t="s">
        <v>145</v>
      </c>
      <c r="P116" s="55"/>
      <c r="Q116" s="1"/>
    </row>
    <row r="117" spans="1:17" ht="49.5" customHeight="1">
      <c r="A117" s="21"/>
      <c r="B117" s="65"/>
      <c r="C117" s="170"/>
      <c r="D117" s="114"/>
      <c r="E117" s="86"/>
      <c r="F117" s="85"/>
      <c r="G117" s="88"/>
      <c r="H117" s="69"/>
      <c r="I117" s="84"/>
      <c r="J117" s="71"/>
      <c r="K117" s="135"/>
      <c r="L117" s="191"/>
      <c r="M117" s="67"/>
      <c r="N117" s="136"/>
      <c r="O117" s="119" t="s">
        <v>145</v>
      </c>
      <c r="P117" s="55"/>
      <c r="Q117" s="1"/>
    </row>
    <row r="118" spans="1:17" ht="49.5" customHeight="1">
      <c r="A118" s="21"/>
      <c r="B118" s="65"/>
      <c r="C118" s="170"/>
      <c r="D118" s="114"/>
      <c r="E118" s="86"/>
      <c r="F118" s="85"/>
      <c r="G118" s="88"/>
      <c r="H118" s="69"/>
      <c r="I118" s="84"/>
      <c r="J118" s="71"/>
      <c r="K118" s="135"/>
      <c r="L118" s="191"/>
      <c r="M118" s="67"/>
      <c r="N118" s="136"/>
      <c r="O118" s="119" t="s">
        <v>145</v>
      </c>
      <c r="P118" s="55"/>
      <c r="Q118" s="1"/>
    </row>
    <row r="119" spans="1:17" ht="59.25" customHeight="1">
      <c r="A119" s="21"/>
      <c r="B119" s="65"/>
      <c r="C119" s="170"/>
      <c r="D119" s="114"/>
      <c r="E119" s="86"/>
      <c r="F119" s="85"/>
      <c r="G119" s="88"/>
      <c r="H119" s="69"/>
      <c r="I119" s="84"/>
      <c r="J119" s="71"/>
      <c r="K119" s="135"/>
      <c r="L119" s="191"/>
      <c r="M119" s="67"/>
      <c r="N119" s="136"/>
      <c r="O119" s="119" t="s">
        <v>145</v>
      </c>
      <c r="P119" s="55"/>
      <c r="Q119" s="1"/>
    </row>
    <row r="120" spans="1:17" ht="59.25" customHeight="1">
      <c r="A120" s="21"/>
      <c r="B120" s="65"/>
      <c r="C120" s="170"/>
      <c r="D120" s="87"/>
      <c r="E120" s="89"/>
      <c r="F120" s="90"/>
      <c r="G120" s="70"/>
      <c r="H120" s="69"/>
      <c r="I120" s="91"/>
      <c r="J120" s="71"/>
      <c r="K120" s="135"/>
      <c r="L120" s="191"/>
      <c r="M120" s="67"/>
      <c r="N120" s="136"/>
      <c r="O120" s="119" t="s">
        <v>145</v>
      </c>
      <c r="P120" s="55"/>
      <c r="Q120" s="1"/>
    </row>
    <row r="121" spans="1:17" ht="59.25" customHeight="1">
      <c r="A121" s="21"/>
      <c r="B121" s="65"/>
      <c r="C121" s="170"/>
      <c r="D121" s="87"/>
      <c r="E121" s="93"/>
      <c r="F121" s="92"/>
      <c r="G121" s="70"/>
      <c r="H121" s="69"/>
      <c r="I121" s="91"/>
      <c r="J121" s="71"/>
      <c r="K121" s="135"/>
      <c r="L121" s="191"/>
      <c r="M121" s="67"/>
      <c r="N121" s="136"/>
      <c r="O121" s="119" t="s">
        <v>145</v>
      </c>
      <c r="P121" s="55"/>
      <c r="Q121" s="1"/>
    </row>
    <row r="122" spans="1:17" ht="59.25" customHeight="1">
      <c r="A122" s="21"/>
      <c r="B122" s="65"/>
      <c r="C122" s="170"/>
      <c r="D122" s="87"/>
      <c r="E122" s="93"/>
      <c r="F122" s="92"/>
      <c r="G122" s="70"/>
      <c r="H122" s="69"/>
      <c r="I122" s="91"/>
      <c r="J122" s="71"/>
      <c r="K122" s="135"/>
      <c r="L122" s="191"/>
      <c r="M122" s="67"/>
      <c r="N122" s="136"/>
      <c r="O122" s="119" t="s">
        <v>145</v>
      </c>
      <c r="P122" s="55"/>
      <c r="Q122" s="1"/>
    </row>
    <row r="123" spans="1:17" ht="59.25" customHeight="1">
      <c r="A123" s="21"/>
      <c r="B123" s="65"/>
      <c r="C123" s="170"/>
      <c r="D123" s="87"/>
      <c r="E123" s="93"/>
      <c r="F123" s="92"/>
      <c r="G123" s="70"/>
      <c r="H123" s="69"/>
      <c r="I123" s="91"/>
      <c r="J123" s="71"/>
      <c r="K123" s="135"/>
      <c r="L123" s="191"/>
      <c r="M123" s="67"/>
      <c r="N123" s="136"/>
      <c r="O123" s="119" t="s">
        <v>145</v>
      </c>
      <c r="P123" s="55"/>
      <c r="Q123" s="1"/>
    </row>
    <row r="124" spans="1:17" ht="59.25" customHeight="1">
      <c r="A124" s="21"/>
      <c r="B124" s="65"/>
      <c r="C124" s="170"/>
      <c r="D124" s="87"/>
      <c r="E124" s="94"/>
      <c r="F124" s="95"/>
      <c r="G124" s="70"/>
      <c r="H124" s="69"/>
      <c r="I124" s="98"/>
      <c r="J124" s="71"/>
      <c r="K124" s="135"/>
      <c r="L124" s="191"/>
      <c r="M124" s="67"/>
      <c r="N124" s="136"/>
      <c r="O124" s="119" t="s">
        <v>145</v>
      </c>
      <c r="P124" s="55"/>
      <c r="Q124" s="1"/>
    </row>
    <row r="125" spans="1:17" ht="59.25" customHeight="1">
      <c r="A125" s="21"/>
      <c r="B125" s="65"/>
      <c r="C125" s="170"/>
      <c r="D125" s="87"/>
      <c r="E125" s="96"/>
      <c r="F125" s="97"/>
      <c r="G125" s="70"/>
      <c r="H125" s="69"/>
      <c r="I125" s="98"/>
      <c r="J125" s="71"/>
      <c r="K125" s="135"/>
      <c r="L125" s="191"/>
      <c r="M125" s="67"/>
      <c r="N125" s="136"/>
      <c r="O125" s="119" t="s">
        <v>145</v>
      </c>
      <c r="P125" s="55"/>
      <c r="Q125" s="1"/>
    </row>
    <row r="126" spans="1:17" ht="59.25" customHeight="1">
      <c r="A126" s="21"/>
      <c r="B126" s="65"/>
      <c r="C126" s="170"/>
      <c r="D126" s="87"/>
      <c r="E126" s="96"/>
      <c r="F126" s="97"/>
      <c r="G126" s="70"/>
      <c r="H126" s="69"/>
      <c r="I126" s="98"/>
      <c r="J126" s="71"/>
      <c r="K126" s="135"/>
      <c r="L126" s="191"/>
      <c r="M126" s="67"/>
      <c r="N126" s="136"/>
      <c r="O126" s="119" t="s">
        <v>145</v>
      </c>
      <c r="P126" s="55"/>
      <c r="Q126" s="1"/>
    </row>
    <row r="127" spans="1:17" ht="59.25" customHeight="1">
      <c r="A127" s="21"/>
      <c r="B127" s="65"/>
      <c r="C127" s="170"/>
      <c r="D127" s="87"/>
      <c r="E127" s="99"/>
      <c r="F127" s="100"/>
      <c r="G127" s="70"/>
      <c r="H127" s="69"/>
      <c r="I127" s="103"/>
      <c r="J127" s="71"/>
      <c r="K127" s="135"/>
      <c r="L127" s="191"/>
      <c r="M127" s="67"/>
      <c r="N127" s="136"/>
      <c r="O127" s="119" t="s">
        <v>145</v>
      </c>
      <c r="P127" s="55"/>
      <c r="Q127" s="1"/>
    </row>
    <row r="128" spans="1:17" ht="59.25" customHeight="1">
      <c r="A128" s="21"/>
      <c r="B128" s="65"/>
      <c r="C128" s="170"/>
      <c r="D128" s="87"/>
      <c r="E128" s="101"/>
      <c r="F128" s="102"/>
      <c r="G128" s="70"/>
      <c r="H128" s="69"/>
      <c r="I128" s="103"/>
      <c r="J128" s="71"/>
      <c r="K128" s="135"/>
      <c r="L128" s="191"/>
      <c r="M128" s="67"/>
      <c r="N128" s="136"/>
      <c r="O128" s="119" t="s">
        <v>145</v>
      </c>
      <c r="P128" s="55"/>
      <c r="Q128" s="1"/>
    </row>
    <row r="129" spans="1:17" ht="59.25" customHeight="1">
      <c r="A129" s="21"/>
      <c r="B129" s="65"/>
      <c r="C129" s="170"/>
      <c r="D129" s="87"/>
      <c r="E129" s="101"/>
      <c r="F129" s="102"/>
      <c r="G129" s="70"/>
      <c r="H129" s="69"/>
      <c r="I129" s="103"/>
      <c r="J129" s="71"/>
      <c r="K129" s="135"/>
      <c r="L129" s="191"/>
      <c r="M129" s="67"/>
      <c r="N129" s="136"/>
      <c r="O129" s="119" t="s">
        <v>145</v>
      </c>
      <c r="P129" s="55"/>
      <c r="Q129" s="1"/>
    </row>
    <row r="130" spans="1:17" ht="59.25" customHeight="1">
      <c r="A130" s="21"/>
      <c r="B130" s="65"/>
      <c r="C130" s="170"/>
      <c r="D130" s="87"/>
      <c r="E130" s="104"/>
      <c r="F130" s="105"/>
      <c r="G130" s="70"/>
      <c r="H130" s="69"/>
      <c r="I130" s="108"/>
      <c r="J130" s="71"/>
      <c r="K130" s="135"/>
      <c r="L130" s="191"/>
      <c r="M130" s="67"/>
      <c r="N130" s="136"/>
      <c r="O130" s="119" t="s">
        <v>145</v>
      </c>
      <c r="P130" s="55"/>
      <c r="Q130" s="1"/>
    </row>
    <row r="131" spans="1:17" ht="59.25" customHeight="1">
      <c r="A131" s="21"/>
      <c r="B131" s="65"/>
      <c r="C131" s="170"/>
      <c r="D131" s="87"/>
      <c r="E131" s="106"/>
      <c r="F131" s="107"/>
      <c r="G131" s="70"/>
      <c r="H131" s="69"/>
      <c r="I131" s="108"/>
      <c r="J131" s="71"/>
      <c r="K131" s="135"/>
      <c r="L131" s="191"/>
      <c r="M131" s="67"/>
      <c r="N131" s="136"/>
      <c r="O131" s="119" t="s">
        <v>145</v>
      </c>
      <c r="P131" s="55"/>
      <c r="Q131" s="1"/>
    </row>
    <row r="132" spans="1:17" ht="59.25" customHeight="1">
      <c r="A132" s="21"/>
      <c r="B132" s="65"/>
      <c r="C132" s="170"/>
      <c r="D132" s="87"/>
      <c r="E132" s="106"/>
      <c r="F132" s="107"/>
      <c r="G132" s="70"/>
      <c r="H132" s="69"/>
      <c r="I132" s="108"/>
      <c r="J132" s="71"/>
      <c r="K132" s="135"/>
      <c r="L132" s="191"/>
      <c r="M132" s="67"/>
      <c r="N132" s="136"/>
      <c r="O132" s="119" t="s">
        <v>145</v>
      </c>
      <c r="P132" s="55"/>
      <c r="Q132" s="1"/>
    </row>
    <row r="133" spans="1:17" ht="59.25" customHeight="1">
      <c r="A133" s="21"/>
      <c r="B133" s="65"/>
      <c r="C133" s="170"/>
      <c r="D133" s="87"/>
      <c r="E133" s="106"/>
      <c r="F133" s="107"/>
      <c r="G133" s="70"/>
      <c r="H133" s="69"/>
      <c r="I133" s="108"/>
      <c r="J133" s="71"/>
      <c r="K133" s="135"/>
      <c r="L133" s="191"/>
      <c r="M133" s="67"/>
      <c r="N133" s="136"/>
      <c r="O133" s="119" t="s">
        <v>145</v>
      </c>
      <c r="P133" s="55"/>
      <c r="Q133" s="1"/>
    </row>
    <row r="134" spans="1:17" ht="59.25" customHeight="1">
      <c r="A134" s="21"/>
      <c r="B134" s="65"/>
      <c r="C134" s="170"/>
      <c r="D134" s="87"/>
      <c r="E134" s="106"/>
      <c r="F134" s="107"/>
      <c r="G134" s="70"/>
      <c r="H134" s="69"/>
      <c r="I134" s="108"/>
      <c r="J134" s="71"/>
      <c r="K134" s="135"/>
      <c r="L134" s="191"/>
      <c r="M134" s="67"/>
      <c r="N134" s="136"/>
      <c r="O134" s="119" t="s">
        <v>145</v>
      </c>
      <c r="P134" s="55"/>
      <c r="Q134" s="1"/>
    </row>
    <row r="135" spans="1:17" ht="59.25" customHeight="1">
      <c r="A135" s="21"/>
      <c r="B135" s="65"/>
      <c r="C135" s="170"/>
      <c r="D135" s="87"/>
      <c r="E135" s="106"/>
      <c r="F135" s="107"/>
      <c r="G135" s="70"/>
      <c r="H135" s="69"/>
      <c r="I135" s="108"/>
      <c r="J135" s="71"/>
      <c r="K135" s="135"/>
      <c r="L135" s="191"/>
      <c r="M135" s="67"/>
      <c r="N135" s="136"/>
      <c r="O135" s="119" t="s">
        <v>145</v>
      </c>
      <c r="P135" s="55"/>
      <c r="Q135" s="1"/>
    </row>
    <row r="136" spans="1:17" ht="59.25" customHeight="1">
      <c r="A136" s="21"/>
      <c r="B136" s="65"/>
      <c r="C136" s="170"/>
      <c r="D136" s="87"/>
      <c r="E136" s="106"/>
      <c r="F136" s="107"/>
      <c r="G136" s="70"/>
      <c r="H136" s="69"/>
      <c r="I136" s="108"/>
      <c r="J136" s="71"/>
      <c r="K136" s="135"/>
      <c r="L136" s="191"/>
      <c r="M136" s="67"/>
      <c r="N136" s="136"/>
      <c r="O136" s="119" t="s">
        <v>145</v>
      </c>
      <c r="P136" s="55"/>
      <c r="Q136" s="1"/>
    </row>
    <row r="137" spans="1:17" ht="59.25" customHeight="1">
      <c r="A137" s="21"/>
      <c r="B137" s="65"/>
      <c r="C137" s="170"/>
      <c r="D137" s="87"/>
      <c r="E137" s="106"/>
      <c r="F137" s="107"/>
      <c r="G137" s="70"/>
      <c r="H137" s="69"/>
      <c r="I137" s="108"/>
      <c r="J137" s="71"/>
      <c r="K137" s="135"/>
      <c r="L137" s="191"/>
      <c r="M137" s="67"/>
      <c r="N137" s="136"/>
      <c r="O137" s="119" t="s">
        <v>145</v>
      </c>
      <c r="P137" s="55"/>
      <c r="Q137" s="1"/>
    </row>
    <row r="138" spans="1:17" ht="59.25" customHeight="1">
      <c r="A138" s="21"/>
      <c r="B138" s="65"/>
      <c r="C138" s="170"/>
      <c r="D138" s="87"/>
      <c r="E138" s="106"/>
      <c r="F138" s="107"/>
      <c r="G138" s="70"/>
      <c r="H138" s="69"/>
      <c r="I138" s="108"/>
      <c r="J138" s="71"/>
      <c r="K138" s="135"/>
      <c r="L138" s="191"/>
      <c r="M138" s="67"/>
      <c r="N138" s="136"/>
      <c r="O138" s="119" t="s">
        <v>145</v>
      </c>
      <c r="P138" s="55"/>
      <c r="Q138" s="1"/>
    </row>
    <row r="139" spans="1:17" ht="59.25" customHeight="1">
      <c r="A139" s="21"/>
      <c r="B139" s="65"/>
      <c r="C139" s="170"/>
      <c r="D139" s="87"/>
      <c r="E139" s="106"/>
      <c r="F139" s="107"/>
      <c r="G139" s="70"/>
      <c r="H139" s="69"/>
      <c r="I139" s="108"/>
      <c r="J139" s="71"/>
      <c r="K139" s="135"/>
      <c r="L139" s="191"/>
      <c r="M139" s="67"/>
      <c r="N139" s="136"/>
      <c r="O139" s="119" t="s">
        <v>145</v>
      </c>
      <c r="P139" s="55"/>
      <c r="Q139" s="1"/>
    </row>
    <row r="140" spans="1:17" ht="59.25" customHeight="1">
      <c r="A140" s="21"/>
      <c r="B140" s="65"/>
      <c r="C140" s="170"/>
      <c r="D140" s="87"/>
      <c r="E140" s="106"/>
      <c r="F140" s="107"/>
      <c r="G140" s="70"/>
      <c r="H140" s="69"/>
      <c r="I140" s="108"/>
      <c r="J140" s="71"/>
      <c r="K140" s="135"/>
      <c r="L140" s="191"/>
      <c r="M140" s="67"/>
      <c r="N140" s="136"/>
      <c r="O140" s="119" t="s">
        <v>145</v>
      </c>
      <c r="P140" s="55"/>
      <c r="Q140" s="1"/>
    </row>
    <row r="141" spans="1:17" ht="59.25" customHeight="1">
      <c r="A141" s="21"/>
      <c r="B141" s="65"/>
      <c r="C141" s="170"/>
      <c r="D141" s="87"/>
      <c r="E141" s="106"/>
      <c r="F141" s="107"/>
      <c r="G141" s="70"/>
      <c r="H141" s="69"/>
      <c r="I141" s="108"/>
      <c r="J141" s="71"/>
      <c r="K141" s="135"/>
      <c r="L141" s="191"/>
      <c r="M141" s="67"/>
      <c r="N141" s="136"/>
      <c r="O141" s="119" t="s">
        <v>145</v>
      </c>
      <c r="P141" s="55"/>
      <c r="Q141" s="1"/>
    </row>
    <row r="142" spans="1:17" ht="59.25" customHeight="1">
      <c r="A142" s="21"/>
      <c r="B142" s="65"/>
      <c r="C142" s="170"/>
      <c r="D142" s="87"/>
      <c r="E142" s="106"/>
      <c r="F142" s="107"/>
      <c r="G142" s="70"/>
      <c r="H142" s="69"/>
      <c r="I142" s="108"/>
      <c r="J142" s="71"/>
      <c r="K142" s="135"/>
      <c r="L142" s="191"/>
      <c r="M142" s="67"/>
      <c r="N142" s="136"/>
      <c r="O142" s="119" t="s">
        <v>145</v>
      </c>
      <c r="P142" s="55"/>
      <c r="Q142" s="1"/>
    </row>
    <row r="143" spans="1:17" ht="59.25" customHeight="1">
      <c r="A143" s="21"/>
      <c r="B143" s="65"/>
      <c r="C143" s="170"/>
      <c r="D143" s="87"/>
      <c r="E143" s="106"/>
      <c r="F143" s="107"/>
      <c r="G143" s="70"/>
      <c r="H143" s="69"/>
      <c r="I143" s="108"/>
      <c r="J143" s="71"/>
      <c r="K143" s="135"/>
      <c r="L143" s="191"/>
      <c r="M143" s="67"/>
      <c r="N143" s="136"/>
      <c r="O143" s="119" t="s">
        <v>145</v>
      </c>
      <c r="P143" s="55"/>
      <c r="Q143" s="1"/>
    </row>
    <row r="144" spans="1:17" ht="59.25" customHeight="1">
      <c r="A144" s="21"/>
      <c r="B144" s="65"/>
      <c r="C144" s="170"/>
      <c r="D144" s="87"/>
      <c r="E144" s="106"/>
      <c r="F144" s="107"/>
      <c r="G144" s="70"/>
      <c r="H144" s="69"/>
      <c r="I144" s="108"/>
      <c r="J144" s="71"/>
      <c r="K144" s="135"/>
      <c r="L144" s="191"/>
      <c r="M144" s="67"/>
      <c r="N144" s="136"/>
      <c r="O144" s="119" t="s">
        <v>145</v>
      </c>
      <c r="P144" s="55"/>
      <c r="Q144" s="1"/>
    </row>
    <row r="145" spans="1:17" ht="59.25" customHeight="1">
      <c r="A145" s="21"/>
      <c r="B145" s="65"/>
      <c r="C145" s="170"/>
      <c r="D145" s="87"/>
      <c r="E145" s="106"/>
      <c r="F145" s="107"/>
      <c r="G145" s="70"/>
      <c r="H145" s="69"/>
      <c r="I145" s="108"/>
      <c r="J145" s="71"/>
      <c r="K145" s="135"/>
      <c r="L145" s="191"/>
      <c r="M145" s="67"/>
      <c r="N145" s="136"/>
      <c r="O145" s="119" t="s">
        <v>145</v>
      </c>
      <c r="P145" s="55"/>
      <c r="Q145" s="1"/>
    </row>
    <row r="146" spans="1:17" ht="59.25" customHeight="1">
      <c r="A146" s="21"/>
      <c r="B146" s="65"/>
      <c r="C146" s="170"/>
      <c r="D146" s="73"/>
      <c r="E146" s="106"/>
      <c r="F146" s="107"/>
      <c r="G146" s="70"/>
      <c r="H146" s="69"/>
      <c r="I146" s="108"/>
      <c r="J146" s="71"/>
      <c r="K146" s="135"/>
      <c r="L146" s="191"/>
      <c r="M146" s="67"/>
      <c r="N146" s="136"/>
      <c r="O146" s="119" t="s">
        <v>145</v>
      </c>
      <c r="P146" s="55"/>
      <c r="Q146" s="1"/>
    </row>
    <row r="147" spans="1:17" ht="59.25" customHeight="1">
      <c r="A147" s="21"/>
      <c r="B147" s="65"/>
      <c r="C147" s="170"/>
      <c r="D147" s="73"/>
      <c r="E147" s="106"/>
      <c r="F147" s="107"/>
      <c r="G147" s="70"/>
      <c r="H147" s="69"/>
      <c r="I147" s="108"/>
      <c r="J147" s="71"/>
      <c r="K147" s="135"/>
      <c r="L147" s="191"/>
      <c r="M147" s="67"/>
      <c r="N147" s="136"/>
      <c r="O147" s="119" t="s">
        <v>145</v>
      </c>
      <c r="P147" s="55"/>
      <c r="Q147" s="1"/>
    </row>
    <row r="148" spans="1:17" ht="59.25" customHeight="1">
      <c r="A148" s="21"/>
      <c r="B148" s="65"/>
      <c r="C148" s="170"/>
      <c r="D148" s="73"/>
      <c r="E148" s="106"/>
      <c r="F148" s="107"/>
      <c r="G148" s="70"/>
      <c r="H148" s="69"/>
      <c r="I148" s="108"/>
      <c r="J148" s="71"/>
      <c r="K148" s="135"/>
      <c r="L148" s="191"/>
      <c r="M148" s="67"/>
      <c r="N148" s="136"/>
      <c r="O148" s="119" t="s">
        <v>145</v>
      </c>
      <c r="P148" s="55"/>
      <c r="Q148" s="1"/>
    </row>
    <row r="149" spans="1:17" ht="59.25" customHeight="1">
      <c r="A149" s="21"/>
      <c r="B149" s="65"/>
      <c r="C149" s="170"/>
      <c r="D149" s="73"/>
      <c r="E149" s="106"/>
      <c r="F149" s="107"/>
      <c r="G149" s="70"/>
      <c r="H149" s="69"/>
      <c r="I149" s="108"/>
      <c r="J149" s="71"/>
      <c r="K149" s="135"/>
      <c r="L149" s="191"/>
      <c r="M149" s="67"/>
      <c r="N149" s="136"/>
      <c r="O149" s="119" t="s">
        <v>145</v>
      </c>
      <c r="P149" s="55"/>
      <c r="Q149" s="1"/>
    </row>
    <row r="150" spans="1:17" ht="59.25" customHeight="1">
      <c r="A150" s="21"/>
      <c r="B150" s="65"/>
      <c r="C150" s="170"/>
      <c r="D150" s="73"/>
      <c r="E150" s="109"/>
      <c r="F150" s="110"/>
      <c r="G150" s="70"/>
      <c r="H150" s="69"/>
      <c r="I150" s="113"/>
      <c r="J150" s="71"/>
      <c r="K150" s="135"/>
      <c r="L150" s="191"/>
      <c r="M150" s="67"/>
      <c r="N150" s="136"/>
      <c r="O150" s="119" t="s">
        <v>145</v>
      </c>
      <c r="P150" s="55"/>
      <c r="Q150" s="1"/>
    </row>
    <row r="151" spans="1:17" ht="59.25" customHeight="1">
      <c r="A151" s="21"/>
      <c r="B151" s="65"/>
      <c r="C151" s="170"/>
      <c r="D151" s="73"/>
      <c r="E151" s="111"/>
      <c r="F151" s="112"/>
      <c r="G151" s="70"/>
      <c r="H151" s="69"/>
      <c r="I151" s="113"/>
      <c r="J151" s="71"/>
      <c r="K151" s="135"/>
      <c r="L151" s="191"/>
      <c r="M151" s="67"/>
      <c r="N151" s="136"/>
      <c r="O151" s="119" t="s">
        <v>145</v>
      </c>
      <c r="P151" s="55"/>
      <c r="Q151" s="1"/>
    </row>
    <row r="152" spans="1:17" ht="59.25" customHeight="1">
      <c r="A152" s="21"/>
      <c r="B152" s="65"/>
      <c r="C152" s="170"/>
      <c r="D152" s="73"/>
      <c r="E152" s="111"/>
      <c r="F152" s="112"/>
      <c r="G152" s="70"/>
      <c r="H152" s="69"/>
      <c r="I152" s="113"/>
      <c r="J152" s="71"/>
      <c r="K152" s="135"/>
      <c r="L152" s="191"/>
      <c r="M152" s="67"/>
      <c r="N152" s="136"/>
      <c r="O152" s="119" t="s">
        <v>145</v>
      </c>
      <c r="P152" s="55"/>
      <c r="Q152" s="1"/>
    </row>
    <row r="153" spans="1:17" ht="59.25" customHeight="1">
      <c r="A153" s="21"/>
      <c r="B153" s="65"/>
      <c r="C153" s="170"/>
      <c r="D153" s="73"/>
      <c r="E153" s="111"/>
      <c r="F153" s="112"/>
      <c r="G153" s="70"/>
      <c r="H153" s="69"/>
      <c r="I153" s="113"/>
      <c r="J153" s="71"/>
      <c r="K153" s="135"/>
      <c r="L153" s="191"/>
      <c r="M153" s="67"/>
      <c r="N153" s="136"/>
      <c r="O153" s="119" t="s">
        <v>145</v>
      </c>
      <c r="P153" s="55"/>
      <c r="Q153" s="1"/>
    </row>
    <row r="154" spans="1:17" ht="59.25" customHeight="1">
      <c r="A154" s="21"/>
      <c r="B154" s="65"/>
      <c r="C154" s="170"/>
      <c r="D154" s="73"/>
      <c r="E154" s="111"/>
      <c r="F154" s="112"/>
      <c r="G154" s="70"/>
      <c r="H154" s="69"/>
      <c r="I154" s="113"/>
      <c r="J154" s="71"/>
      <c r="K154" s="135"/>
      <c r="L154" s="191"/>
      <c r="M154" s="67"/>
      <c r="N154" s="136"/>
      <c r="O154" s="119" t="s">
        <v>145</v>
      </c>
      <c r="P154" s="55"/>
      <c r="Q154" s="1"/>
    </row>
    <row r="155" spans="1:17" ht="59.25" customHeight="1">
      <c r="A155" s="21"/>
      <c r="B155" s="65"/>
      <c r="C155" s="170"/>
      <c r="D155" s="73"/>
      <c r="E155" s="111"/>
      <c r="F155" s="112"/>
      <c r="G155" s="70"/>
      <c r="H155" s="69"/>
      <c r="I155" s="113"/>
      <c r="J155" s="71"/>
      <c r="K155" s="135"/>
      <c r="L155" s="191"/>
      <c r="M155" s="67"/>
      <c r="N155" s="136"/>
      <c r="O155" s="119" t="s">
        <v>145</v>
      </c>
      <c r="P155" s="55"/>
      <c r="Q155" s="1"/>
    </row>
    <row r="156" spans="1:17" ht="59.25" customHeight="1">
      <c r="A156" s="21"/>
      <c r="B156" s="65"/>
      <c r="C156" s="170"/>
      <c r="D156" s="68"/>
      <c r="E156" s="111"/>
      <c r="F156" s="112"/>
      <c r="G156" s="70"/>
      <c r="H156" s="69"/>
      <c r="I156" s="113"/>
      <c r="J156" s="71"/>
      <c r="K156" s="135"/>
      <c r="L156" s="191"/>
      <c r="M156" s="67"/>
      <c r="N156" s="136"/>
      <c r="O156" s="119" t="s">
        <v>145</v>
      </c>
      <c r="P156" s="26"/>
      <c r="Q156" s="1"/>
    </row>
    <row r="157" spans="1:17" ht="59.25" customHeight="1">
      <c r="A157" s="21"/>
      <c r="B157" s="65"/>
      <c r="C157" s="171"/>
      <c r="D157" s="112"/>
      <c r="E157" s="65"/>
      <c r="F157" s="76"/>
      <c r="G157" s="66"/>
      <c r="H157" s="65"/>
      <c r="I157" s="78"/>
      <c r="J157" s="71"/>
      <c r="K157" s="135"/>
      <c r="L157" s="191"/>
      <c r="M157" s="67"/>
      <c r="N157" s="136"/>
      <c r="O157" s="119" t="s">
        <v>145</v>
      </c>
      <c r="P157" s="55"/>
      <c r="Q157" s="1"/>
    </row>
    <row r="158" spans="1:17" ht="59.25" customHeight="1">
      <c r="A158" s="21"/>
      <c r="B158" s="65"/>
      <c r="C158" s="169"/>
      <c r="D158" s="65"/>
      <c r="E158" s="65"/>
      <c r="F158" s="77"/>
      <c r="G158" s="66"/>
      <c r="H158" s="65"/>
      <c r="I158" s="80"/>
      <c r="J158" s="71"/>
      <c r="K158" s="135"/>
      <c r="L158" s="191"/>
      <c r="M158" s="67"/>
      <c r="N158" s="136"/>
      <c r="O158" s="119" t="s">
        <v>145</v>
      </c>
      <c r="P158" s="55"/>
      <c r="Q158" s="1"/>
    </row>
    <row r="159" spans="1:17" ht="59.25" customHeight="1">
      <c r="A159" s="21"/>
      <c r="B159" s="65"/>
      <c r="C159" s="171"/>
      <c r="D159" s="112"/>
      <c r="E159" s="81"/>
      <c r="F159" s="65"/>
      <c r="G159" s="66"/>
      <c r="H159" s="65"/>
      <c r="I159" s="83"/>
      <c r="J159" s="71"/>
      <c r="K159" s="135"/>
      <c r="L159" s="191"/>
      <c r="M159" s="67"/>
      <c r="N159" s="136"/>
      <c r="O159" s="119" t="s">
        <v>145</v>
      </c>
      <c r="P159" s="55"/>
      <c r="Q159" s="1"/>
    </row>
    <row r="160" spans="1:17" ht="59.25" customHeight="1">
      <c r="A160" s="21"/>
      <c r="B160" s="65"/>
      <c r="C160" s="171"/>
      <c r="D160" s="112"/>
      <c r="E160" s="65"/>
      <c r="F160" s="79"/>
      <c r="G160" s="66"/>
      <c r="H160" s="65"/>
      <c r="I160" s="80"/>
      <c r="J160" s="71"/>
      <c r="K160" s="135"/>
      <c r="L160" s="191"/>
      <c r="M160" s="67"/>
      <c r="N160" s="136"/>
      <c r="O160" s="119" t="s">
        <v>145</v>
      </c>
      <c r="P160" s="55"/>
      <c r="Q160" s="1"/>
    </row>
    <row r="161" spans="1:17" ht="59.25" customHeight="1">
      <c r="A161" s="21"/>
      <c r="B161" s="65"/>
      <c r="C161" s="169"/>
      <c r="D161" s="65"/>
      <c r="E161" s="65"/>
      <c r="F161" s="79"/>
      <c r="G161" s="66"/>
      <c r="H161" s="65"/>
      <c r="I161" s="80"/>
      <c r="J161" s="71"/>
      <c r="K161" s="135"/>
      <c r="L161" s="191"/>
      <c r="M161" s="67"/>
      <c r="N161" s="136"/>
      <c r="O161" s="119" t="s">
        <v>145</v>
      </c>
      <c r="P161" s="55"/>
      <c r="Q161" s="1"/>
    </row>
    <row r="162" spans="1:17" ht="59.25" customHeight="1">
      <c r="A162" s="21"/>
      <c r="B162" s="65"/>
      <c r="C162" s="171"/>
      <c r="D162" s="112"/>
      <c r="E162" s="82"/>
      <c r="F162" s="65"/>
      <c r="G162" s="66"/>
      <c r="H162" s="65"/>
      <c r="I162" s="83"/>
      <c r="J162" s="71"/>
      <c r="K162" s="135"/>
      <c r="L162" s="191"/>
      <c r="M162" s="67"/>
      <c r="N162" s="136"/>
      <c r="O162" s="119" t="s">
        <v>145</v>
      </c>
      <c r="P162" s="55"/>
      <c r="Q162" s="1"/>
    </row>
    <row r="163" spans="1:17" ht="59.25" customHeight="1">
      <c r="A163" s="21"/>
      <c r="B163" s="65"/>
      <c r="C163" s="170"/>
      <c r="D163" s="68"/>
      <c r="E163" s="74"/>
      <c r="F163" s="65"/>
      <c r="G163" s="66"/>
      <c r="H163" s="65"/>
      <c r="I163" s="75"/>
      <c r="J163" s="71"/>
      <c r="K163" s="135"/>
      <c r="L163" s="191"/>
      <c r="M163" s="67"/>
      <c r="N163" s="136"/>
      <c r="O163" s="119" t="s">
        <v>145</v>
      </c>
      <c r="P163" s="55"/>
      <c r="Q163" s="1"/>
    </row>
    <row r="164" spans="1:17" ht="59.25" customHeight="1">
      <c r="A164" s="21"/>
      <c r="B164" s="65"/>
      <c r="C164" s="169"/>
      <c r="D164" s="65"/>
      <c r="E164" s="65"/>
      <c r="F164" s="65"/>
      <c r="G164" s="66"/>
      <c r="H164" s="65"/>
      <c r="I164" s="65"/>
      <c r="J164" s="71"/>
      <c r="K164" s="135"/>
      <c r="L164" s="191"/>
      <c r="M164" s="67"/>
      <c r="N164" s="136"/>
      <c r="O164" s="119" t="s">
        <v>145</v>
      </c>
      <c r="P164" s="55"/>
      <c r="Q164" s="1"/>
    </row>
    <row r="165" spans="1:17" ht="59.25" customHeight="1">
      <c r="A165" s="21"/>
      <c r="B165" s="65"/>
      <c r="C165" s="169"/>
      <c r="D165" s="65"/>
      <c r="E165" s="65"/>
      <c r="F165" s="65"/>
      <c r="G165" s="66"/>
      <c r="H165" s="65"/>
      <c r="I165" s="65"/>
      <c r="J165" s="71"/>
      <c r="K165" s="135"/>
      <c r="L165" s="191"/>
      <c r="M165" s="67"/>
      <c r="N165" s="136"/>
      <c r="O165" s="119" t="s">
        <v>145</v>
      </c>
      <c r="P165" s="55"/>
      <c r="Q165" s="1"/>
    </row>
    <row r="166" spans="1:17" ht="59.25" customHeight="1">
      <c r="A166" s="21"/>
      <c r="B166" s="65"/>
      <c r="C166" s="169"/>
      <c r="D166" s="65"/>
      <c r="E166" s="65"/>
      <c r="F166" s="65"/>
      <c r="G166" s="66"/>
      <c r="H166" s="65"/>
      <c r="I166" s="75"/>
      <c r="J166" s="71"/>
      <c r="K166" s="135"/>
      <c r="L166" s="191"/>
      <c r="M166" s="67"/>
      <c r="N166" s="136"/>
      <c r="O166" s="119" t="s">
        <v>145</v>
      </c>
      <c r="P166" s="55"/>
      <c r="Q166" s="1"/>
    </row>
    <row r="167" spans="1:17" ht="59.25" customHeight="1">
      <c r="A167" s="21"/>
      <c r="B167" s="65"/>
      <c r="C167" s="169"/>
      <c r="D167" s="65"/>
      <c r="E167" s="65"/>
      <c r="F167" s="65"/>
      <c r="G167" s="66"/>
      <c r="H167" s="65"/>
      <c r="I167" s="65"/>
      <c r="J167" s="71"/>
      <c r="K167" s="135"/>
      <c r="L167" s="191"/>
      <c r="M167" s="67"/>
      <c r="N167" s="136"/>
      <c r="O167" s="119" t="s">
        <v>145</v>
      </c>
      <c r="P167" s="55"/>
      <c r="Q167" s="1"/>
    </row>
    <row r="168" spans="1:17" ht="59.25" customHeight="1">
      <c r="A168" s="21"/>
      <c r="B168" s="65"/>
      <c r="C168" s="170"/>
      <c r="D168" s="68"/>
      <c r="E168" s="65"/>
      <c r="F168" s="65"/>
      <c r="G168" s="66"/>
      <c r="H168" s="65"/>
      <c r="I168" s="65"/>
      <c r="J168" s="71"/>
      <c r="K168" s="135"/>
      <c r="L168" s="191"/>
      <c r="M168" s="67"/>
      <c r="N168" s="136"/>
      <c r="O168" s="119" t="s">
        <v>145</v>
      </c>
      <c r="P168" s="55"/>
      <c r="Q168" s="1"/>
    </row>
    <row r="169" spans="1:17" ht="59.25" customHeight="1">
      <c r="A169" s="21"/>
      <c r="B169" s="65"/>
      <c r="C169" s="172"/>
      <c r="D169" s="52"/>
      <c r="E169" s="49"/>
      <c r="F169" s="49"/>
      <c r="G169" s="50"/>
      <c r="H169" s="49"/>
      <c r="I169" s="64"/>
      <c r="J169" s="50"/>
      <c r="K169" s="135"/>
      <c r="L169" s="191"/>
      <c r="M169" s="51"/>
      <c r="N169" s="51"/>
      <c r="O169" s="119" t="s">
        <v>145</v>
      </c>
      <c r="P169" s="55"/>
      <c r="Q169" s="1"/>
    </row>
    <row r="170" spans="1:17" ht="59.25" customHeight="1">
      <c r="A170" s="21"/>
      <c r="B170" s="49"/>
      <c r="C170" s="172"/>
      <c r="D170" s="52"/>
      <c r="E170" s="49"/>
      <c r="F170" s="49"/>
      <c r="G170" s="50"/>
      <c r="H170" s="49"/>
      <c r="I170" s="64"/>
      <c r="J170" s="50"/>
      <c r="K170" s="135"/>
      <c r="L170" s="191"/>
      <c r="M170" s="51"/>
      <c r="N170" s="51"/>
      <c r="O170" s="119" t="s">
        <v>145</v>
      </c>
      <c r="P170" s="55"/>
      <c r="Q170" s="1"/>
    </row>
    <row r="171" spans="1:17" ht="59.25" customHeight="1">
      <c r="A171" s="21"/>
      <c r="B171" s="49"/>
      <c r="C171" s="172"/>
      <c r="D171" s="52"/>
      <c r="E171" s="49"/>
      <c r="F171" s="49"/>
      <c r="G171" s="50"/>
      <c r="H171" s="49"/>
      <c r="I171" s="58"/>
      <c r="J171" s="50"/>
      <c r="K171" s="135"/>
      <c r="L171" s="191"/>
      <c r="M171" s="51"/>
      <c r="N171" s="51"/>
      <c r="O171" s="119" t="s">
        <v>145</v>
      </c>
      <c r="P171" s="55"/>
      <c r="Q171" s="1"/>
    </row>
    <row r="172" spans="1:17" ht="59.25" customHeight="1">
      <c r="A172" s="21"/>
      <c r="B172" s="49"/>
      <c r="C172" s="172"/>
      <c r="D172" s="52"/>
      <c r="E172" s="49"/>
      <c r="F172" s="49"/>
      <c r="G172" s="50"/>
      <c r="H172" s="49"/>
      <c r="I172" s="63"/>
      <c r="J172" s="50"/>
      <c r="K172" s="135"/>
      <c r="L172" s="191"/>
      <c r="M172" s="51"/>
      <c r="N172" s="51"/>
      <c r="O172" s="119" t="s">
        <v>145</v>
      </c>
      <c r="P172" s="55"/>
      <c r="Q172" s="1"/>
    </row>
    <row r="173" spans="1:17" ht="59.25" customHeight="1">
      <c r="A173" s="21"/>
      <c r="B173" s="49"/>
      <c r="C173" s="172"/>
      <c r="D173" s="52"/>
      <c r="E173" s="49"/>
      <c r="F173" s="49"/>
      <c r="G173" s="50"/>
      <c r="H173" s="49"/>
      <c r="I173" s="63"/>
      <c r="J173" s="50"/>
      <c r="K173" s="135"/>
      <c r="L173" s="191"/>
      <c r="M173" s="51"/>
      <c r="N173" s="51"/>
      <c r="O173" s="119" t="s">
        <v>145</v>
      </c>
      <c r="P173" s="55"/>
      <c r="Q173" s="1"/>
    </row>
    <row r="174" spans="1:17" ht="59.25" customHeight="1">
      <c r="A174" s="21"/>
      <c r="B174" s="49"/>
      <c r="C174" s="172"/>
      <c r="D174" s="52"/>
      <c r="E174" s="49"/>
      <c r="F174" s="49"/>
      <c r="G174" s="50"/>
      <c r="H174" s="49"/>
      <c r="I174" s="64"/>
      <c r="J174" s="50"/>
      <c r="K174" s="135"/>
      <c r="L174" s="191"/>
      <c r="M174" s="51"/>
      <c r="N174" s="51"/>
      <c r="O174" s="119" t="s">
        <v>145</v>
      </c>
      <c r="P174" s="55"/>
      <c r="Q174" s="1"/>
    </row>
    <row r="175" spans="1:17" ht="59.25" customHeight="1">
      <c r="A175" s="21"/>
      <c r="B175" s="49"/>
      <c r="C175" s="172"/>
      <c r="D175" s="52"/>
      <c r="E175" s="49"/>
      <c r="F175" s="49"/>
      <c r="G175" s="50"/>
      <c r="H175" s="49"/>
      <c r="I175" s="64"/>
      <c r="J175" s="50"/>
      <c r="K175" s="135"/>
      <c r="L175" s="191"/>
      <c r="M175" s="51"/>
      <c r="N175" s="51"/>
      <c r="O175" s="119" t="s">
        <v>145</v>
      </c>
      <c r="P175" s="55"/>
      <c r="Q175" s="1"/>
    </row>
    <row r="176" spans="1:17" ht="59.25" customHeight="1">
      <c r="A176" s="21"/>
      <c r="B176" s="49"/>
      <c r="C176" s="172"/>
      <c r="D176" s="52"/>
      <c r="E176" s="49"/>
      <c r="F176" s="49"/>
      <c r="G176" s="50"/>
      <c r="H176" s="49"/>
      <c r="I176" s="64"/>
      <c r="J176" s="50"/>
      <c r="K176" s="135"/>
      <c r="L176" s="191"/>
      <c r="M176" s="51"/>
      <c r="N176" s="51"/>
      <c r="O176" s="119" t="s">
        <v>145</v>
      </c>
      <c r="P176" s="55"/>
      <c r="Q176" s="1"/>
    </row>
    <row r="177" spans="1:17" ht="59.25" customHeight="1">
      <c r="A177" s="21"/>
      <c r="B177" s="49"/>
      <c r="C177" s="172"/>
      <c r="D177" s="52"/>
      <c r="E177" s="49"/>
      <c r="F177" s="49"/>
      <c r="G177" s="50"/>
      <c r="H177" s="49"/>
      <c r="I177" s="64"/>
      <c r="J177" s="50"/>
      <c r="K177" s="135"/>
      <c r="L177" s="191"/>
      <c r="M177" s="51"/>
      <c r="N177" s="51"/>
      <c r="O177" s="119" t="s">
        <v>145</v>
      </c>
      <c r="P177" s="55"/>
      <c r="Q177" s="1"/>
    </row>
    <row r="178" spans="1:17" ht="59.25" customHeight="1">
      <c r="A178" s="21"/>
      <c r="B178" s="49"/>
      <c r="C178" s="172"/>
      <c r="D178" s="52"/>
      <c r="E178" s="49"/>
      <c r="F178" s="49"/>
      <c r="G178" s="50"/>
      <c r="H178" s="49"/>
      <c r="I178" s="64"/>
      <c r="J178" s="50"/>
      <c r="K178" s="135"/>
      <c r="L178" s="191"/>
      <c r="M178" s="51"/>
      <c r="N178" s="51"/>
      <c r="O178" s="119" t="s">
        <v>145</v>
      </c>
      <c r="P178" s="55"/>
      <c r="Q178" s="1"/>
    </row>
    <row r="179" spans="1:17" ht="59.25" customHeight="1">
      <c r="A179" s="21"/>
      <c r="B179" s="49"/>
      <c r="C179" s="172"/>
      <c r="D179" s="52"/>
      <c r="E179" s="49"/>
      <c r="F179" s="49"/>
      <c r="G179" s="50"/>
      <c r="H179" s="49"/>
      <c r="I179" s="64"/>
      <c r="J179" s="50"/>
      <c r="K179" s="135"/>
      <c r="L179" s="191"/>
      <c r="M179" s="51"/>
      <c r="N179" s="51"/>
      <c r="O179" s="119" t="s">
        <v>145</v>
      </c>
      <c r="P179" s="55"/>
      <c r="Q179" s="1"/>
    </row>
    <row r="180" spans="1:17" ht="59.25" customHeight="1">
      <c r="A180" s="21"/>
      <c r="B180" s="49"/>
      <c r="C180" s="172"/>
      <c r="D180" s="52"/>
      <c r="E180" s="49"/>
      <c r="F180" s="49"/>
      <c r="G180" s="50"/>
      <c r="H180" s="49"/>
      <c r="I180" s="54"/>
      <c r="J180" s="50"/>
      <c r="K180" s="135"/>
      <c r="L180" s="191"/>
      <c r="M180" s="51"/>
      <c r="N180" s="51"/>
      <c r="O180" s="119" t="s">
        <v>145</v>
      </c>
      <c r="P180" s="26"/>
      <c r="Q180" s="1"/>
    </row>
    <row r="181" spans="1:17" ht="59.25" customHeight="1">
      <c r="A181" s="21"/>
      <c r="B181" s="49"/>
      <c r="C181" s="172"/>
      <c r="D181" s="52"/>
      <c r="E181" s="49"/>
      <c r="F181" s="49"/>
      <c r="G181" s="50"/>
      <c r="H181" s="49"/>
      <c r="I181" s="54"/>
      <c r="J181" s="50"/>
      <c r="K181" s="135"/>
      <c r="L181" s="191"/>
      <c r="M181" s="51"/>
      <c r="N181" s="51"/>
      <c r="O181" s="119" t="s">
        <v>145</v>
      </c>
      <c r="P181" s="55"/>
      <c r="Q181" s="1"/>
    </row>
    <row r="182" spans="1:17" ht="59.25" customHeight="1">
      <c r="A182" s="21"/>
      <c r="B182" s="49"/>
      <c r="C182" s="172"/>
      <c r="D182" s="52"/>
      <c r="E182" s="49"/>
      <c r="F182" s="49"/>
      <c r="G182" s="50"/>
      <c r="H182" s="49"/>
      <c r="I182" s="54"/>
      <c r="J182" s="50"/>
      <c r="K182" s="135"/>
      <c r="L182" s="191"/>
      <c r="M182" s="51"/>
      <c r="N182" s="51"/>
      <c r="O182" s="119" t="s">
        <v>145</v>
      </c>
      <c r="P182" s="55"/>
      <c r="Q182" s="1"/>
    </row>
    <row r="183" spans="1:17" ht="59.25" customHeight="1">
      <c r="A183" s="21"/>
      <c r="B183" s="49"/>
      <c r="C183" s="172"/>
      <c r="D183" s="52"/>
      <c r="E183" s="49"/>
      <c r="F183" s="49"/>
      <c r="G183" s="50"/>
      <c r="H183" s="49"/>
      <c r="I183" s="54"/>
      <c r="J183" s="50"/>
      <c r="K183" s="135"/>
      <c r="L183" s="191"/>
      <c r="M183" s="51"/>
      <c r="N183" s="51"/>
      <c r="O183" s="119" t="s">
        <v>145</v>
      </c>
      <c r="P183" s="55"/>
      <c r="Q183" s="1"/>
    </row>
    <row r="184" spans="1:17" ht="59.25" customHeight="1">
      <c r="A184" s="21"/>
      <c r="B184" s="49"/>
      <c r="C184" s="172"/>
      <c r="D184" s="52"/>
      <c r="E184" s="49"/>
      <c r="F184" s="49"/>
      <c r="G184" s="50"/>
      <c r="H184" s="49"/>
      <c r="I184" s="54"/>
      <c r="J184" s="50"/>
      <c r="K184" s="135"/>
      <c r="L184" s="191"/>
      <c r="M184" s="51"/>
      <c r="N184" s="51"/>
      <c r="O184" s="119" t="s">
        <v>145</v>
      </c>
      <c r="P184" s="55"/>
      <c r="Q184" s="1"/>
    </row>
    <row r="185" spans="1:17" ht="59.25" customHeight="1">
      <c r="A185" s="21"/>
      <c r="B185" s="49"/>
      <c r="C185" s="172"/>
      <c r="D185" s="52"/>
      <c r="E185" s="49"/>
      <c r="F185" s="49"/>
      <c r="G185" s="50"/>
      <c r="H185" s="49"/>
      <c r="I185" s="57"/>
      <c r="J185" s="50"/>
      <c r="K185" s="135"/>
      <c r="L185" s="191"/>
      <c r="M185" s="51"/>
      <c r="N185" s="51"/>
      <c r="O185" s="119" t="s">
        <v>145</v>
      </c>
      <c r="P185" s="26"/>
      <c r="Q185" s="1"/>
    </row>
    <row r="186" spans="1:17" ht="59.25" customHeight="1">
      <c r="A186" s="21"/>
      <c r="B186" s="49"/>
      <c r="C186" s="173"/>
      <c r="D186" s="52"/>
      <c r="E186" s="49"/>
      <c r="F186" s="49"/>
      <c r="G186" s="50"/>
      <c r="H186" s="49"/>
      <c r="I186" s="58"/>
      <c r="J186" s="50"/>
      <c r="K186" s="135"/>
      <c r="L186" s="191"/>
      <c r="M186" s="51"/>
      <c r="N186" s="51"/>
      <c r="O186" s="119" t="s">
        <v>145</v>
      </c>
      <c r="P186" s="26"/>
      <c r="Q186" s="1"/>
    </row>
    <row r="187" spans="1:17" ht="59.25" customHeight="1">
      <c r="A187" s="21"/>
      <c r="B187" s="49"/>
      <c r="C187" s="173"/>
      <c r="D187" s="52"/>
      <c r="E187" s="49"/>
      <c r="F187" s="49"/>
      <c r="G187" s="50"/>
      <c r="H187" s="49"/>
      <c r="I187" s="58"/>
      <c r="J187" s="50"/>
      <c r="K187" s="135"/>
      <c r="L187" s="191"/>
      <c r="M187" s="51"/>
      <c r="N187" s="51"/>
      <c r="O187" s="119" t="s">
        <v>145</v>
      </c>
      <c r="P187" s="55"/>
      <c r="Q187" s="1"/>
    </row>
    <row r="188" spans="1:17" ht="59.25" customHeight="1">
      <c r="A188" s="21"/>
      <c r="B188" s="49"/>
      <c r="C188" s="173"/>
      <c r="D188" s="52"/>
      <c r="E188" s="49"/>
      <c r="F188" s="49"/>
      <c r="G188" s="50"/>
      <c r="H188" s="49"/>
      <c r="I188" s="58"/>
      <c r="J188" s="50"/>
      <c r="K188" s="135"/>
      <c r="L188" s="191"/>
      <c r="M188" s="51"/>
      <c r="N188" s="51"/>
      <c r="O188" s="119" t="s">
        <v>145</v>
      </c>
      <c r="P188" s="55"/>
      <c r="Q188" s="1"/>
    </row>
    <row r="189" spans="1:17" ht="59.25" customHeight="1">
      <c r="A189" s="21"/>
      <c r="B189" s="49"/>
      <c r="C189" s="173"/>
      <c r="D189" s="52"/>
      <c r="E189" s="49"/>
      <c r="F189" s="49"/>
      <c r="G189" s="50"/>
      <c r="H189" s="49"/>
      <c r="I189" s="58"/>
      <c r="J189" s="50"/>
      <c r="K189" s="135"/>
      <c r="L189" s="191"/>
      <c r="M189" s="51"/>
      <c r="N189" s="51"/>
      <c r="O189" s="119" t="s">
        <v>145</v>
      </c>
      <c r="P189" s="55"/>
      <c r="Q189" s="1"/>
    </row>
    <row r="190" spans="1:17" ht="59.25" customHeight="1">
      <c r="A190" s="21"/>
      <c r="B190" s="49"/>
      <c r="C190" s="173"/>
      <c r="D190" s="52"/>
      <c r="E190" s="49"/>
      <c r="F190" s="49"/>
      <c r="G190" s="50"/>
      <c r="H190" s="49"/>
      <c r="I190" s="58"/>
      <c r="J190" s="50"/>
      <c r="K190" s="135"/>
      <c r="L190" s="191"/>
      <c r="M190" s="51"/>
      <c r="N190" s="51"/>
      <c r="O190" s="119" t="s">
        <v>145</v>
      </c>
      <c r="P190" s="55"/>
      <c r="Q190" s="1"/>
    </row>
    <row r="191" spans="1:17" ht="59.25" customHeight="1">
      <c r="A191" s="21"/>
      <c r="B191" s="49"/>
      <c r="C191" s="173"/>
      <c r="D191" s="52"/>
      <c r="E191" s="49"/>
      <c r="F191" s="49"/>
      <c r="G191" s="50"/>
      <c r="H191" s="49"/>
      <c r="I191" s="58"/>
      <c r="J191" s="50"/>
      <c r="K191" s="135"/>
      <c r="L191" s="191"/>
      <c r="M191" s="51"/>
      <c r="N191" s="51"/>
      <c r="O191" s="119" t="s">
        <v>145</v>
      </c>
      <c r="P191" s="55"/>
      <c r="Q191" s="1"/>
    </row>
    <row r="192" spans="1:17" ht="59.25" customHeight="1">
      <c r="A192" s="21"/>
      <c r="B192" s="49"/>
      <c r="C192" s="173"/>
      <c r="D192" s="52"/>
      <c r="E192" s="49"/>
      <c r="F192" s="49"/>
      <c r="G192" s="50"/>
      <c r="H192" s="49"/>
      <c r="I192" s="58"/>
      <c r="J192" s="50"/>
      <c r="K192" s="135"/>
      <c r="L192" s="191"/>
      <c r="M192" s="51"/>
      <c r="N192" s="51"/>
      <c r="O192" s="119" t="s">
        <v>145</v>
      </c>
      <c r="P192" s="55"/>
      <c r="Q192" s="1"/>
    </row>
    <row r="193" spans="1:17" ht="59.25" customHeight="1">
      <c r="A193" s="21"/>
      <c r="B193" s="49"/>
      <c r="C193" s="173"/>
      <c r="D193" s="52"/>
      <c r="E193" s="49"/>
      <c r="F193" s="49"/>
      <c r="G193" s="50"/>
      <c r="H193" s="49"/>
      <c r="I193" s="58"/>
      <c r="J193" s="50"/>
      <c r="K193" s="135"/>
      <c r="L193" s="191"/>
      <c r="M193" s="51"/>
      <c r="N193" s="51"/>
      <c r="O193" s="119" t="s">
        <v>145</v>
      </c>
      <c r="P193" s="55"/>
      <c r="Q193" s="1"/>
    </row>
    <row r="194" spans="1:17" ht="59.25" customHeight="1">
      <c r="A194" s="21"/>
      <c r="B194" s="49"/>
      <c r="C194" s="173"/>
      <c r="D194" s="52"/>
      <c r="E194" s="49"/>
      <c r="F194" s="49"/>
      <c r="G194" s="50"/>
      <c r="H194" s="49"/>
      <c r="I194" s="58"/>
      <c r="J194" s="50"/>
      <c r="K194" s="135"/>
      <c r="L194" s="191"/>
      <c r="M194" s="51"/>
      <c r="N194" s="51"/>
      <c r="O194" s="119" t="s">
        <v>145</v>
      </c>
      <c r="P194" s="55"/>
      <c r="Q194" s="1"/>
    </row>
    <row r="195" spans="1:17" ht="59.25" customHeight="1">
      <c r="A195" s="21"/>
      <c r="B195" s="49"/>
      <c r="C195" s="173"/>
      <c r="D195" s="52"/>
      <c r="E195" s="49"/>
      <c r="F195" s="49"/>
      <c r="G195" s="50"/>
      <c r="H195" s="49"/>
      <c r="I195" s="58"/>
      <c r="J195" s="50"/>
      <c r="K195" s="135"/>
      <c r="L195" s="191"/>
      <c r="M195" s="51"/>
      <c r="N195" s="51"/>
      <c r="O195" s="119" t="s">
        <v>145</v>
      </c>
      <c r="P195" s="55"/>
      <c r="Q195" s="1"/>
    </row>
    <row r="196" spans="1:17" ht="59.25" customHeight="1">
      <c r="A196" s="21"/>
      <c r="B196" s="49"/>
      <c r="C196" s="173"/>
      <c r="D196" s="65"/>
      <c r="E196" s="49"/>
      <c r="F196" s="49"/>
      <c r="G196" s="50"/>
      <c r="H196" s="49"/>
      <c r="I196" s="54"/>
      <c r="J196" s="50"/>
      <c r="K196" s="135"/>
      <c r="L196" s="191"/>
      <c r="M196" s="51"/>
      <c r="N196" s="51"/>
      <c r="O196" s="119" t="s">
        <v>145</v>
      </c>
      <c r="P196" s="26"/>
      <c r="Q196" s="1"/>
    </row>
    <row r="197" spans="1:17" ht="59.25" customHeight="1">
      <c r="A197" s="21"/>
      <c r="B197" s="49"/>
      <c r="C197" s="173"/>
      <c r="D197" s="65"/>
      <c r="E197" s="49"/>
      <c r="F197" s="49"/>
      <c r="G197" s="50"/>
      <c r="H197" s="49"/>
      <c r="I197" s="54"/>
      <c r="J197" s="50"/>
      <c r="K197" s="135"/>
      <c r="L197" s="191"/>
      <c r="M197" s="51"/>
      <c r="N197" s="51"/>
      <c r="O197" s="119" t="s">
        <v>145</v>
      </c>
      <c r="P197" s="55"/>
      <c r="Q197" s="1"/>
    </row>
    <row r="198" spans="1:17" ht="59.25" customHeight="1">
      <c r="A198" s="21"/>
      <c r="B198" s="49"/>
      <c r="C198" s="173"/>
      <c r="D198" s="65"/>
      <c r="E198" s="49"/>
      <c r="F198" s="49"/>
      <c r="G198" s="50"/>
      <c r="H198" s="49"/>
      <c r="I198" s="54"/>
      <c r="J198" s="50"/>
      <c r="K198" s="135"/>
      <c r="L198" s="191"/>
      <c r="M198" s="51"/>
      <c r="N198" s="51"/>
      <c r="O198" s="119" t="s">
        <v>145</v>
      </c>
      <c r="P198" s="55"/>
      <c r="Q198" s="1"/>
    </row>
    <row r="199" spans="1:17" ht="59.25" customHeight="1">
      <c r="A199" s="21"/>
      <c r="B199" s="49"/>
      <c r="C199" s="173"/>
      <c r="D199" s="65"/>
      <c r="E199" s="53"/>
      <c r="F199" s="49"/>
      <c r="G199" s="50"/>
      <c r="H199" s="49"/>
      <c r="I199" s="49"/>
      <c r="J199" s="50"/>
      <c r="K199" s="135"/>
      <c r="L199" s="191"/>
      <c r="M199" s="51"/>
      <c r="N199" s="51"/>
      <c r="O199" s="119" t="s">
        <v>145</v>
      </c>
      <c r="P199" s="26"/>
      <c r="Q199" s="1"/>
    </row>
    <row r="200" spans="1:17" ht="59.25" customHeight="1">
      <c r="A200" s="21"/>
      <c r="B200" s="49"/>
      <c r="C200" s="173"/>
      <c r="D200" s="52"/>
      <c r="E200" s="53"/>
      <c r="F200" s="49"/>
      <c r="G200" s="50"/>
      <c r="H200" s="49"/>
      <c r="I200" s="49"/>
      <c r="J200" s="50"/>
      <c r="K200" s="135"/>
      <c r="L200" s="191"/>
      <c r="M200" s="51"/>
      <c r="N200" s="51"/>
      <c r="O200" s="119" t="s">
        <v>145</v>
      </c>
      <c r="P200" s="55"/>
      <c r="Q200" s="1"/>
    </row>
    <row r="201" spans="1:17" ht="59.25" customHeight="1">
      <c r="A201" s="21"/>
      <c r="B201" s="49"/>
      <c r="C201" s="173"/>
      <c r="D201" s="52"/>
      <c r="E201" s="53"/>
      <c r="F201" s="49"/>
      <c r="G201" s="50"/>
      <c r="H201" s="49"/>
      <c r="I201" s="49"/>
      <c r="J201" s="50"/>
      <c r="K201" s="135"/>
      <c r="L201" s="191"/>
      <c r="M201" s="51"/>
      <c r="N201" s="51"/>
      <c r="O201" s="119" t="s">
        <v>145</v>
      </c>
      <c r="P201" s="55"/>
      <c r="Q201" s="1"/>
    </row>
    <row r="202" spans="1:17" ht="59.25" customHeight="1">
      <c r="A202" s="21"/>
      <c r="B202" s="49"/>
      <c r="C202" s="173"/>
      <c r="D202" s="52"/>
      <c r="E202" s="53"/>
      <c r="F202" s="49"/>
      <c r="G202" s="50"/>
      <c r="H202" s="49"/>
      <c r="I202" s="49"/>
      <c r="J202" s="50"/>
      <c r="K202" s="135"/>
      <c r="L202" s="191"/>
      <c r="M202" s="51"/>
      <c r="N202" s="51"/>
      <c r="O202" s="119" t="s">
        <v>145</v>
      </c>
      <c r="P202" s="55"/>
      <c r="Q202" s="1"/>
    </row>
    <row r="203" spans="1:17" ht="59.25" customHeight="1">
      <c r="A203" s="21"/>
      <c r="B203" s="49"/>
      <c r="C203" s="173"/>
      <c r="D203" s="52"/>
      <c r="E203" s="49"/>
      <c r="F203" s="49"/>
      <c r="G203" s="50"/>
      <c r="H203" s="49"/>
      <c r="I203" s="59"/>
      <c r="J203" s="47"/>
      <c r="K203" s="135"/>
      <c r="L203" s="191"/>
      <c r="M203" s="48"/>
      <c r="N203" s="51"/>
      <c r="O203" s="119" t="s">
        <v>145</v>
      </c>
      <c r="P203" s="26"/>
      <c r="Q203" s="1"/>
    </row>
    <row r="204" spans="1:17" ht="59.25" customHeight="1">
      <c r="A204" s="21"/>
      <c r="B204" s="49"/>
      <c r="C204" s="173"/>
      <c r="D204" s="52"/>
      <c r="E204" s="49"/>
      <c r="F204" s="49"/>
      <c r="G204" s="50"/>
      <c r="H204" s="49"/>
      <c r="I204" s="59"/>
      <c r="J204" s="50"/>
      <c r="K204" s="135"/>
      <c r="L204" s="191"/>
      <c r="M204" s="51"/>
      <c r="N204" s="51"/>
      <c r="O204" s="119" t="s">
        <v>145</v>
      </c>
      <c r="P204" s="55"/>
      <c r="Q204" s="1"/>
    </row>
    <row r="205" spans="1:17" ht="59.25" customHeight="1">
      <c r="A205" s="21"/>
      <c r="B205" s="49"/>
      <c r="C205" s="173"/>
      <c r="D205" s="52"/>
      <c r="E205" s="49"/>
      <c r="F205" s="49"/>
      <c r="G205" s="50"/>
      <c r="H205" s="49"/>
      <c r="I205" s="59"/>
      <c r="J205" s="50"/>
      <c r="K205" s="135"/>
      <c r="L205" s="191"/>
      <c r="M205" s="51"/>
      <c r="N205" s="51"/>
      <c r="O205" s="119" t="s">
        <v>145</v>
      </c>
      <c r="P205" s="55"/>
      <c r="Q205" s="1"/>
    </row>
    <row r="206" spans="1:17" ht="59.25" customHeight="1">
      <c r="A206" s="21"/>
      <c r="B206" s="49"/>
      <c r="C206" s="173"/>
      <c r="D206" s="52"/>
      <c r="E206" s="49"/>
      <c r="F206" s="49"/>
      <c r="G206" s="50"/>
      <c r="H206" s="49"/>
      <c r="I206" s="59"/>
      <c r="J206" s="50"/>
      <c r="K206" s="135"/>
      <c r="L206" s="191"/>
      <c r="M206" s="51"/>
      <c r="N206" s="51"/>
      <c r="O206" s="119" t="s">
        <v>145</v>
      </c>
      <c r="P206" s="55"/>
      <c r="Q206" s="1"/>
    </row>
    <row r="207" spans="1:17" ht="59.25" customHeight="1">
      <c r="A207" s="21"/>
      <c r="B207" s="49"/>
      <c r="C207" s="173"/>
      <c r="D207" s="52"/>
      <c r="E207" s="49"/>
      <c r="F207" s="49"/>
      <c r="G207" s="50"/>
      <c r="H207" s="49"/>
      <c r="I207" s="59"/>
      <c r="J207" s="50"/>
      <c r="K207" s="135"/>
      <c r="L207" s="191"/>
      <c r="M207" s="51"/>
      <c r="N207" s="51"/>
      <c r="O207" s="119" t="s">
        <v>145</v>
      </c>
      <c r="P207" s="55"/>
      <c r="Q207" s="1"/>
    </row>
    <row r="208" spans="1:17" ht="59.25" customHeight="1">
      <c r="A208" s="21"/>
      <c r="B208" s="49"/>
      <c r="C208" s="173"/>
      <c r="D208" s="52"/>
      <c r="E208" s="49"/>
      <c r="F208" s="49"/>
      <c r="G208" s="50"/>
      <c r="H208" s="49"/>
      <c r="I208" s="59"/>
      <c r="J208" s="50"/>
      <c r="K208" s="135"/>
      <c r="L208" s="191"/>
      <c r="M208" s="51"/>
      <c r="N208" s="51"/>
      <c r="O208" s="119" t="s">
        <v>145</v>
      </c>
      <c r="P208" s="55"/>
      <c r="Q208" s="1"/>
    </row>
    <row r="209" spans="1:17" ht="59.25" customHeight="1">
      <c r="A209" s="21"/>
      <c r="B209" s="49"/>
      <c r="C209" s="173"/>
      <c r="D209" s="52"/>
      <c r="E209" s="49"/>
      <c r="F209" s="49"/>
      <c r="G209" s="50"/>
      <c r="H209" s="49"/>
      <c r="I209" s="59"/>
      <c r="J209" s="50"/>
      <c r="K209" s="135"/>
      <c r="L209" s="191"/>
      <c r="M209" s="51"/>
      <c r="N209" s="51"/>
      <c r="O209" s="119" t="s">
        <v>145</v>
      </c>
      <c r="P209" s="55"/>
      <c r="Q209" s="1"/>
    </row>
    <row r="210" spans="1:17" ht="59.25" customHeight="1">
      <c r="A210" s="21"/>
      <c r="B210" s="49"/>
      <c r="C210" s="173"/>
      <c r="D210" s="52"/>
      <c r="E210" s="49"/>
      <c r="F210" s="49"/>
      <c r="G210" s="50"/>
      <c r="H210" s="49"/>
      <c r="I210" s="59"/>
      <c r="J210" s="50"/>
      <c r="K210" s="135"/>
      <c r="L210" s="191"/>
      <c r="M210" s="51"/>
      <c r="N210" s="51"/>
      <c r="O210" s="119" t="s">
        <v>145</v>
      </c>
      <c r="P210" s="55"/>
      <c r="Q210" s="1"/>
    </row>
    <row r="211" spans="1:17" ht="59.25" customHeight="1">
      <c r="A211" s="21"/>
      <c r="B211" s="49"/>
      <c r="C211" s="173"/>
      <c r="D211" s="52"/>
      <c r="E211" s="49"/>
      <c r="F211" s="49"/>
      <c r="G211" s="50"/>
      <c r="H211" s="49"/>
      <c r="I211" s="59"/>
      <c r="J211" s="50"/>
      <c r="K211" s="135"/>
      <c r="L211" s="191"/>
      <c r="M211" s="51"/>
      <c r="N211" s="51"/>
      <c r="O211" s="119" t="s">
        <v>145</v>
      </c>
      <c r="P211" s="55"/>
      <c r="Q211" s="1"/>
    </row>
    <row r="212" spans="1:17" ht="59.25" customHeight="1">
      <c r="A212" s="21"/>
      <c r="B212" s="49"/>
      <c r="C212" s="173"/>
      <c r="D212" s="52"/>
      <c r="E212" s="49"/>
      <c r="F212" s="49"/>
      <c r="G212" s="50"/>
      <c r="H212" s="49"/>
      <c r="I212" s="59"/>
      <c r="J212" s="50"/>
      <c r="K212" s="135"/>
      <c r="L212" s="191"/>
      <c r="M212" s="51"/>
      <c r="N212" s="51"/>
      <c r="O212" s="119" t="s">
        <v>145</v>
      </c>
      <c r="P212" s="55"/>
      <c r="Q212" s="1"/>
    </row>
    <row r="213" spans="1:17" ht="59.25" customHeight="1">
      <c r="A213" s="21"/>
      <c r="B213" s="49"/>
      <c r="C213" s="174"/>
      <c r="D213" s="37"/>
      <c r="E213" s="52"/>
      <c r="F213" s="31"/>
      <c r="G213" s="43"/>
      <c r="H213" s="31"/>
      <c r="I213" s="60"/>
      <c r="J213" s="50"/>
      <c r="K213" s="135"/>
      <c r="L213" s="191"/>
      <c r="M213" s="30"/>
      <c r="N213" s="51"/>
      <c r="O213" s="119" t="s">
        <v>145</v>
      </c>
      <c r="P213" s="26"/>
      <c r="Q213" s="1"/>
    </row>
    <row r="214" spans="1:17" ht="59.25" customHeight="1">
      <c r="A214" s="21"/>
      <c r="B214" s="49"/>
      <c r="C214" s="174"/>
      <c r="D214" s="37"/>
      <c r="E214" s="52"/>
      <c r="F214" s="52"/>
      <c r="G214" s="43"/>
      <c r="H214" s="52"/>
      <c r="I214" s="60"/>
      <c r="J214" s="50"/>
      <c r="K214" s="135"/>
      <c r="L214" s="191"/>
      <c r="M214" s="51"/>
      <c r="N214" s="51"/>
      <c r="O214" s="119" t="s">
        <v>145</v>
      </c>
      <c r="P214" s="55"/>
      <c r="Q214" s="1"/>
    </row>
    <row r="215" spans="1:17" ht="59.25" customHeight="1">
      <c r="A215" s="21"/>
      <c r="B215" s="49"/>
      <c r="C215" s="174"/>
      <c r="D215" s="37"/>
      <c r="E215" s="52"/>
      <c r="F215" s="52"/>
      <c r="G215" s="43"/>
      <c r="H215" s="52"/>
      <c r="I215" s="60"/>
      <c r="J215" s="50"/>
      <c r="K215" s="135"/>
      <c r="L215" s="191"/>
      <c r="M215" s="51"/>
      <c r="N215" s="51"/>
      <c r="O215" s="119" t="s">
        <v>145</v>
      </c>
      <c r="P215" s="55"/>
      <c r="Q215" s="1"/>
    </row>
    <row r="216" spans="1:17" ht="59.25" customHeight="1">
      <c r="A216" s="21"/>
      <c r="B216" s="49"/>
      <c r="C216" s="174"/>
      <c r="D216" s="37"/>
      <c r="E216" s="52"/>
      <c r="F216" s="52"/>
      <c r="G216" s="43"/>
      <c r="H216" s="52"/>
      <c r="I216" s="60"/>
      <c r="J216" s="50"/>
      <c r="K216" s="135"/>
      <c r="L216" s="191"/>
      <c r="M216" s="51"/>
      <c r="N216" s="51"/>
      <c r="O216" s="119" t="s">
        <v>145</v>
      </c>
      <c r="P216" s="55"/>
      <c r="Q216" s="1"/>
    </row>
    <row r="217" spans="1:17" ht="59.25" customHeight="1">
      <c r="A217" s="21"/>
      <c r="B217" s="49"/>
      <c r="C217" s="174"/>
      <c r="D217" s="37"/>
      <c r="E217" s="52"/>
      <c r="F217" s="52"/>
      <c r="G217" s="43"/>
      <c r="H217" s="52"/>
      <c r="I217" s="60"/>
      <c r="J217" s="50"/>
      <c r="K217" s="135"/>
      <c r="L217" s="191"/>
      <c r="M217" s="51"/>
      <c r="N217" s="51"/>
      <c r="O217" s="119" t="s">
        <v>145</v>
      </c>
      <c r="P217" s="55"/>
      <c r="Q217" s="1"/>
    </row>
    <row r="218" spans="1:17" ht="59.25" customHeight="1">
      <c r="A218" s="21"/>
      <c r="B218" s="49"/>
      <c r="C218" s="174"/>
      <c r="D218" s="32"/>
      <c r="E218" s="32"/>
      <c r="F218" s="31"/>
      <c r="G218" s="43"/>
      <c r="H218" s="31"/>
      <c r="I218" s="61"/>
      <c r="J218" s="50"/>
      <c r="K218" s="135"/>
      <c r="L218" s="191"/>
      <c r="M218" s="30"/>
      <c r="N218" s="51"/>
      <c r="O218" s="119" t="s">
        <v>145</v>
      </c>
      <c r="P218" s="26"/>
      <c r="Q218" s="1"/>
    </row>
    <row r="219" spans="1:17" ht="59.25" customHeight="1">
      <c r="A219" s="21"/>
      <c r="B219" s="49"/>
      <c r="C219" s="174"/>
      <c r="D219" s="56"/>
      <c r="E219" s="32"/>
      <c r="F219" s="52"/>
      <c r="G219" s="43"/>
      <c r="H219" s="52"/>
      <c r="I219" s="61"/>
      <c r="J219" s="50"/>
      <c r="K219" s="135"/>
      <c r="L219" s="191"/>
      <c r="M219" s="51"/>
      <c r="N219" s="51"/>
      <c r="O219" s="119" t="s">
        <v>145</v>
      </c>
      <c r="P219" s="55"/>
      <c r="Q219" s="1"/>
    </row>
    <row r="220" spans="1:17" ht="59.25" customHeight="1">
      <c r="A220" s="21"/>
      <c r="B220" s="49"/>
      <c r="C220" s="174"/>
      <c r="D220" s="37"/>
      <c r="E220" s="32"/>
      <c r="F220" s="52"/>
      <c r="G220" s="43"/>
      <c r="H220" s="52"/>
      <c r="I220" s="61"/>
      <c r="J220" s="50"/>
      <c r="K220" s="135"/>
      <c r="L220" s="191"/>
      <c r="M220" s="51"/>
      <c r="N220" s="51"/>
      <c r="O220" s="119" t="s">
        <v>145</v>
      </c>
      <c r="P220" s="55"/>
      <c r="Q220" s="1"/>
    </row>
    <row r="221" spans="1:17" ht="59.25" customHeight="1">
      <c r="A221" s="21"/>
      <c r="B221" s="49"/>
      <c r="C221" s="174"/>
      <c r="D221" s="32"/>
      <c r="E221" s="32"/>
      <c r="F221" s="31"/>
      <c r="G221" s="43"/>
      <c r="H221" s="31"/>
      <c r="I221" s="52"/>
      <c r="J221" s="50"/>
      <c r="K221" s="135"/>
      <c r="L221" s="191"/>
      <c r="M221" s="30"/>
      <c r="N221" s="51"/>
      <c r="O221" s="119" t="s">
        <v>145</v>
      </c>
      <c r="P221" s="26"/>
      <c r="Q221" s="1"/>
    </row>
    <row r="222" spans="1:17" ht="59.25" customHeight="1">
      <c r="A222" s="21"/>
      <c r="B222" s="49"/>
      <c r="C222" s="174"/>
      <c r="D222" s="32"/>
      <c r="E222" s="32"/>
      <c r="F222" s="52"/>
      <c r="G222" s="43"/>
      <c r="H222" s="52"/>
      <c r="I222" s="52"/>
      <c r="J222" s="50"/>
      <c r="K222" s="135"/>
      <c r="L222" s="191"/>
      <c r="M222" s="51"/>
      <c r="N222" s="51"/>
      <c r="O222" s="119" t="s">
        <v>145</v>
      </c>
      <c r="P222" s="55"/>
      <c r="Q222" s="1"/>
    </row>
    <row r="223" spans="1:17" ht="59.25" customHeight="1">
      <c r="A223" s="21"/>
      <c r="B223" s="49"/>
      <c r="C223" s="174"/>
      <c r="D223" s="32"/>
      <c r="E223" s="32"/>
      <c r="F223" s="52"/>
      <c r="G223" s="43"/>
      <c r="H223" s="52"/>
      <c r="I223" s="52"/>
      <c r="J223" s="50"/>
      <c r="K223" s="135"/>
      <c r="L223" s="191"/>
      <c r="M223" s="51"/>
      <c r="N223" s="51"/>
      <c r="O223" s="119" t="s">
        <v>145</v>
      </c>
      <c r="P223" s="55"/>
      <c r="Q223" s="1"/>
    </row>
    <row r="224" spans="1:17" ht="59.25" customHeight="1">
      <c r="A224" s="21"/>
      <c r="B224" s="49"/>
      <c r="C224" s="174"/>
      <c r="D224" s="32"/>
      <c r="E224" s="32"/>
      <c r="F224" s="31"/>
      <c r="G224" s="43"/>
      <c r="H224" s="31"/>
      <c r="I224" s="52"/>
      <c r="J224" s="50"/>
      <c r="K224" s="135"/>
      <c r="L224" s="191"/>
      <c r="M224" s="30"/>
      <c r="N224" s="51"/>
      <c r="O224" s="119" t="s">
        <v>145</v>
      </c>
      <c r="P224" s="26"/>
      <c r="Q224" s="1"/>
    </row>
    <row r="225" spans="1:17" ht="59.25" customHeight="1">
      <c r="A225" s="21"/>
      <c r="B225" s="49"/>
      <c r="C225" s="174"/>
      <c r="D225" s="37"/>
      <c r="E225" s="52"/>
      <c r="F225" s="31"/>
      <c r="G225" s="43"/>
      <c r="H225" s="31"/>
      <c r="I225" s="52"/>
      <c r="J225" s="50"/>
      <c r="K225" s="135"/>
      <c r="L225" s="191"/>
      <c r="M225" s="30"/>
      <c r="N225" s="51"/>
      <c r="O225" s="119" t="s">
        <v>145</v>
      </c>
      <c r="P225" s="26"/>
      <c r="Q225" s="1"/>
    </row>
    <row r="226" spans="1:17" ht="59.25" customHeight="1">
      <c r="A226" s="21"/>
      <c r="B226" s="49"/>
      <c r="C226" s="174"/>
      <c r="D226" s="37"/>
      <c r="E226" s="52"/>
      <c r="F226" s="52"/>
      <c r="G226" s="43"/>
      <c r="H226" s="52"/>
      <c r="I226" s="52"/>
      <c r="J226" s="50"/>
      <c r="K226" s="135"/>
      <c r="L226" s="191"/>
      <c r="M226" s="51"/>
      <c r="N226" s="51"/>
      <c r="O226" s="119" t="s">
        <v>145</v>
      </c>
      <c r="P226" s="55"/>
      <c r="Q226" s="1"/>
    </row>
    <row r="227" spans="1:17" ht="59.25" customHeight="1">
      <c r="A227" s="21"/>
      <c r="B227" s="49"/>
      <c r="C227" s="174"/>
      <c r="D227" s="37"/>
      <c r="E227" s="52"/>
      <c r="F227" s="52"/>
      <c r="G227" s="43"/>
      <c r="H227" s="52"/>
      <c r="I227" s="52"/>
      <c r="J227" s="50"/>
      <c r="K227" s="135"/>
      <c r="L227" s="191"/>
      <c r="M227" s="51"/>
      <c r="N227" s="51"/>
      <c r="O227" s="119" t="s">
        <v>145</v>
      </c>
      <c r="P227" s="55"/>
      <c r="Q227" s="1"/>
    </row>
    <row r="228" spans="1:17" ht="59.25" customHeight="1">
      <c r="A228" s="21"/>
      <c r="B228" s="49"/>
      <c r="C228" s="174"/>
      <c r="D228" s="37"/>
      <c r="E228" s="52"/>
      <c r="F228" s="52"/>
      <c r="G228" s="43"/>
      <c r="H228" s="52"/>
      <c r="I228" s="52"/>
      <c r="J228" s="50"/>
      <c r="K228" s="135"/>
      <c r="L228" s="191"/>
      <c r="M228" s="51"/>
      <c r="N228" s="51"/>
      <c r="O228" s="119" t="s">
        <v>145</v>
      </c>
      <c r="P228" s="55"/>
      <c r="Q228" s="1"/>
    </row>
    <row r="229" spans="1:17" ht="59.25" customHeight="1">
      <c r="A229" s="21"/>
      <c r="B229" s="49"/>
      <c r="C229" s="174"/>
      <c r="D229" s="37"/>
      <c r="E229" s="52"/>
      <c r="F229" s="52"/>
      <c r="G229" s="43"/>
      <c r="H229" s="52"/>
      <c r="I229" s="52"/>
      <c r="J229" s="50"/>
      <c r="K229" s="135"/>
      <c r="L229" s="191"/>
      <c r="M229" s="51"/>
      <c r="N229" s="51"/>
      <c r="O229" s="119" t="s">
        <v>145</v>
      </c>
      <c r="P229" s="55"/>
      <c r="Q229" s="1"/>
    </row>
    <row r="230" spans="1:17" ht="59.25" customHeight="1">
      <c r="A230" s="21"/>
      <c r="B230" s="49"/>
      <c r="C230" s="174"/>
      <c r="D230" s="37"/>
      <c r="E230" s="52"/>
      <c r="F230" s="52"/>
      <c r="G230" s="43"/>
      <c r="H230" s="52"/>
      <c r="I230" s="52"/>
      <c r="J230" s="50"/>
      <c r="K230" s="135"/>
      <c r="L230" s="191"/>
      <c r="M230" s="51"/>
      <c r="N230" s="51"/>
      <c r="O230" s="119" t="s">
        <v>145</v>
      </c>
      <c r="P230" s="55"/>
      <c r="Q230" s="1"/>
    </row>
    <row r="231" spans="1:17" ht="59.25" customHeight="1">
      <c r="A231" s="21"/>
      <c r="B231" s="49"/>
      <c r="C231" s="174"/>
      <c r="D231" s="37"/>
      <c r="E231" s="52"/>
      <c r="F231" s="52"/>
      <c r="G231" s="43"/>
      <c r="H231" s="52"/>
      <c r="I231" s="52"/>
      <c r="J231" s="50"/>
      <c r="K231" s="135"/>
      <c r="L231" s="191"/>
      <c r="M231" s="51"/>
      <c r="N231" s="51"/>
      <c r="O231" s="119" t="s">
        <v>145</v>
      </c>
      <c r="P231" s="55"/>
      <c r="Q231" s="1"/>
    </row>
    <row r="232" spans="1:17" ht="59.25" customHeight="1">
      <c r="A232" s="21"/>
      <c r="B232" s="49"/>
      <c r="C232" s="174"/>
      <c r="D232" s="37"/>
      <c r="E232" s="52"/>
      <c r="F232" s="52"/>
      <c r="G232" s="43"/>
      <c r="H232" s="52"/>
      <c r="I232" s="52"/>
      <c r="J232" s="50"/>
      <c r="K232" s="135"/>
      <c r="L232" s="191"/>
      <c r="M232" s="51"/>
      <c r="N232" s="51"/>
      <c r="O232" s="119" t="s">
        <v>145</v>
      </c>
      <c r="P232" s="55"/>
      <c r="Q232" s="1"/>
    </row>
    <row r="233" spans="1:17" ht="59.25" customHeight="1">
      <c r="A233" s="21"/>
      <c r="B233" s="49"/>
      <c r="C233" s="174"/>
      <c r="D233" s="37"/>
      <c r="E233" s="52"/>
      <c r="F233" s="31"/>
      <c r="G233" s="43"/>
      <c r="H233" s="31"/>
      <c r="I233" s="62"/>
      <c r="J233" s="50"/>
      <c r="K233" s="135"/>
      <c r="L233" s="191"/>
      <c r="M233" s="30"/>
      <c r="N233" s="51"/>
      <c r="O233" s="119" t="s">
        <v>145</v>
      </c>
      <c r="P233" s="26"/>
      <c r="Q233" s="1"/>
    </row>
    <row r="234" spans="1:17" ht="59.25" customHeight="1">
      <c r="A234" s="21"/>
      <c r="B234" s="49"/>
      <c r="C234" s="174"/>
      <c r="D234" s="37"/>
      <c r="E234" s="52"/>
      <c r="F234" s="52"/>
      <c r="G234" s="43"/>
      <c r="H234" s="52"/>
      <c r="I234" s="62"/>
      <c r="J234" s="50"/>
      <c r="K234" s="135"/>
      <c r="L234" s="191"/>
      <c r="M234" s="51"/>
      <c r="N234" s="51"/>
      <c r="O234" s="119" t="s">
        <v>145</v>
      </c>
      <c r="P234" s="55"/>
      <c r="Q234" s="1"/>
    </row>
    <row r="235" spans="1:17" ht="59.25" customHeight="1">
      <c r="A235" s="21"/>
      <c r="B235" s="49"/>
      <c r="C235" s="174"/>
      <c r="D235" s="37"/>
      <c r="E235" s="52"/>
      <c r="F235" s="52"/>
      <c r="G235" s="43"/>
      <c r="H235" s="52"/>
      <c r="I235" s="62"/>
      <c r="J235" s="50"/>
      <c r="K235" s="135"/>
      <c r="L235" s="191"/>
      <c r="M235" s="51"/>
      <c r="N235" s="51"/>
      <c r="O235" s="119" t="s">
        <v>145</v>
      </c>
      <c r="P235" s="55"/>
      <c r="Q235" s="1"/>
    </row>
    <row r="236" spans="1:17" ht="59.25" customHeight="1">
      <c r="A236" s="21"/>
      <c r="B236" s="49"/>
      <c r="C236" s="174"/>
      <c r="D236" s="37"/>
      <c r="E236" s="52"/>
      <c r="F236" s="52"/>
      <c r="G236" s="43"/>
      <c r="H236" s="52"/>
      <c r="I236" s="62"/>
      <c r="J236" s="50"/>
      <c r="K236" s="135"/>
      <c r="L236" s="191"/>
      <c r="M236" s="51"/>
      <c r="N236" s="51"/>
      <c r="O236" s="119" t="s">
        <v>145</v>
      </c>
      <c r="P236" s="55"/>
      <c r="Q236" s="1"/>
    </row>
    <row r="237" spans="1:17" ht="59.25" customHeight="1">
      <c r="A237" s="21"/>
      <c r="B237" s="49"/>
      <c r="C237" s="174"/>
      <c r="D237" s="37"/>
      <c r="E237" s="52"/>
      <c r="F237" s="52"/>
      <c r="G237" s="43"/>
      <c r="H237" s="52"/>
      <c r="I237" s="62"/>
      <c r="J237" s="50"/>
      <c r="K237" s="135"/>
      <c r="L237" s="191"/>
      <c r="M237" s="51"/>
      <c r="N237" s="51"/>
      <c r="O237" s="119" t="s">
        <v>145</v>
      </c>
      <c r="P237" s="55"/>
      <c r="Q237" s="1"/>
    </row>
    <row r="238" spans="1:17" ht="59.25" customHeight="1">
      <c r="A238" s="21"/>
      <c r="B238" s="49"/>
      <c r="C238" s="174"/>
      <c r="D238" s="37"/>
      <c r="E238" s="52"/>
      <c r="F238" s="52"/>
      <c r="G238" s="43"/>
      <c r="H238" s="52"/>
      <c r="I238" s="62"/>
      <c r="J238" s="50"/>
      <c r="K238" s="135"/>
      <c r="L238" s="191"/>
      <c r="M238" s="51"/>
      <c r="N238" s="51"/>
      <c r="O238" s="119" t="s">
        <v>145</v>
      </c>
      <c r="P238" s="55"/>
      <c r="Q238" s="1"/>
    </row>
    <row r="239" spans="1:17" ht="59.25" customHeight="1">
      <c r="A239" s="21"/>
      <c r="B239" s="49"/>
      <c r="C239" s="174"/>
      <c r="D239" s="37"/>
      <c r="E239" s="52"/>
      <c r="F239" s="52"/>
      <c r="G239" s="43"/>
      <c r="H239" s="52"/>
      <c r="I239" s="62"/>
      <c r="J239" s="50"/>
      <c r="K239" s="135"/>
      <c r="L239" s="191"/>
      <c r="M239" s="51"/>
      <c r="N239" s="51"/>
      <c r="O239" s="119" t="s">
        <v>145</v>
      </c>
      <c r="P239" s="55"/>
      <c r="Q239" s="1"/>
    </row>
    <row r="240" spans="1:17" ht="59.25" customHeight="1">
      <c r="A240" s="21"/>
      <c r="B240" s="49"/>
      <c r="C240" s="174"/>
      <c r="D240" s="37"/>
      <c r="E240" s="52"/>
      <c r="F240" s="52"/>
      <c r="G240" s="43"/>
      <c r="H240" s="52"/>
      <c r="I240" s="62"/>
      <c r="J240" s="50"/>
      <c r="K240" s="135"/>
      <c r="L240" s="191"/>
      <c r="M240" s="51"/>
      <c r="N240" s="51"/>
      <c r="O240" s="119" t="s">
        <v>145</v>
      </c>
      <c r="P240" s="55"/>
      <c r="Q240" s="1"/>
    </row>
    <row r="241" spans="1:17" ht="59.25" customHeight="1">
      <c r="A241" s="21"/>
      <c r="B241" s="49"/>
      <c r="C241" s="174"/>
      <c r="D241" s="37"/>
      <c r="E241" s="52"/>
      <c r="F241" s="52"/>
      <c r="G241" s="43"/>
      <c r="H241" s="52"/>
      <c r="I241" s="62"/>
      <c r="J241" s="50"/>
      <c r="K241" s="135"/>
      <c r="L241" s="191"/>
      <c r="M241" s="51"/>
      <c r="N241" s="51"/>
      <c r="O241" s="119" t="s">
        <v>145</v>
      </c>
      <c r="P241" s="55"/>
      <c r="Q241" s="1"/>
    </row>
    <row r="242" spans="1:17" ht="59.25" customHeight="1">
      <c r="A242" s="21"/>
      <c r="B242" s="49"/>
      <c r="C242" s="174"/>
      <c r="D242" s="37"/>
      <c r="E242" s="52"/>
      <c r="F242" s="52"/>
      <c r="G242" s="43"/>
      <c r="H242" s="52"/>
      <c r="I242" s="62"/>
      <c r="J242" s="50"/>
      <c r="K242" s="135"/>
      <c r="L242" s="191"/>
      <c r="M242" s="51"/>
      <c r="N242" s="51"/>
      <c r="O242" s="119" t="s">
        <v>145</v>
      </c>
      <c r="P242" s="55"/>
      <c r="Q242" s="1"/>
    </row>
    <row r="243" spans="1:17" ht="59.25" customHeight="1">
      <c r="A243" s="21"/>
      <c r="B243" s="49"/>
      <c r="C243" s="174"/>
      <c r="D243" s="37"/>
      <c r="E243" s="52"/>
      <c r="F243" s="52"/>
      <c r="G243" s="43"/>
      <c r="H243" s="52"/>
      <c r="I243" s="62"/>
      <c r="J243" s="50"/>
      <c r="K243" s="135"/>
      <c r="L243" s="191"/>
      <c r="M243" s="51"/>
      <c r="N243" s="51"/>
      <c r="O243" s="119" t="s">
        <v>145</v>
      </c>
      <c r="P243" s="55"/>
      <c r="Q243" s="1"/>
    </row>
    <row r="244" spans="1:17" ht="59.25" customHeight="1">
      <c r="A244" s="21"/>
      <c r="B244" s="49"/>
      <c r="C244" s="174"/>
      <c r="D244" s="37"/>
      <c r="E244" s="52"/>
      <c r="F244" s="52"/>
      <c r="G244" s="43"/>
      <c r="H244" s="52"/>
      <c r="I244" s="62"/>
      <c r="J244" s="50"/>
      <c r="K244" s="135"/>
      <c r="L244" s="191"/>
      <c r="M244" s="51"/>
      <c r="N244" s="51"/>
      <c r="O244" s="119" t="s">
        <v>145</v>
      </c>
      <c r="P244" s="55"/>
      <c r="Q244" s="1"/>
    </row>
    <row r="245" spans="1:17" ht="59.25" customHeight="1">
      <c r="A245" s="21"/>
      <c r="B245" s="49"/>
      <c r="C245" s="174"/>
      <c r="D245" s="37"/>
      <c r="E245" s="52"/>
      <c r="F245" s="52"/>
      <c r="G245" s="43"/>
      <c r="H245" s="52"/>
      <c r="I245" s="62"/>
      <c r="J245" s="50"/>
      <c r="K245" s="135"/>
      <c r="L245" s="191"/>
      <c r="M245" s="51"/>
      <c r="N245" s="51"/>
      <c r="O245" s="119" t="s">
        <v>145</v>
      </c>
      <c r="P245" s="55"/>
      <c r="Q245" s="1"/>
    </row>
    <row r="246" spans="1:17" ht="59.25" customHeight="1">
      <c r="A246" s="21"/>
      <c r="B246" s="49"/>
      <c r="C246" s="174"/>
      <c r="D246" s="37"/>
      <c r="E246" s="52"/>
      <c r="F246" s="52"/>
      <c r="G246" s="43"/>
      <c r="H246" s="52"/>
      <c r="I246" s="62"/>
      <c r="J246" s="50"/>
      <c r="K246" s="135"/>
      <c r="L246" s="191"/>
      <c r="M246" s="51"/>
      <c r="N246" s="51"/>
      <c r="O246" s="119" t="s">
        <v>145</v>
      </c>
      <c r="P246" s="55"/>
      <c r="Q246" s="1"/>
    </row>
    <row r="247" spans="1:17" ht="59.25" customHeight="1">
      <c r="A247" s="21"/>
      <c r="B247" s="49"/>
      <c r="C247" s="174"/>
      <c r="D247" s="37"/>
      <c r="E247" s="52"/>
      <c r="F247" s="52"/>
      <c r="G247" s="43"/>
      <c r="H247" s="52"/>
      <c r="I247" s="62"/>
      <c r="J247" s="50"/>
      <c r="K247" s="135"/>
      <c r="L247" s="191"/>
      <c r="M247" s="51"/>
      <c r="N247" s="51"/>
      <c r="O247" s="119" t="s">
        <v>145</v>
      </c>
      <c r="P247" s="55"/>
      <c r="Q247" s="1"/>
    </row>
    <row r="248" spans="1:17" ht="59.25" customHeight="1">
      <c r="A248" s="21"/>
      <c r="B248" s="49"/>
      <c r="C248" s="174"/>
      <c r="D248" s="37"/>
      <c r="E248" s="52"/>
      <c r="F248" s="52"/>
      <c r="G248" s="43"/>
      <c r="H248" s="52"/>
      <c r="I248" s="62"/>
      <c r="J248" s="50"/>
      <c r="K248" s="135"/>
      <c r="L248" s="191"/>
      <c r="M248" s="51"/>
      <c r="N248" s="51"/>
      <c r="O248" s="119" t="s">
        <v>145</v>
      </c>
      <c r="P248" s="55"/>
      <c r="Q248" s="1"/>
    </row>
    <row r="249" spans="1:17" ht="59.25" customHeight="1">
      <c r="A249" s="21"/>
      <c r="B249" s="49"/>
      <c r="C249" s="174"/>
      <c r="D249" s="37"/>
      <c r="E249" s="52"/>
      <c r="F249" s="52"/>
      <c r="G249" s="43"/>
      <c r="H249" s="52"/>
      <c r="I249" s="62"/>
      <c r="J249" s="50"/>
      <c r="K249" s="135"/>
      <c r="L249" s="191"/>
      <c r="M249" s="51"/>
      <c r="N249" s="51"/>
      <c r="O249" s="119" t="s">
        <v>145</v>
      </c>
      <c r="P249" s="55"/>
      <c r="Q249" s="1"/>
    </row>
    <row r="250" spans="1:17" ht="59.25" customHeight="1">
      <c r="A250" s="21"/>
      <c r="B250" s="49"/>
      <c r="C250" s="174"/>
      <c r="D250" s="37"/>
      <c r="E250" s="52"/>
      <c r="F250" s="52"/>
      <c r="G250" s="43"/>
      <c r="H250" s="52"/>
      <c r="I250" s="62"/>
      <c r="J250" s="50"/>
      <c r="K250" s="135"/>
      <c r="L250" s="191"/>
      <c r="M250" s="51"/>
      <c r="N250" s="51"/>
      <c r="O250" s="119" t="s">
        <v>145</v>
      </c>
      <c r="P250" s="55"/>
      <c r="Q250" s="1"/>
    </row>
    <row r="251" spans="1:17" ht="59.25" customHeight="1">
      <c r="A251" s="21"/>
      <c r="B251" s="49"/>
      <c r="C251" s="174"/>
      <c r="D251" s="37"/>
      <c r="E251" s="52"/>
      <c r="F251" s="52"/>
      <c r="G251" s="43"/>
      <c r="H251" s="52"/>
      <c r="I251" s="62"/>
      <c r="J251" s="50"/>
      <c r="K251" s="135"/>
      <c r="L251" s="191"/>
      <c r="M251" s="51"/>
      <c r="N251" s="51"/>
      <c r="O251" s="119" t="s">
        <v>145</v>
      </c>
      <c r="P251" s="55"/>
      <c r="Q251" s="1"/>
    </row>
    <row r="252" spans="1:17" ht="59.25" customHeight="1">
      <c r="A252" s="21"/>
      <c r="B252" s="49"/>
      <c r="C252" s="174"/>
      <c r="D252" s="37"/>
      <c r="E252" s="52"/>
      <c r="F252" s="52"/>
      <c r="G252" s="43"/>
      <c r="H252" s="52"/>
      <c r="I252" s="62"/>
      <c r="J252" s="50"/>
      <c r="K252" s="135"/>
      <c r="L252" s="191"/>
      <c r="M252" s="51"/>
      <c r="N252" s="51"/>
      <c r="O252" s="119" t="s">
        <v>145</v>
      </c>
      <c r="P252" s="55"/>
      <c r="Q252" s="1"/>
    </row>
    <row r="253" spans="1:17" ht="59.25" customHeight="1">
      <c r="A253" s="21"/>
      <c r="B253" s="49"/>
      <c r="C253" s="174"/>
      <c r="D253" s="37"/>
      <c r="E253" s="52"/>
      <c r="F253" s="52"/>
      <c r="G253" s="43"/>
      <c r="H253" s="52"/>
      <c r="I253" s="62"/>
      <c r="J253" s="50"/>
      <c r="K253" s="135"/>
      <c r="L253" s="191"/>
      <c r="M253" s="51"/>
      <c r="N253" s="51"/>
      <c r="O253" s="119" t="s">
        <v>145</v>
      </c>
      <c r="P253" s="55"/>
      <c r="Q253" s="1"/>
    </row>
    <row r="254" spans="1:17" ht="59.25" customHeight="1">
      <c r="A254" s="21"/>
      <c r="B254" s="49"/>
      <c r="C254" s="174"/>
      <c r="D254" s="37"/>
      <c r="E254" s="52"/>
      <c r="F254" s="52"/>
      <c r="G254" s="43"/>
      <c r="H254" s="52"/>
      <c r="I254" s="62"/>
      <c r="J254" s="50"/>
      <c r="K254" s="135"/>
      <c r="L254" s="191"/>
      <c r="M254" s="51"/>
      <c r="N254" s="51"/>
      <c r="O254" s="119" t="s">
        <v>145</v>
      </c>
      <c r="P254" s="55"/>
      <c r="Q254" s="1"/>
    </row>
    <row r="255" spans="1:17" ht="59.25" customHeight="1">
      <c r="A255" s="21"/>
      <c r="B255" s="49"/>
      <c r="C255" s="174"/>
      <c r="D255" s="32"/>
      <c r="E255" s="32"/>
      <c r="F255" s="52"/>
      <c r="G255" s="43"/>
      <c r="H255" s="52"/>
      <c r="I255" s="52"/>
      <c r="J255" s="50"/>
      <c r="K255" s="135"/>
      <c r="L255" s="191"/>
      <c r="M255" s="30"/>
      <c r="N255" s="51"/>
      <c r="O255" s="119" t="s">
        <v>145</v>
      </c>
      <c r="P255" s="26"/>
      <c r="Q255" s="1"/>
    </row>
    <row r="256" spans="1:17" ht="59.25" customHeight="1">
      <c r="A256" s="21"/>
      <c r="B256" s="49"/>
      <c r="C256" s="174"/>
      <c r="D256" s="32"/>
      <c r="E256" s="32"/>
      <c r="F256" s="52"/>
      <c r="G256" s="43"/>
      <c r="H256" s="52"/>
      <c r="I256" s="52"/>
      <c r="J256" s="50"/>
      <c r="K256" s="135"/>
      <c r="L256" s="191"/>
      <c r="M256" s="51"/>
      <c r="N256" s="51"/>
      <c r="O256" s="119" t="s">
        <v>145</v>
      </c>
      <c r="P256" s="26"/>
      <c r="Q256" s="1"/>
    </row>
    <row r="257" spans="1:17" ht="59.25" customHeight="1">
      <c r="A257" s="21"/>
      <c r="B257" s="49"/>
      <c r="C257" s="174"/>
      <c r="D257" s="32"/>
      <c r="E257" s="32"/>
      <c r="F257" s="52"/>
      <c r="G257" s="43"/>
      <c r="H257" s="52"/>
      <c r="I257" s="52"/>
      <c r="J257" s="50"/>
      <c r="K257" s="135"/>
      <c r="L257" s="191"/>
      <c r="M257" s="51"/>
      <c r="N257" s="51"/>
      <c r="O257" s="119" t="s">
        <v>145</v>
      </c>
      <c r="P257" s="26"/>
      <c r="Q257" s="1"/>
    </row>
    <row r="258" spans="1:17" ht="59.25" customHeight="1">
      <c r="A258" s="21"/>
      <c r="B258" s="12"/>
      <c r="C258" s="174"/>
      <c r="D258" s="37"/>
      <c r="E258" s="31"/>
      <c r="F258" s="31"/>
      <c r="G258" s="43"/>
      <c r="H258" s="31"/>
      <c r="I258" s="27"/>
      <c r="J258" s="44"/>
      <c r="K258" s="135"/>
      <c r="L258" s="191"/>
      <c r="M258" s="30"/>
      <c r="N258" s="51"/>
      <c r="O258" s="119" t="s">
        <v>145</v>
      </c>
      <c r="P258" s="26"/>
      <c r="Q258" s="1"/>
    </row>
    <row r="259" spans="1:17" ht="59.25" customHeight="1">
      <c r="A259" s="21"/>
      <c r="B259" s="12"/>
      <c r="C259" s="174"/>
      <c r="D259" s="32"/>
      <c r="E259" s="31"/>
      <c r="F259" s="31"/>
      <c r="G259" s="43"/>
      <c r="H259" s="31"/>
      <c r="I259" s="27"/>
      <c r="J259" s="44"/>
      <c r="K259" s="135"/>
      <c r="L259" s="191"/>
      <c r="M259" s="30"/>
      <c r="N259" s="51"/>
      <c r="O259" s="119" t="s">
        <v>145</v>
      </c>
      <c r="P259" s="26"/>
      <c r="Q259" s="1"/>
    </row>
    <row r="260" spans="1:17" ht="59.25" customHeight="1">
      <c r="A260" s="21"/>
      <c r="B260" s="12"/>
      <c r="C260" s="174"/>
      <c r="D260" s="32"/>
      <c r="E260" s="31"/>
      <c r="F260" s="31"/>
      <c r="G260" s="43"/>
      <c r="H260" s="31"/>
      <c r="I260" s="27"/>
      <c r="J260" s="44"/>
      <c r="K260" s="135"/>
      <c r="L260" s="191"/>
      <c r="M260" s="30"/>
      <c r="N260" s="51"/>
      <c r="O260" s="119" t="s">
        <v>145</v>
      </c>
      <c r="P260" s="26"/>
      <c r="Q260" s="1"/>
    </row>
    <row r="261" spans="1:17" ht="59.25" customHeight="1">
      <c r="A261" s="21"/>
      <c r="B261" s="12"/>
      <c r="C261" s="174"/>
      <c r="D261" s="32"/>
      <c r="E261" s="31"/>
      <c r="F261" s="31"/>
      <c r="G261" s="43"/>
      <c r="H261" s="31"/>
      <c r="I261" s="27"/>
      <c r="J261" s="44"/>
      <c r="K261" s="135"/>
      <c r="L261" s="191"/>
      <c r="M261" s="30"/>
      <c r="N261" s="51"/>
      <c r="O261" s="119" t="s">
        <v>145</v>
      </c>
      <c r="P261" s="26"/>
      <c r="Q261" s="1"/>
    </row>
    <row r="262" spans="1:17" ht="59.25" customHeight="1">
      <c r="A262" s="21"/>
      <c r="B262" s="12"/>
      <c r="C262" s="174"/>
      <c r="D262" s="32"/>
      <c r="E262" s="31"/>
      <c r="F262" s="31"/>
      <c r="G262" s="43"/>
      <c r="H262" s="31"/>
      <c r="I262" s="27"/>
      <c r="J262" s="44"/>
      <c r="K262" s="135"/>
      <c r="L262" s="191"/>
      <c r="M262" s="30"/>
      <c r="N262" s="51"/>
      <c r="O262" s="119" t="s">
        <v>145</v>
      </c>
      <c r="P262" s="26"/>
      <c r="Q262" s="1"/>
    </row>
    <row r="263" spans="1:17" ht="59.25" customHeight="1">
      <c r="A263" s="21"/>
      <c r="B263" s="12"/>
      <c r="C263" s="174"/>
      <c r="D263" s="32"/>
      <c r="E263" s="32"/>
      <c r="F263" s="31"/>
      <c r="G263" s="43"/>
      <c r="H263" s="31"/>
      <c r="I263" s="31"/>
      <c r="J263" s="28"/>
      <c r="K263" s="135"/>
      <c r="L263" s="191"/>
      <c r="M263" s="30"/>
      <c r="N263" s="51"/>
      <c r="O263" s="119" t="s">
        <v>145</v>
      </c>
      <c r="P263" s="26"/>
      <c r="Q263" s="1"/>
    </row>
    <row r="264" spans="1:17" ht="59.25" customHeight="1">
      <c r="A264" s="21"/>
      <c r="B264" s="12"/>
      <c r="C264" s="174"/>
      <c r="D264" s="32"/>
      <c r="E264" s="32"/>
      <c r="F264" s="31"/>
      <c r="G264" s="43"/>
      <c r="H264" s="31"/>
      <c r="I264" s="31"/>
      <c r="J264" s="44"/>
      <c r="K264" s="135"/>
      <c r="L264" s="191"/>
      <c r="M264" s="30"/>
      <c r="N264" s="51"/>
      <c r="O264" s="119" t="s">
        <v>145</v>
      </c>
      <c r="P264" s="26"/>
      <c r="Q264" s="1"/>
    </row>
    <row r="265" spans="1:17" ht="59.25" customHeight="1">
      <c r="A265" s="21"/>
      <c r="B265" s="12"/>
      <c r="C265" s="174"/>
      <c r="D265" s="32"/>
      <c r="E265" s="32"/>
      <c r="F265" s="31"/>
      <c r="G265" s="43"/>
      <c r="H265" s="31"/>
      <c r="I265" s="31"/>
      <c r="J265" s="44"/>
      <c r="K265" s="135"/>
      <c r="L265" s="191"/>
      <c r="M265" s="30"/>
      <c r="N265" s="51"/>
      <c r="O265" s="119" t="s">
        <v>145</v>
      </c>
      <c r="P265" s="26"/>
      <c r="Q265" s="1"/>
    </row>
    <row r="266" spans="1:17" ht="59.25" customHeight="1">
      <c r="A266" s="21"/>
      <c r="B266" s="12"/>
      <c r="C266" s="174"/>
      <c r="D266" s="32"/>
      <c r="E266" s="32"/>
      <c r="F266" s="31"/>
      <c r="G266" s="43"/>
      <c r="H266" s="31"/>
      <c r="I266" s="31"/>
      <c r="J266" s="44"/>
      <c r="K266" s="135"/>
      <c r="L266" s="191"/>
      <c r="M266" s="30"/>
      <c r="N266" s="51"/>
      <c r="O266" s="119" t="s">
        <v>145</v>
      </c>
      <c r="P266" s="26"/>
      <c r="Q266" s="1"/>
    </row>
    <row r="267" spans="1:17" ht="59.25" customHeight="1">
      <c r="A267" s="21"/>
      <c r="B267" s="12"/>
      <c r="C267" s="174"/>
      <c r="D267" s="37"/>
      <c r="E267" s="31"/>
      <c r="F267" s="31"/>
      <c r="G267" s="31"/>
      <c r="H267" s="31"/>
      <c r="I267" s="23"/>
      <c r="J267" s="28"/>
      <c r="K267" s="135"/>
      <c r="L267" s="191"/>
      <c r="M267" s="30"/>
      <c r="N267" s="51"/>
      <c r="O267" s="119" t="s">
        <v>145</v>
      </c>
      <c r="P267" s="9"/>
      <c r="Q267" s="1"/>
    </row>
    <row r="268" spans="1:17" ht="59.25" customHeight="1">
      <c r="A268" s="21"/>
      <c r="B268" s="12"/>
      <c r="C268" s="174"/>
      <c r="D268" s="37"/>
      <c r="E268" s="31"/>
      <c r="F268" s="31"/>
      <c r="G268" s="31"/>
      <c r="H268" s="31"/>
      <c r="I268" s="23"/>
      <c r="J268" s="44"/>
      <c r="K268" s="135"/>
      <c r="L268" s="191"/>
      <c r="M268" s="30"/>
      <c r="N268" s="51"/>
      <c r="O268" s="119" t="s">
        <v>145</v>
      </c>
      <c r="P268" s="9"/>
      <c r="Q268" s="1"/>
    </row>
    <row r="269" spans="1:17" ht="59.25" customHeight="1">
      <c r="A269" s="21"/>
      <c r="B269" s="12"/>
      <c r="C269" s="174"/>
      <c r="D269" s="37"/>
      <c r="E269" s="31"/>
      <c r="F269" s="31"/>
      <c r="G269" s="31"/>
      <c r="H269" s="31"/>
      <c r="I269" s="23"/>
      <c r="J269" s="44"/>
      <c r="K269" s="135"/>
      <c r="L269" s="191"/>
      <c r="M269" s="30"/>
      <c r="N269" s="51"/>
      <c r="O269" s="119" t="s">
        <v>145</v>
      </c>
      <c r="P269" s="9"/>
      <c r="Q269" s="1"/>
    </row>
    <row r="270" spans="1:17" ht="59.25" customHeight="1">
      <c r="A270" s="21"/>
      <c r="B270" s="12"/>
      <c r="C270" s="174"/>
      <c r="D270" s="37"/>
      <c r="E270" s="31"/>
      <c r="F270" s="31"/>
      <c r="G270" s="31"/>
      <c r="H270" s="31"/>
      <c r="I270" s="23"/>
      <c r="J270" s="44"/>
      <c r="K270" s="135"/>
      <c r="L270" s="191"/>
      <c r="M270" s="30"/>
      <c r="N270" s="51"/>
      <c r="O270" s="119" t="s">
        <v>145</v>
      </c>
      <c r="P270" s="9"/>
      <c r="Q270" s="1"/>
    </row>
    <row r="271" spans="1:17" ht="59.25" customHeight="1">
      <c r="A271" s="21"/>
      <c r="B271" s="12"/>
      <c r="C271" s="174"/>
      <c r="D271" s="37"/>
      <c r="E271" s="31"/>
      <c r="F271" s="31"/>
      <c r="G271" s="31"/>
      <c r="H271" s="31"/>
      <c r="I271" s="23"/>
      <c r="J271" s="44"/>
      <c r="K271" s="135"/>
      <c r="L271" s="191"/>
      <c r="M271" s="30"/>
      <c r="N271" s="51"/>
      <c r="O271" s="119" t="s">
        <v>145</v>
      </c>
      <c r="P271" s="9"/>
      <c r="Q271" s="1"/>
    </row>
    <row r="272" spans="1:17" ht="59.25" customHeight="1">
      <c r="A272" s="21"/>
      <c r="B272" s="12"/>
      <c r="C272" s="174"/>
      <c r="D272" s="37"/>
      <c r="E272" s="31"/>
      <c r="F272" s="31"/>
      <c r="G272" s="31"/>
      <c r="H272" s="31"/>
      <c r="I272" s="23"/>
      <c r="J272" s="44"/>
      <c r="K272" s="135"/>
      <c r="L272" s="191"/>
      <c r="M272" s="30"/>
      <c r="N272" s="51"/>
      <c r="O272" s="119" t="s">
        <v>145</v>
      </c>
      <c r="P272" s="9"/>
      <c r="Q272" s="1"/>
    </row>
    <row r="273" spans="1:17" ht="59.25" customHeight="1">
      <c r="A273" s="21"/>
      <c r="B273" s="12"/>
      <c r="C273" s="174"/>
      <c r="D273" s="37"/>
      <c r="E273" s="31"/>
      <c r="F273" s="31"/>
      <c r="G273" s="31"/>
      <c r="H273" s="31"/>
      <c r="I273" s="23"/>
      <c r="J273" s="28"/>
      <c r="K273" s="135"/>
      <c r="L273" s="191"/>
      <c r="M273" s="30"/>
      <c r="N273" s="51"/>
      <c r="O273" s="119" t="s">
        <v>145</v>
      </c>
      <c r="P273" s="9"/>
      <c r="Q273" s="1"/>
    </row>
    <row r="274" spans="1:17" ht="59.25" customHeight="1">
      <c r="A274" s="21"/>
      <c r="B274" s="12"/>
      <c r="C274" s="174"/>
      <c r="D274" s="37"/>
      <c r="E274" s="31"/>
      <c r="F274" s="31"/>
      <c r="G274" s="31"/>
      <c r="H274" s="31"/>
      <c r="I274" s="23"/>
      <c r="J274" s="44"/>
      <c r="K274" s="135"/>
      <c r="L274" s="191"/>
      <c r="M274" s="30"/>
      <c r="N274" s="51"/>
      <c r="O274" s="119" t="s">
        <v>145</v>
      </c>
      <c r="P274" s="9"/>
      <c r="Q274" s="1"/>
    </row>
    <row r="275" spans="1:17" ht="59.25" customHeight="1">
      <c r="A275" s="21"/>
      <c r="B275" s="12"/>
      <c r="C275" s="174"/>
      <c r="D275" s="37"/>
      <c r="E275" s="31"/>
      <c r="F275" s="31"/>
      <c r="G275" s="31"/>
      <c r="H275" s="31"/>
      <c r="I275" s="23"/>
      <c r="J275" s="44"/>
      <c r="K275" s="135"/>
      <c r="L275" s="191"/>
      <c r="M275" s="30"/>
      <c r="N275" s="51"/>
      <c r="O275" s="119" t="s">
        <v>145</v>
      </c>
      <c r="P275" s="9"/>
      <c r="Q275" s="1"/>
    </row>
    <row r="276" spans="1:17" ht="59.25" customHeight="1">
      <c r="A276" s="21"/>
      <c r="B276" s="12"/>
      <c r="C276" s="174"/>
      <c r="D276" s="37"/>
      <c r="E276" s="31"/>
      <c r="F276" s="31"/>
      <c r="G276" s="31"/>
      <c r="H276" s="31"/>
      <c r="I276" s="27"/>
      <c r="J276" s="28"/>
      <c r="K276" s="135"/>
      <c r="L276" s="191"/>
      <c r="M276" s="30"/>
      <c r="N276" s="51"/>
      <c r="O276" s="119" t="s">
        <v>145</v>
      </c>
      <c r="P276"/>
      <c r="Q276" s="1"/>
    </row>
    <row r="277" spans="1:17" ht="59.25" customHeight="1">
      <c r="A277" s="21"/>
      <c r="B277" s="12"/>
      <c r="C277" s="174"/>
      <c r="D277" s="37"/>
      <c r="E277" s="31"/>
      <c r="F277" s="31"/>
      <c r="G277" s="31"/>
      <c r="H277" s="31"/>
      <c r="I277" s="27"/>
      <c r="J277" s="44"/>
      <c r="K277" s="135"/>
      <c r="L277" s="191"/>
      <c r="M277" s="30"/>
      <c r="N277" s="51"/>
      <c r="O277" s="119" t="s">
        <v>145</v>
      </c>
      <c r="P277" s="26"/>
      <c r="Q277" s="1"/>
    </row>
    <row r="278" spans="1:17" ht="59.25" customHeight="1">
      <c r="A278" s="21"/>
      <c r="B278" s="12"/>
      <c r="C278" s="174"/>
      <c r="D278" s="37"/>
      <c r="E278" s="31"/>
      <c r="F278" s="31"/>
      <c r="G278" s="31"/>
      <c r="H278" s="31"/>
      <c r="I278" s="27"/>
      <c r="J278" s="44"/>
      <c r="K278" s="135"/>
      <c r="L278" s="191"/>
      <c r="M278" s="30"/>
      <c r="N278" s="51"/>
      <c r="O278" s="119" t="s">
        <v>145</v>
      </c>
      <c r="P278" s="26"/>
      <c r="Q278" s="1"/>
    </row>
    <row r="279" spans="1:17" ht="59.25" customHeight="1">
      <c r="A279" s="21"/>
      <c r="B279" s="12"/>
      <c r="C279" s="174"/>
      <c r="D279" s="37"/>
      <c r="E279" s="31"/>
      <c r="F279" s="31"/>
      <c r="G279" s="31"/>
      <c r="H279" s="31"/>
      <c r="I279" s="27"/>
      <c r="J279" s="44"/>
      <c r="K279" s="135"/>
      <c r="L279" s="191"/>
      <c r="M279" s="30"/>
      <c r="N279" s="51"/>
      <c r="O279" s="119" t="s">
        <v>145</v>
      </c>
      <c r="P279" s="26"/>
      <c r="Q279" s="1"/>
    </row>
    <row r="280" spans="1:17" ht="59.25" customHeight="1">
      <c r="A280" s="21"/>
      <c r="B280" s="12"/>
      <c r="C280" s="174"/>
      <c r="D280" s="37"/>
      <c r="E280" s="31"/>
      <c r="F280" s="31"/>
      <c r="G280" s="31"/>
      <c r="H280" s="31"/>
      <c r="I280" s="27"/>
      <c r="J280" s="44"/>
      <c r="K280" s="135"/>
      <c r="L280" s="191"/>
      <c r="M280" s="30"/>
      <c r="N280" s="51"/>
      <c r="O280" s="119" t="s">
        <v>145</v>
      </c>
      <c r="P280" s="26"/>
      <c r="Q280" s="1"/>
    </row>
    <row r="281" spans="1:17" ht="59.25" customHeight="1">
      <c r="A281" s="21"/>
      <c r="B281" s="12"/>
      <c r="C281" s="174"/>
      <c r="D281" s="37"/>
      <c r="E281" s="31"/>
      <c r="F281" s="31"/>
      <c r="G281" s="31"/>
      <c r="H281" s="31"/>
      <c r="I281" s="27"/>
      <c r="J281" s="28"/>
      <c r="K281" s="135"/>
      <c r="L281" s="191"/>
      <c r="M281" s="30"/>
      <c r="N281" s="51"/>
      <c r="O281" s="119" t="s">
        <v>145</v>
      </c>
      <c r="P281"/>
      <c r="Q281" s="1"/>
    </row>
    <row r="282" spans="1:17" ht="59.25" customHeight="1">
      <c r="A282" s="21"/>
      <c r="B282" s="12"/>
      <c r="C282" s="174"/>
      <c r="D282" s="37"/>
      <c r="E282" s="31"/>
      <c r="F282" s="31"/>
      <c r="G282" s="31"/>
      <c r="H282" s="31"/>
      <c r="I282" s="27"/>
      <c r="J282" s="44"/>
      <c r="K282" s="135"/>
      <c r="L282" s="191"/>
      <c r="M282" s="30"/>
      <c r="N282" s="51"/>
      <c r="O282" s="119" t="s">
        <v>145</v>
      </c>
      <c r="P282" s="26"/>
      <c r="Q282" s="1"/>
    </row>
    <row r="283" spans="1:17" ht="59.25" customHeight="1">
      <c r="A283" s="21"/>
      <c r="B283" s="12"/>
      <c r="C283" s="174"/>
      <c r="D283" s="37"/>
      <c r="E283" s="31"/>
      <c r="F283" s="31"/>
      <c r="G283" s="31"/>
      <c r="H283" s="31"/>
      <c r="I283" s="27"/>
      <c r="J283" s="44"/>
      <c r="K283" s="135"/>
      <c r="L283" s="191"/>
      <c r="M283" s="30"/>
      <c r="N283" s="51"/>
      <c r="O283" s="119" t="s">
        <v>145</v>
      </c>
      <c r="P283" s="26"/>
      <c r="Q283" s="1"/>
    </row>
    <row r="284" spans="1:17" ht="59.25" customHeight="1">
      <c r="A284" s="21"/>
      <c r="B284" s="12"/>
      <c r="C284" s="174"/>
      <c r="D284" s="37"/>
      <c r="E284" s="31"/>
      <c r="F284" s="31"/>
      <c r="G284" s="31"/>
      <c r="H284" s="31"/>
      <c r="I284" s="27"/>
      <c r="J284" s="44"/>
      <c r="K284" s="135"/>
      <c r="L284" s="191"/>
      <c r="M284" s="30"/>
      <c r="N284" s="51"/>
      <c r="O284" s="119" t="s">
        <v>145</v>
      </c>
      <c r="P284" s="26"/>
      <c r="Q284" s="1"/>
    </row>
    <row r="285" spans="1:17" ht="59.25" customHeight="1">
      <c r="A285" s="21"/>
      <c r="B285" s="12"/>
      <c r="C285" s="174"/>
      <c r="D285" s="37"/>
      <c r="E285" s="31"/>
      <c r="F285" s="31"/>
      <c r="G285" s="31"/>
      <c r="H285" s="31"/>
      <c r="I285" s="27"/>
      <c r="J285" s="44"/>
      <c r="K285" s="135"/>
      <c r="L285" s="191"/>
      <c r="M285" s="30"/>
      <c r="N285" s="51"/>
      <c r="O285" s="119" t="s">
        <v>145</v>
      </c>
      <c r="P285" s="26"/>
      <c r="Q285" s="1"/>
    </row>
    <row r="286" spans="1:17" ht="59.25" customHeight="1">
      <c r="A286" s="21"/>
      <c r="B286" s="12"/>
      <c r="C286" s="174"/>
      <c r="D286" s="37"/>
      <c r="E286" s="31"/>
      <c r="F286" s="31"/>
      <c r="G286" s="31"/>
      <c r="H286" s="31"/>
      <c r="I286" s="27"/>
      <c r="J286" s="44"/>
      <c r="K286" s="135"/>
      <c r="L286" s="191"/>
      <c r="M286" s="30"/>
      <c r="N286" s="51"/>
      <c r="O286" s="119" t="s">
        <v>145</v>
      </c>
      <c r="P286" s="26"/>
      <c r="Q286" s="1"/>
    </row>
    <row r="287" spans="1:17" ht="59.25" customHeight="1">
      <c r="A287" s="21"/>
      <c r="B287" s="12"/>
      <c r="C287" s="174"/>
      <c r="D287" s="37"/>
      <c r="E287" s="31"/>
      <c r="F287" s="31"/>
      <c r="G287" s="31"/>
      <c r="H287" s="31"/>
      <c r="I287" s="27"/>
      <c r="J287" s="44"/>
      <c r="K287" s="135"/>
      <c r="L287" s="191"/>
      <c r="M287" s="30"/>
      <c r="N287" s="51"/>
      <c r="O287" s="119" t="s">
        <v>145</v>
      </c>
      <c r="P287" s="26"/>
      <c r="Q287" s="1"/>
    </row>
    <row r="288" spans="1:17" ht="59.25" customHeight="1">
      <c r="A288" s="21"/>
      <c r="B288" s="12"/>
      <c r="C288" s="174"/>
      <c r="D288" s="37"/>
      <c r="E288" s="31"/>
      <c r="F288" s="31"/>
      <c r="G288" s="31"/>
      <c r="H288" s="31"/>
      <c r="I288" s="27"/>
      <c r="J288" s="28"/>
      <c r="K288" s="135"/>
      <c r="L288" s="191"/>
      <c r="M288" s="30"/>
      <c r="N288" s="51"/>
      <c r="O288" s="119" t="s">
        <v>145</v>
      </c>
      <c r="P288"/>
      <c r="Q288" s="1"/>
    </row>
    <row r="289" spans="1:17" ht="59.25" customHeight="1">
      <c r="A289" s="21"/>
      <c r="B289" s="12"/>
      <c r="C289" s="174"/>
      <c r="D289" s="37"/>
      <c r="E289" s="31"/>
      <c r="F289" s="31"/>
      <c r="G289" s="31"/>
      <c r="H289" s="31"/>
      <c r="I289" s="27"/>
      <c r="J289" s="44"/>
      <c r="K289" s="135"/>
      <c r="L289" s="191"/>
      <c r="M289" s="30"/>
      <c r="N289" s="51"/>
      <c r="O289" s="119" t="s">
        <v>145</v>
      </c>
      <c r="P289" s="26"/>
      <c r="Q289" s="1"/>
    </row>
    <row r="290" spans="1:17" ht="59.25" customHeight="1">
      <c r="A290" s="21"/>
      <c r="B290" s="12"/>
      <c r="C290" s="174"/>
      <c r="D290" s="37"/>
      <c r="E290" s="31"/>
      <c r="F290" s="31"/>
      <c r="G290" s="31"/>
      <c r="H290" s="31"/>
      <c r="I290" s="27"/>
      <c r="J290" s="44"/>
      <c r="K290" s="135"/>
      <c r="L290" s="191"/>
      <c r="M290" s="30"/>
      <c r="N290" s="51"/>
      <c r="O290" s="119" t="s">
        <v>145</v>
      </c>
      <c r="P290" s="26"/>
      <c r="Q290" s="1"/>
    </row>
    <row r="291" spans="1:17" ht="59.25" customHeight="1">
      <c r="A291" s="21"/>
      <c r="B291" s="12"/>
      <c r="C291" s="174"/>
      <c r="D291" s="37"/>
      <c r="E291" s="31"/>
      <c r="F291" s="31"/>
      <c r="G291" s="31"/>
      <c r="H291" s="31"/>
      <c r="I291" s="27"/>
      <c r="J291" s="44"/>
      <c r="K291" s="135"/>
      <c r="L291" s="191"/>
      <c r="M291" s="30"/>
      <c r="N291" s="51"/>
      <c r="O291" s="119" t="s">
        <v>145</v>
      </c>
      <c r="P291" s="26"/>
      <c r="Q291" s="1"/>
    </row>
    <row r="292" spans="1:17" ht="59.25" customHeight="1">
      <c r="A292" s="21"/>
      <c r="B292" s="12"/>
      <c r="C292" s="174"/>
      <c r="D292" s="37"/>
      <c r="E292" s="31"/>
      <c r="F292" s="31"/>
      <c r="G292" s="31"/>
      <c r="H292" s="31"/>
      <c r="I292" s="27"/>
      <c r="J292" s="28"/>
      <c r="K292" s="135"/>
      <c r="L292" s="191"/>
      <c r="M292" s="30"/>
      <c r="N292" s="51"/>
      <c r="O292" s="119" t="s">
        <v>145</v>
      </c>
      <c r="P292"/>
      <c r="Q292" s="1"/>
    </row>
    <row r="293" spans="1:17" ht="59.25" customHeight="1">
      <c r="A293" s="21"/>
      <c r="B293" s="12"/>
      <c r="C293" s="174"/>
      <c r="D293" s="37"/>
      <c r="E293" s="31"/>
      <c r="F293" s="31"/>
      <c r="G293" s="31"/>
      <c r="H293" s="31"/>
      <c r="I293" s="27"/>
      <c r="J293" s="44"/>
      <c r="K293" s="135"/>
      <c r="L293" s="191"/>
      <c r="M293" s="30"/>
      <c r="N293" s="51"/>
      <c r="O293" s="119" t="s">
        <v>145</v>
      </c>
      <c r="P293" s="26"/>
      <c r="Q293" s="1"/>
    </row>
    <row r="294" spans="1:17" ht="59.25" customHeight="1">
      <c r="A294" s="21"/>
      <c r="B294" s="12"/>
      <c r="C294" s="174"/>
      <c r="D294" s="37"/>
      <c r="E294" s="31"/>
      <c r="F294" s="31"/>
      <c r="G294" s="31"/>
      <c r="H294" s="31"/>
      <c r="I294" s="27"/>
      <c r="J294" s="44"/>
      <c r="K294" s="135"/>
      <c r="L294" s="191"/>
      <c r="M294" s="30"/>
      <c r="N294" s="51"/>
      <c r="O294" s="119" t="s">
        <v>145</v>
      </c>
      <c r="P294" s="26"/>
      <c r="Q294" s="1"/>
    </row>
    <row r="295" spans="1:17" ht="59.25" customHeight="1">
      <c r="A295" s="21"/>
      <c r="B295" s="12"/>
      <c r="C295" s="174"/>
      <c r="D295" s="37"/>
      <c r="E295" s="31"/>
      <c r="F295" s="31"/>
      <c r="G295" s="31"/>
      <c r="H295" s="31"/>
      <c r="I295" s="27"/>
      <c r="J295" s="44"/>
      <c r="K295" s="135"/>
      <c r="L295" s="191"/>
      <c r="M295" s="30"/>
      <c r="N295" s="51"/>
      <c r="O295" s="119" t="s">
        <v>145</v>
      </c>
      <c r="P295" s="26"/>
      <c r="Q295" s="1"/>
    </row>
    <row r="296" spans="1:17" ht="59.25" customHeight="1">
      <c r="A296" s="21"/>
      <c r="B296" s="12"/>
      <c r="C296" s="174"/>
      <c r="D296" s="37"/>
      <c r="E296" s="31"/>
      <c r="F296" s="31"/>
      <c r="G296" s="31"/>
      <c r="H296" s="31"/>
      <c r="I296" s="27"/>
      <c r="J296" s="28"/>
      <c r="K296" s="135"/>
      <c r="L296" s="191"/>
      <c r="M296" s="30"/>
      <c r="N296" s="51"/>
      <c r="O296" s="119" t="s">
        <v>145</v>
      </c>
      <c r="P296"/>
      <c r="Q296" s="1"/>
    </row>
    <row r="297" spans="1:17" ht="59.25" customHeight="1">
      <c r="A297" s="21"/>
      <c r="B297" s="12"/>
      <c r="C297" s="174"/>
      <c r="D297" s="37"/>
      <c r="E297" s="31"/>
      <c r="F297" s="31"/>
      <c r="G297" s="31"/>
      <c r="H297" s="31"/>
      <c r="I297" s="27"/>
      <c r="J297" s="44"/>
      <c r="K297" s="135"/>
      <c r="L297" s="191"/>
      <c r="M297" s="30"/>
      <c r="N297" s="51"/>
      <c r="O297" s="119" t="s">
        <v>145</v>
      </c>
      <c r="P297" s="26"/>
      <c r="Q297" s="1"/>
    </row>
    <row r="298" spans="1:17" ht="59.25" customHeight="1">
      <c r="A298" s="21"/>
      <c r="B298" s="12"/>
      <c r="C298" s="174"/>
      <c r="D298" s="37"/>
      <c r="E298" s="31"/>
      <c r="F298" s="31"/>
      <c r="G298" s="31"/>
      <c r="H298" s="31"/>
      <c r="I298" s="27"/>
      <c r="J298" s="44"/>
      <c r="K298" s="135"/>
      <c r="L298" s="191"/>
      <c r="M298" s="30"/>
      <c r="N298" s="51"/>
      <c r="O298" s="119" t="s">
        <v>145</v>
      </c>
      <c r="P298" s="26"/>
      <c r="Q298" s="1"/>
    </row>
    <row r="299" spans="1:17" ht="59.25" customHeight="1">
      <c r="A299" s="21"/>
      <c r="B299" s="12"/>
      <c r="C299" s="174"/>
      <c r="D299" s="37"/>
      <c r="E299" s="31"/>
      <c r="F299" s="31"/>
      <c r="G299" s="31"/>
      <c r="H299" s="31"/>
      <c r="I299" s="27"/>
      <c r="J299" s="28"/>
      <c r="K299" s="135"/>
      <c r="L299" s="191"/>
      <c r="M299" s="30"/>
      <c r="N299" s="51"/>
      <c r="O299" s="119" t="s">
        <v>145</v>
      </c>
      <c r="P299"/>
      <c r="Q299" s="1"/>
    </row>
    <row r="300" spans="1:17" ht="59.25" customHeight="1">
      <c r="A300" s="21"/>
      <c r="B300" s="12"/>
      <c r="C300" s="174"/>
      <c r="D300" s="37"/>
      <c r="E300" s="31"/>
      <c r="F300" s="31"/>
      <c r="G300" s="31"/>
      <c r="H300" s="31"/>
      <c r="I300" s="27"/>
      <c r="J300" s="44"/>
      <c r="K300" s="135"/>
      <c r="L300" s="191"/>
      <c r="M300" s="30"/>
      <c r="N300" s="51"/>
      <c r="O300" s="119" t="s">
        <v>145</v>
      </c>
      <c r="P300" s="26"/>
      <c r="Q300" s="1"/>
    </row>
    <row r="301" spans="1:17" ht="59.25" customHeight="1">
      <c r="A301" s="21"/>
      <c r="B301" s="12"/>
      <c r="C301" s="174"/>
      <c r="D301" s="37"/>
      <c r="E301" s="31"/>
      <c r="F301" s="31"/>
      <c r="G301" s="31"/>
      <c r="H301" s="31"/>
      <c r="I301" s="23"/>
      <c r="J301" s="44"/>
      <c r="K301" s="135"/>
      <c r="L301" s="191"/>
      <c r="M301" s="24"/>
      <c r="N301" s="24"/>
      <c r="O301" s="119" t="s">
        <v>145</v>
      </c>
      <c r="P301" s="9"/>
      <c r="Q301" s="1"/>
    </row>
    <row r="302" spans="1:17" ht="59.25" customHeight="1">
      <c r="A302" s="21"/>
      <c r="B302" s="12"/>
      <c r="C302" s="174"/>
      <c r="D302" s="37"/>
      <c r="E302" s="31"/>
      <c r="F302" s="31"/>
      <c r="G302" s="31"/>
      <c r="H302" s="31"/>
      <c r="I302" s="23"/>
      <c r="J302" s="44"/>
      <c r="K302" s="135"/>
      <c r="L302" s="191"/>
      <c r="M302" s="24"/>
      <c r="N302" s="24"/>
      <c r="O302" s="119" t="s">
        <v>145</v>
      </c>
      <c r="P302" s="9"/>
      <c r="Q302" s="1"/>
    </row>
    <row r="303" spans="1:17" ht="59.25" customHeight="1">
      <c r="A303" s="21"/>
      <c r="B303" s="12"/>
      <c r="C303" s="174"/>
      <c r="D303" s="37"/>
      <c r="E303" s="31"/>
      <c r="F303" s="31"/>
      <c r="G303" s="31"/>
      <c r="H303" s="31"/>
      <c r="I303" s="23"/>
      <c r="J303" s="28"/>
      <c r="K303" s="135"/>
      <c r="L303" s="191"/>
      <c r="M303" s="24"/>
      <c r="N303" s="24"/>
      <c r="O303" s="119" t="s">
        <v>145</v>
      </c>
      <c r="P303" s="9"/>
      <c r="Q303" s="1"/>
    </row>
    <row r="304" spans="1:17" ht="59.25" customHeight="1">
      <c r="A304" s="21"/>
      <c r="B304" s="12"/>
      <c r="C304" s="174"/>
      <c r="D304" s="37"/>
      <c r="E304" s="31"/>
      <c r="F304" s="31"/>
      <c r="G304" s="31"/>
      <c r="H304" s="31"/>
      <c r="I304" s="23"/>
      <c r="J304" s="44"/>
      <c r="K304" s="135"/>
      <c r="L304" s="191"/>
      <c r="M304" s="24"/>
      <c r="N304" s="24"/>
      <c r="O304" s="119" t="s">
        <v>145</v>
      </c>
      <c r="P304" s="9"/>
      <c r="Q304" s="1"/>
    </row>
    <row r="305" spans="1:17" ht="59.25" customHeight="1">
      <c r="A305" s="21"/>
      <c r="B305" s="12"/>
      <c r="C305" s="174"/>
      <c r="D305" s="37"/>
      <c r="E305" s="31"/>
      <c r="F305" s="31"/>
      <c r="G305" s="31"/>
      <c r="H305" s="31"/>
      <c r="I305" s="23"/>
      <c r="J305" s="28"/>
      <c r="K305" s="135"/>
      <c r="L305" s="191"/>
      <c r="M305" s="24"/>
      <c r="N305" s="24"/>
      <c r="O305" s="119" t="s">
        <v>145</v>
      </c>
      <c r="P305" s="9"/>
      <c r="Q305" s="1"/>
    </row>
    <row r="306" spans="1:17" ht="59.25" customHeight="1">
      <c r="A306" s="21"/>
      <c r="B306" s="12"/>
      <c r="C306" s="174"/>
      <c r="D306" s="37"/>
      <c r="E306" s="31"/>
      <c r="F306" s="31"/>
      <c r="G306" s="31"/>
      <c r="H306" s="31"/>
      <c r="I306" s="23"/>
      <c r="J306" s="44"/>
      <c r="K306" s="135"/>
      <c r="L306" s="191"/>
      <c r="M306" s="24"/>
      <c r="N306" s="24"/>
      <c r="O306" s="119" t="s">
        <v>145</v>
      </c>
      <c r="P306" s="9"/>
      <c r="Q306" s="1"/>
    </row>
    <row r="307" spans="1:17" ht="59.25" customHeight="1">
      <c r="A307" s="21"/>
      <c r="B307" s="12"/>
      <c r="C307" s="174"/>
      <c r="D307" s="37"/>
      <c r="E307" s="31"/>
      <c r="F307" s="31"/>
      <c r="G307" s="31"/>
      <c r="H307" s="31"/>
      <c r="I307" s="23"/>
      <c r="J307" s="28"/>
      <c r="K307" s="135"/>
      <c r="L307" s="191"/>
      <c r="M307" s="24"/>
      <c r="N307" s="24"/>
      <c r="O307" s="119" t="s">
        <v>145</v>
      </c>
      <c r="P307" s="9"/>
      <c r="Q307" s="1"/>
    </row>
    <row r="308" spans="1:17" ht="59.25" customHeight="1">
      <c r="A308" s="21"/>
      <c r="B308" s="12"/>
      <c r="C308" s="174"/>
      <c r="D308" s="37"/>
      <c r="E308" s="31"/>
      <c r="F308" s="31"/>
      <c r="G308" s="31"/>
      <c r="H308" s="31"/>
      <c r="I308" s="27"/>
      <c r="J308" s="28"/>
      <c r="K308" s="135"/>
      <c r="L308" s="191"/>
      <c r="M308" s="24"/>
      <c r="N308" s="24"/>
      <c r="O308" s="119" t="s">
        <v>145</v>
      </c>
      <c r="P308"/>
      <c r="Q308" s="1"/>
    </row>
    <row r="309" spans="1:17" ht="59.25" customHeight="1">
      <c r="A309" s="21"/>
      <c r="B309" s="12"/>
      <c r="C309" s="174"/>
      <c r="D309" s="37"/>
      <c r="E309" s="31"/>
      <c r="F309" s="31"/>
      <c r="G309" s="31"/>
      <c r="H309" s="31"/>
      <c r="I309" s="27"/>
      <c r="J309" s="28"/>
      <c r="K309" s="135"/>
      <c r="L309" s="191"/>
      <c r="M309" s="24"/>
      <c r="N309" s="24"/>
      <c r="O309" s="119" t="s">
        <v>145</v>
      </c>
      <c r="P309"/>
      <c r="Q309" s="1"/>
    </row>
    <row r="310" spans="1:17" ht="59.25" customHeight="1">
      <c r="A310" s="21"/>
      <c r="B310" s="12"/>
      <c r="C310" s="174"/>
      <c r="D310" s="37"/>
      <c r="E310" s="31"/>
      <c r="F310" s="31"/>
      <c r="G310" s="31"/>
      <c r="H310" s="31"/>
      <c r="I310" s="27"/>
      <c r="J310" s="28"/>
      <c r="K310" s="135"/>
      <c r="L310" s="191"/>
      <c r="M310" s="24"/>
      <c r="N310" s="24"/>
      <c r="O310" s="119" t="s">
        <v>145</v>
      </c>
      <c r="P310"/>
      <c r="Q310" s="1"/>
    </row>
    <row r="311" spans="1:17" ht="48" customHeight="1">
      <c r="A311" s="21"/>
      <c r="B311" s="12"/>
      <c r="C311" s="174"/>
      <c r="D311" s="37"/>
      <c r="E311" s="8"/>
      <c r="F311" s="31"/>
      <c r="G311" s="31"/>
      <c r="H311" s="31"/>
      <c r="I311" s="27"/>
      <c r="J311" s="28"/>
      <c r="K311" s="135"/>
      <c r="L311" s="191"/>
      <c r="M311" s="24"/>
      <c r="N311" s="24"/>
      <c r="O311" s="119" t="s">
        <v>145</v>
      </c>
      <c r="P311"/>
      <c r="Q311" s="1"/>
    </row>
    <row r="312" spans="1:17" ht="42.75" customHeight="1">
      <c r="A312" s="21"/>
      <c r="B312" s="12"/>
      <c r="C312" s="174"/>
      <c r="D312" s="37"/>
      <c r="E312" s="19"/>
      <c r="F312" s="40"/>
      <c r="G312" s="31"/>
      <c r="H312" s="31"/>
      <c r="I312" s="27"/>
      <c r="J312" s="28"/>
      <c r="K312" s="135"/>
      <c r="L312" s="191"/>
      <c r="M312" s="24"/>
      <c r="N312" s="24"/>
      <c r="O312" s="119" t="s">
        <v>145</v>
      </c>
      <c r="P312"/>
      <c r="Q312" s="1"/>
    </row>
    <row r="313" spans="1:17" ht="42.75" customHeight="1">
      <c r="A313" s="21"/>
      <c r="B313" s="12"/>
      <c r="C313" s="174"/>
      <c r="D313" s="37"/>
      <c r="E313" s="42"/>
      <c r="F313" s="40"/>
      <c r="G313" s="31"/>
      <c r="H313" s="31"/>
      <c r="I313" s="27"/>
      <c r="J313" s="28"/>
      <c r="K313" s="135"/>
      <c r="L313" s="191"/>
      <c r="M313" s="24"/>
      <c r="N313" s="24"/>
      <c r="O313" s="119" t="s">
        <v>145</v>
      </c>
      <c r="P313"/>
      <c r="Q313" s="1"/>
    </row>
    <row r="314" spans="1:17" ht="42.75" customHeight="1">
      <c r="A314"/>
      <c r="B314" s="12"/>
      <c r="C314" s="174"/>
      <c r="D314" s="37"/>
      <c r="E314" s="19"/>
      <c r="F314" s="40"/>
      <c r="G314" s="31"/>
      <c r="H314" s="31"/>
      <c r="I314" s="29"/>
      <c r="J314" s="28"/>
      <c r="K314" s="135"/>
      <c r="L314" s="191"/>
      <c r="M314" s="24"/>
      <c r="N314" s="24"/>
      <c r="O314" s="119" t="s">
        <v>145</v>
      </c>
      <c r="P314"/>
      <c r="Q314" s="1"/>
    </row>
    <row r="315" spans="1:17" ht="42.75" customHeight="1">
      <c r="A315"/>
      <c r="B315" s="12"/>
      <c r="C315" s="174"/>
      <c r="D315" s="37"/>
      <c r="E315" s="29"/>
      <c r="F315" s="35"/>
      <c r="G315" s="28"/>
      <c r="H315" s="29"/>
      <c r="I315" s="29"/>
      <c r="J315" s="28"/>
      <c r="K315" s="135"/>
      <c r="L315" s="191"/>
      <c r="M315" s="24"/>
      <c r="N315" s="24"/>
      <c r="O315" s="119" t="s">
        <v>145</v>
      </c>
      <c r="P315"/>
      <c r="Q315" s="1"/>
    </row>
    <row r="316" spans="1:17" ht="42.75" customHeight="1">
      <c r="A316"/>
      <c r="B316" s="12"/>
      <c r="C316" s="174"/>
      <c r="D316" s="37"/>
      <c r="E316" s="29"/>
      <c r="F316" s="35"/>
      <c r="G316" s="28"/>
      <c r="H316" s="29"/>
      <c r="I316" s="29"/>
      <c r="J316" s="28"/>
      <c r="K316" s="135"/>
      <c r="L316" s="191"/>
      <c r="M316" s="24"/>
      <c r="N316" s="24"/>
      <c r="O316" s="119" t="s">
        <v>145</v>
      </c>
      <c r="P316"/>
      <c r="Q316" s="1"/>
    </row>
    <row r="317" spans="1:17" ht="42.75" customHeight="1">
      <c r="A317"/>
      <c r="B317" s="12"/>
      <c r="C317" s="174"/>
      <c r="D317" s="37"/>
      <c r="E317" s="29"/>
      <c r="F317" s="35"/>
      <c r="G317" s="28"/>
      <c r="H317" s="29"/>
      <c r="I317" s="29"/>
      <c r="J317" s="28"/>
      <c r="K317" s="135"/>
      <c r="L317" s="191"/>
      <c r="M317" s="24"/>
      <c r="N317" s="24"/>
      <c r="O317" s="119" t="s">
        <v>145</v>
      </c>
      <c r="P317"/>
      <c r="Q317" s="1"/>
    </row>
    <row r="318" spans="1:17" ht="42.75" customHeight="1">
      <c r="A318"/>
      <c r="B318" s="12"/>
      <c r="C318" s="174"/>
      <c r="D318" s="37"/>
      <c r="E318" s="29"/>
      <c r="F318" s="35"/>
      <c r="G318" s="28"/>
      <c r="H318" s="29"/>
      <c r="I318" s="29"/>
      <c r="J318" s="28"/>
      <c r="K318" s="135"/>
      <c r="L318" s="191"/>
      <c r="M318" s="24"/>
      <c r="N318" s="24"/>
      <c r="O318" s="119" t="s">
        <v>145</v>
      </c>
      <c r="P318"/>
      <c r="Q318" s="1"/>
    </row>
    <row r="319" spans="1:17" ht="42.75" customHeight="1">
      <c r="A319"/>
      <c r="B319" s="12"/>
      <c r="C319" s="174"/>
      <c r="D319" s="37"/>
      <c r="E319" s="25"/>
      <c r="F319" s="41"/>
      <c r="G319" s="28"/>
      <c r="H319" s="29"/>
      <c r="I319" s="29"/>
      <c r="J319" s="28"/>
      <c r="K319" s="148"/>
      <c r="L319" s="192"/>
      <c r="M319" s="14"/>
      <c r="N319" s="147"/>
      <c r="O319" s="119" t="s">
        <v>145</v>
      </c>
      <c r="P319"/>
      <c r="Q319" s="1"/>
    </row>
    <row r="320" spans="1:17" ht="95.25" customHeight="1">
      <c r="A320"/>
      <c r="B320" s="12"/>
      <c r="C320" s="175"/>
      <c r="D320" s="36"/>
      <c r="E320" s="25"/>
      <c r="F320" s="41"/>
      <c r="G320" s="28"/>
      <c r="H320" s="29"/>
      <c r="I320" s="29"/>
      <c r="J320" s="28"/>
      <c r="K320" s="148"/>
      <c r="L320" s="192"/>
      <c r="M320" s="14"/>
      <c r="N320" s="147"/>
      <c r="O320" s="119" t="s">
        <v>145</v>
      </c>
      <c r="P320"/>
      <c r="Q320" s="1"/>
    </row>
    <row r="321" spans="1:17" ht="53.25" customHeight="1">
      <c r="A321"/>
      <c r="B321" s="12"/>
      <c r="C321" s="175"/>
      <c r="D321" s="38"/>
      <c r="E321" s="29"/>
      <c r="F321" s="41"/>
      <c r="G321" s="28"/>
      <c r="H321" s="29"/>
      <c r="I321" s="29"/>
      <c r="J321" s="28"/>
      <c r="K321" s="148"/>
      <c r="L321" s="192"/>
      <c r="M321" s="14"/>
      <c r="N321" s="147"/>
      <c r="O321" s="119" t="s">
        <v>145</v>
      </c>
      <c r="P321"/>
      <c r="Q321" s="1"/>
    </row>
    <row r="322" spans="1:17" ht="42.75" customHeight="1">
      <c r="A322"/>
      <c r="B322" s="12"/>
      <c r="C322" s="175"/>
      <c r="D322" s="38"/>
      <c r="E322" s="29"/>
      <c r="F322" s="41"/>
      <c r="G322" s="28"/>
      <c r="H322" s="29"/>
      <c r="I322" s="29"/>
      <c r="J322" s="28"/>
      <c r="K322" s="148"/>
      <c r="L322" s="192"/>
      <c r="M322" s="14"/>
      <c r="N322" s="147"/>
      <c r="O322" s="119" t="s">
        <v>145</v>
      </c>
      <c r="P322"/>
      <c r="Q322" s="1"/>
    </row>
    <row r="323" spans="1:17" ht="59.25" customHeight="1">
      <c r="A323"/>
      <c r="B323" s="12"/>
      <c r="C323" s="175"/>
      <c r="D323" s="38"/>
      <c r="E323" s="29"/>
      <c r="F323" s="41"/>
      <c r="G323" s="28"/>
      <c r="H323" s="29"/>
      <c r="I323" s="29"/>
      <c r="J323" s="28"/>
      <c r="K323" s="148"/>
      <c r="L323" s="192"/>
      <c r="M323" s="14"/>
      <c r="N323" s="147"/>
      <c r="O323" s="119" t="s">
        <v>145</v>
      </c>
      <c r="P323"/>
      <c r="Q323" s="1"/>
    </row>
    <row r="324" spans="1:17" ht="42.75" customHeight="1">
      <c r="A324"/>
      <c r="B324" s="12"/>
      <c r="C324" s="175"/>
      <c r="D324" s="38"/>
      <c r="E324" s="29"/>
      <c r="F324" s="41"/>
      <c r="G324" s="28"/>
      <c r="H324" s="29"/>
      <c r="I324" s="29"/>
      <c r="J324" s="28"/>
      <c r="K324" s="148"/>
      <c r="L324" s="192"/>
      <c r="M324" s="14"/>
      <c r="N324" s="147"/>
      <c r="O324" s="119" t="s">
        <v>145</v>
      </c>
      <c r="P324"/>
      <c r="Q324" s="1"/>
    </row>
    <row r="325" spans="1:17" ht="42.75" customHeight="1">
      <c r="A325"/>
      <c r="B325" s="12"/>
      <c r="C325" s="175"/>
      <c r="D325" s="38"/>
      <c r="E325" s="29"/>
      <c r="F325" s="41"/>
      <c r="G325" s="28"/>
      <c r="H325" s="29"/>
      <c r="I325" s="29"/>
      <c r="J325" s="28"/>
      <c r="K325" s="148"/>
      <c r="L325" s="192"/>
      <c r="M325" s="14"/>
      <c r="N325" s="147"/>
      <c r="O325" s="119" t="s">
        <v>145</v>
      </c>
      <c r="P325"/>
      <c r="Q325" s="1"/>
    </row>
    <row r="326" spans="1:17" ht="57.75" customHeight="1">
      <c r="A326"/>
      <c r="B326" s="12"/>
      <c r="C326" s="175"/>
      <c r="D326" s="38"/>
      <c r="E326" s="29"/>
      <c r="F326" s="41"/>
      <c r="G326" s="28"/>
      <c r="H326" s="29"/>
      <c r="I326" s="29"/>
      <c r="J326" s="28"/>
      <c r="K326" s="148"/>
      <c r="L326" s="192"/>
      <c r="M326" s="14"/>
      <c r="N326" s="147"/>
      <c r="O326" s="119" t="s">
        <v>145</v>
      </c>
      <c r="P326"/>
      <c r="Q326" s="1"/>
    </row>
    <row r="327" spans="1:17" ht="50.25" customHeight="1">
      <c r="A327"/>
      <c r="B327" s="12"/>
      <c r="C327" s="175"/>
      <c r="D327" s="38"/>
      <c r="E327" s="29"/>
      <c r="F327" s="41"/>
      <c r="G327" s="28"/>
      <c r="H327" s="29"/>
      <c r="I327" s="29"/>
      <c r="J327" s="28"/>
      <c r="K327" s="148"/>
      <c r="L327" s="192"/>
      <c r="M327" s="14"/>
      <c r="N327" s="147"/>
      <c r="O327" s="119" t="s">
        <v>145</v>
      </c>
      <c r="P327"/>
      <c r="Q327" s="1"/>
    </row>
    <row r="328" spans="1:17" ht="42.75" customHeight="1">
      <c r="A328"/>
      <c r="B328" s="12"/>
      <c r="C328" s="175"/>
      <c r="D328" s="38"/>
      <c r="E328" s="29"/>
      <c r="F328" s="41"/>
      <c r="G328" s="28"/>
      <c r="H328" s="29"/>
      <c r="I328" s="29"/>
      <c r="J328" s="28"/>
      <c r="K328" s="148"/>
      <c r="L328" s="192"/>
      <c r="M328" s="14"/>
      <c r="N328" s="147"/>
      <c r="O328" s="119" t="s">
        <v>145</v>
      </c>
      <c r="P328"/>
      <c r="Q328" s="1"/>
    </row>
    <row r="329" spans="1:17" ht="63.75" customHeight="1">
      <c r="A329"/>
      <c r="B329" s="12"/>
      <c r="C329" s="175"/>
      <c r="D329" s="39"/>
      <c r="E329" s="19"/>
      <c r="F329" s="41"/>
      <c r="G329" s="13"/>
      <c r="H329" s="13"/>
      <c r="I329" s="20"/>
      <c r="J329" s="28"/>
      <c r="K329" s="148"/>
      <c r="L329" s="192"/>
      <c r="M329" s="14"/>
      <c r="N329" s="147"/>
      <c r="O329" s="119" t="s">
        <v>145</v>
      </c>
      <c r="P329"/>
      <c r="Q329" s="1"/>
    </row>
    <row r="330" spans="1:17" ht="42.75" customHeight="1">
      <c r="A330"/>
      <c r="B330" s="12"/>
      <c r="C330" s="175"/>
      <c r="D330" s="39"/>
      <c r="E330" s="19"/>
      <c r="F330" s="41"/>
      <c r="G330" s="13"/>
      <c r="H330" s="13"/>
      <c r="I330" s="20"/>
      <c r="J330" s="28"/>
      <c r="K330" s="148"/>
      <c r="L330" s="192"/>
      <c r="M330" s="14"/>
      <c r="N330" s="147"/>
      <c r="O330" s="119" t="s">
        <v>145</v>
      </c>
      <c r="P330"/>
      <c r="Q330" s="1"/>
    </row>
    <row r="331" spans="1:17" ht="42.75" customHeight="1">
      <c r="A331"/>
      <c r="B331" s="12"/>
      <c r="C331" s="175"/>
      <c r="D331" s="39"/>
      <c r="E331" s="19"/>
      <c r="F331" s="41"/>
      <c r="G331" s="13"/>
      <c r="H331" s="13"/>
      <c r="I331" s="20"/>
      <c r="J331" s="28"/>
      <c r="K331" s="148"/>
      <c r="L331" s="192"/>
      <c r="M331" s="14"/>
      <c r="N331" s="147"/>
      <c r="O331" s="119" t="s">
        <v>145</v>
      </c>
      <c r="P331"/>
      <c r="Q331" s="1"/>
    </row>
    <row r="332" spans="1:17" ht="59.25" customHeight="1">
      <c r="A332"/>
      <c r="B332" s="12"/>
      <c r="C332" s="175"/>
      <c r="D332" s="39"/>
      <c r="E332" s="19"/>
      <c r="F332" s="41"/>
      <c r="G332" s="13"/>
      <c r="H332" s="13"/>
      <c r="I332" s="20"/>
      <c r="J332" s="28"/>
      <c r="K332" s="148"/>
      <c r="L332" s="192"/>
      <c r="M332" s="14"/>
      <c r="N332" s="147"/>
      <c r="O332" s="119" t="s">
        <v>145</v>
      </c>
      <c r="P332"/>
      <c r="Q332" s="1"/>
    </row>
    <row r="333" spans="1:17" ht="50.25" customHeight="1">
      <c r="A333"/>
      <c r="B333" s="12"/>
      <c r="C333" s="175"/>
      <c r="D333" s="38"/>
      <c r="E333" s="29"/>
      <c r="F333" s="41"/>
      <c r="G333" s="28"/>
      <c r="H333" s="29"/>
      <c r="I333" s="29"/>
      <c r="J333" s="28"/>
      <c r="K333" s="148"/>
      <c r="L333" s="192"/>
      <c r="M333" s="14"/>
      <c r="N333" s="147"/>
      <c r="O333" s="119" t="s">
        <v>145</v>
      </c>
      <c r="P333"/>
      <c r="Q333" s="1"/>
    </row>
    <row r="334" spans="1:17" ht="50.25" customHeight="1">
      <c r="A334"/>
      <c r="B334" s="12"/>
      <c r="C334" s="175"/>
      <c r="D334" s="38"/>
      <c r="E334" s="29"/>
      <c r="F334" s="41"/>
      <c r="G334" s="28"/>
      <c r="H334" s="29"/>
      <c r="I334" s="29"/>
      <c r="J334" s="28"/>
      <c r="K334" s="148"/>
      <c r="L334" s="192"/>
      <c r="M334" s="14"/>
      <c r="N334" s="147"/>
      <c r="O334" s="119" t="s">
        <v>145</v>
      </c>
      <c r="P334"/>
      <c r="Q334" s="1"/>
    </row>
    <row r="335" spans="1:17" ht="42.75" customHeight="1">
      <c r="A335"/>
      <c r="B335" s="12"/>
      <c r="C335" s="175"/>
      <c r="D335" s="38"/>
      <c r="E335" s="29"/>
      <c r="F335" s="41"/>
      <c r="G335" s="28"/>
      <c r="H335" s="29"/>
      <c r="I335" s="29"/>
      <c r="J335" s="28"/>
      <c r="K335" s="148"/>
      <c r="L335" s="192"/>
      <c r="M335" s="14"/>
      <c r="N335" s="147"/>
      <c r="O335" s="119" t="s">
        <v>145</v>
      </c>
      <c r="P335"/>
      <c r="Q335" s="1"/>
    </row>
    <row r="336" spans="1:17" ht="63.75" customHeight="1">
      <c r="A336"/>
      <c r="B336" s="12"/>
      <c r="C336" s="175"/>
      <c r="D336" s="36"/>
      <c r="E336" s="29"/>
      <c r="F336" s="41"/>
      <c r="G336" s="28"/>
      <c r="H336" s="29"/>
      <c r="I336" s="29"/>
      <c r="J336" s="13"/>
      <c r="K336" s="13"/>
      <c r="L336" s="12"/>
      <c r="M336" s="14"/>
      <c r="N336" s="147"/>
      <c r="O336" s="119" t="s">
        <v>145</v>
      </c>
      <c r="P336"/>
      <c r="Q336" s="1"/>
    </row>
    <row r="337" spans="1:17" ht="42.75" customHeight="1">
      <c r="A337"/>
      <c r="B337" s="12"/>
      <c r="C337" s="175"/>
      <c r="D337" s="38"/>
      <c r="E337" s="29"/>
      <c r="F337" s="41"/>
      <c r="G337" s="28"/>
      <c r="H337" s="29"/>
      <c r="I337" s="29"/>
      <c r="J337" s="13"/>
      <c r="K337" s="13"/>
      <c r="L337" s="12"/>
      <c r="M337" s="14"/>
      <c r="N337" s="147"/>
      <c r="O337" s="119" t="s">
        <v>145</v>
      </c>
      <c r="P337"/>
      <c r="Q337" s="1"/>
    </row>
    <row r="338" spans="1:17" ht="42.75" customHeight="1">
      <c r="A338"/>
      <c r="B338" s="12"/>
      <c r="C338" s="175"/>
      <c r="D338" s="38"/>
      <c r="E338" s="29"/>
      <c r="F338" s="41"/>
      <c r="G338" s="28"/>
      <c r="H338" s="29"/>
      <c r="I338" s="29"/>
      <c r="J338" s="13"/>
      <c r="K338" s="13"/>
      <c r="L338" s="12"/>
      <c r="M338" s="14"/>
      <c r="N338" s="147"/>
      <c r="O338" s="119" t="s">
        <v>145</v>
      </c>
      <c r="P338"/>
      <c r="Q338" s="1"/>
    </row>
    <row r="339" spans="1:17" ht="56.25" customHeight="1">
      <c r="A339"/>
      <c r="B339" s="12"/>
      <c r="C339" s="175"/>
      <c r="D339" s="38"/>
      <c r="E339" s="29"/>
      <c r="F339" s="41"/>
      <c r="G339" s="28"/>
      <c r="H339" s="29"/>
      <c r="I339" s="29"/>
      <c r="J339" s="13"/>
      <c r="K339" s="13"/>
      <c r="L339" s="12"/>
      <c r="M339" s="14"/>
      <c r="N339" s="147"/>
      <c r="O339" s="119" t="s">
        <v>145</v>
      </c>
      <c r="P339"/>
      <c r="Q339" s="1"/>
    </row>
    <row r="340" spans="1:17" ht="42.75" customHeight="1">
      <c r="A340"/>
      <c r="B340" s="12"/>
      <c r="C340" s="175"/>
      <c r="D340" s="38"/>
      <c r="E340" s="29"/>
      <c r="F340" s="41"/>
      <c r="G340" s="28"/>
      <c r="H340" s="29"/>
      <c r="I340" s="29"/>
      <c r="J340" s="13"/>
      <c r="K340" s="13"/>
      <c r="L340" s="12"/>
      <c r="M340" s="14"/>
      <c r="N340" s="147"/>
      <c r="O340" s="119" t="s">
        <v>145</v>
      </c>
      <c r="P340"/>
      <c r="Q340" s="1"/>
    </row>
    <row r="341" spans="1:17" ht="42.75" customHeight="1">
      <c r="A341"/>
      <c r="B341" s="12"/>
      <c r="C341" s="175"/>
      <c r="D341" s="38"/>
      <c r="E341" s="29"/>
      <c r="F341" s="41"/>
      <c r="G341" s="28"/>
      <c r="H341" s="29"/>
      <c r="I341" s="29"/>
      <c r="J341" s="13"/>
      <c r="K341" s="13"/>
      <c r="L341" s="12"/>
      <c r="M341" s="14"/>
      <c r="N341" s="147"/>
      <c r="O341" s="119" t="s">
        <v>145</v>
      </c>
      <c r="P341"/>
      <c r="Q341" s="1"/>
    </row>
    <row r="342" spans="1:17" ht="60" customHeight="1">
      <c r="A342"/>
      <c r="B342" s="12"/>
      <c r="C342" s="175"/>
      <c r="D342" s="38"/>
      <c r="E342" s="29"/>
      <c r="F342" s="41"/>
      <c r="G342" s="28"/>
      <c r="H342" s="29"/>
      <c r="I342" s="29"/>
      <c r="J342" s="13"/>
      <c r="K342" s="13"/>
      <c r="L342" s="12"/>
      <c r="M342" s="14"/>
      <c r="N342" s="147"/>
      <c r="O342" s="119" t="s">
        <v>145</v>
      </c>
      <c r="P342"/>
      <c r="Q342" s="1"/>
    </row>
    <row r="343" spans="1:17" ht="57" customHeight="1">
      <c r="A343"/>
      <c r="B343" s="12"/>
      <c r="C343" s="175"/>
      <c r="D343" s="38"/>
      <c r="E343" s="29"/>
      <c r="F343" s="41"/>
      <c r="G343" s="28"/>
      <c r="H343" s="29"/>
      <c r="I343" s="29"/>
      <c r="J343" s="13"/>
      <c r="K343" s="13"/>
      <c r="L343" s="12"/>
      <c r="M343" s="14"/>
      <c r="N343" s="147"/>
      <c r="O343" s="119" t="s">
        <v>145</v>
      </c>
      <c r="P343"/>
      <c r="Q343" s="1"/>
    </row>
    <row r="344" spans="1:17" ht="63" customHeight="1">
      <c r="A344"/>
      <c r="B344" s="12"/>
      <c r="C344" s="175"/>
      <c r="D344" s="38"/>
      <c r="E344" s="29"/>
      <c r="F344" s="41"/>
      <c r="G344" s="28"/>
      <c r="H344" s="29"/>
      <c r="I344" s="29"/>
      <c r="J344" s="13"/>
      <c r="K344" s="13"/>
      <c r="L344" s="12"/>
      <c r="M344" s="14"/>
      <c r="N344" s="147"/>
      <c r="O344" s="119" t="s">
        <v>145</v>
      </c>
      <c r="P344"/>
      <c r="Q344" s="1"/>
    </row>
    <row r="345" spans="1:17" ht="54" customHeight="1">
      <c r="A345"/>
      <c r="B345" s="12"/>
      <c r="C345" s="175"/>
      <c r="D345" s="39"/>
      <c r="E345" s="29"/>
      <c r="F345" s="41"/>
      <c r="G345" s="28"/>
      <c r="H345" s="29"/>
      <c r="I345" s="29"/>
      <c r="J345" s="13"/>
      <c r="K345" s="13"/>
      <c r="L345" s="12"/>
      <c r="M345" s="14"/>
      <c r="N345" s="147"/>
      <c r="O345" s="119" t="s">
        <v>145</v>
      </c>
      <c r="P345"/>
      <c r="Q345" s="1"/>
    </row>
    <row r="346" spans="1:17" ht="42.75" customHeight="1">
      <c r="A346"/>
      <c r="B346" s="12"/>
      <c r="C346" s="175"/>
      <c r="D346" s="39"/>
      <c r="E346" s="29"/>
      <c r="F346" s="41"/>
      <c r="G346" s="28"/>
      <c r="H346" s="29"/>
      <c r="I346" s="29"/>
      <c r="J346" s="13"/>
      <c r="K346" s="13"/>
      <c r="L346" s="12"/>
      <c r="M346" s="14"/>
      <c r="N346" s="147"/>
      <c r="O346" s="119" t="s">
        <v>145</v>
      </c>
      <c r="P346"/>
      <c r="Q346" s="1"/>
    </row>
    <row r="347" spans="1:17" ht="42.75" customHeight="1">
      <c r="A347"/>
      <c r="B347" s="12"/>
      <c r="C347" s="175"/>
      <c r="D347" s="39"/>
      <c r="E347" s="29"/>
      <c r="F347" s="41"/>
      <c r="G347" s="28"/>
      <c r="H347" s="29"/>
      <c r="I347" s="29"/>
      <c r="J347" s="13"/>
      <c r="K347" s="13"/>
      <c r="L347" s="12"/>
      <c r="M347" s="14"/>
      <c r="N347" s="147"/>
      <c r="O347" s="119" t="s">
        <v>145</v>
      </c>
      <c r="P347"/>
      <c r="Q347" s="1"/>
    </row>
    <row r="348" spans="1:17" ht="63" customHeight="1">
      <c r="A348"/>
      <c r="B348" s="12"/>
      <c r="C348" s="175"/>
      <c r="D348" s="39"/>
      <c r="E348" s="29"/>
      <c r="F348" s="41"/>
      <c r="G348" s="28"/>
      <c r="H348" s="29"/>
      <c r="I348" s="29"/>
      <c r="J348" s="13"/>
      <c r="K348" s="13"/>
      <c r="L348" s="12"/>
      <c r="M348" s="14"/>
      <c r="N348" s="147"/>
      <c r="O348" s="119" t="s">
        <v>145</v>
      </c>
      <c r="P348"/>
      <c r="Q348" s="1"/>
    </row>
    <row r="349" spans="1:17" ht="56.25" customHeight="1">
      <c r="A349"/>
      <c r="B349" s="12"/>
      <c r="C349" s="175"/>
      <c r="D349" s="38"/>
      <c r="E349" s="29"/>
      <c r="F349" s="41"/>
      <c r="G349" s="28"/>
      <c r="H349" s="29"/>
      <c r="I349" s="29"/>
      <c r="J349" s="13"/>
      <c r="K349" s="13"/>
      <c r="L349" s="12"/>
      <c r="M349" s="14"/>
      <c r="N349" s="147"/>
      <c r="O349" s="119" t="s">
        <v>145</v>
      </c>
      <c r="P349"/>
      <c r="Q349" s="1"/>
    </row>
    <row r="350" spans="1:17" ht="61.5" customHeight="1">
      <c r="A350"/>
      <c r="B350" s="12"/>
      <c r="C350" s="175"/>
      <c r="D350" s="38"/>
      <c r="E350" s="29"/>
      <c r="F350" s="41"/>
      <c r="G350" s="28"/>
      <c r="H350" s="29"/>
      <c r="I350" s="29"/>
      <c r="J350" s="13"/>
      <c r="K350" s="13"/>
      <c r="L350" s="12"/>
      <c r="M350" s="14"/>
      <c r="N350" s="147"/>
      <c r="O350" s="119" t="s">
        <v>145</v>
      </c>
      <c r="P350"/>
      <c r="Q350" s="1"/>
    </row>
    <row r="351" spans="1:17" ht="42.75" customHeight="1">
      <c r="A351"/>
      <c r="B351" s="12"/>
      <c r="C351" s="175"/>
      <c r="D351" s="38"/>
      <c r="E351" s="29"/>
      <c r="F351" s="41"/>
      <c r="G351" s="28"/>
      <c r="H351" s="29"/>
      <c r="I351" s="29"/>
      <c r="J351" s="13"/>
      <c r="K351" s="13"/>
      <c r="L351" s="12"/>
      <c r="M351" s="14"/>
      <c r="N351" s="147"/>
      <c r="O351" s="119" t="s">
        <v>145</v>
      </c>
      <c r="P351"/>
      <c r="Q351" s="1"/>
    </row>
    <row r="352" spans="1:17" ht="42.75" customHeight="1">
      <c r="A352"/>
      <c r="B352" s="12"/>
      <c r="C352" s="176"/>
      <c r="D352" s="38"/>
      <c r="E352" s="29"/>
      <c r="F352" s="41"/>
      <c r="G352" s="28"/>
      <c r="H352" s="29"/>
      <c r="I352" s="29"/>
      <c r="J352" s="13"/>
      <c r="K352" s="13"/>
      <c r="L352" s="12"/>
      <c r="M352" s="14"/>
      <c r="N352" s="147"/>
      <c r="O352" s="119" t="s">
        <v>145</v>
      </c>
      <c r="P352"/>
      <c r="Q352" s="1"/>
    </row>
    <row r="353" spans="1:17" ht="42.75" customHeight="1">
      <c r="A353"/>
      <c r="B353" s="12"/>
      <c r="C353" s="176"/>
      <c r="D353" s="38"/>
      <c r="E353" s="29"/>
      <c r="F353" s="41"/>
      <c r="G353" s="28"/>
      <c r="H353" s="29"/>
      <c r="I353" s="29"/>
      <c r="J353" s="13"/>
      <c r="K353" s="13"/>
      <c r="L353" s="12"/>
      <c r="M353" s="14"/>
      <c r="N353" s="147"/>
      <c r="O353" s="119" t="s">
        <v>145</v>
      </c>
      <c r="P353"/>
      <c r="Q353" s="1"/>
    </row>
    <row r="354" spans="1:17" ht="42.75" customHeight="1">
      <c r="A354"/>
      <c r="B354" s="12"/>
      <c r="C354" s="176"/>
      <c r="D354" s="38"/>
      <c r="E354" s="29"/>
      <c r="F354" s="41"/>
      <c r="G354" s="28"/>
      <c r="H354" s="29"/>
      <c r="I354" s="29"/>
      <c r="J354" s="13"/>
      <c r="K354" s="13"/>
      <c r="L354" s="12"/>
      <c r="M354" s="14"/>
      <c r="N354" s="147"/>
      <c r="O354" s="119" t="s">
        <v>145</v>
      </c>
      <c r="P354"/>
      <c r="Q354" s="1"/>
    </row>
    <row r="355" spans="1:17" ht="42.75" customHeight="1">
      <c r="A355"/>
      <c r="B355" s="12"/>
      <c r="C355" s="176"/>
      <c r="D355" s="38"/>
      <c r="E355" s="29"/>
      <c r="F355" s="41"/>
      <c r="G355" s="28"/>
      <c r="H355" s="29"/>
      <c r="I355" s="29"/>
      <c r="J355" s="13"/>
      <c r="K355" s="13"/>
      <c r="L355" s="12"/>
      <c r="M355" s="14"/>
      <c r="N355" s="147"/>
      <c r="O355" s="119" t="s">
        <v>145</v>
      </c>
      <c r="P355"/>
      <c r="Q355" s="1"/>
    </row>
    <row r="356" spans="1:17" ht="42.75" customHeight="1">
      <c r="A356"/>
      <c r="B356" s="12"/>
      <c r="C356" s="176"/>
      <c r="D356" s="38"/>
      <c r="E356" s="29"/>
      <c r="F356" s="41"/>
      <c r="G356" s="28"/>
      <c r="H356" s="29"/>
      <c r="I356" s="29"/>
      <c r="J356" s="13"/>
      <c r="K356" s="13"/>
      <c r="L356" s="12"/>
      <c r="M356" s="14"/>
      <c r="N356" s="147"/>
      <c r="O356" s="119" t="s">
        <v>145</v>
      </c>
      <c r="P356"/>
      <c r="Q356" s="1"/>
    </row>
    <row r="357" spans="1:17" ht="42.75" customHeight="1">
      <c r="A357"/>
      <c r="B357" s="12"/>
      <c r="C357" s="176"/>
      <c r="D357" s="38"/>
      <c r="E357" s="29"/>
      <c r="F357" s="41"/>
      <c r="G357" s="28"/>
      <c r="H357" s="29"/>
      <c r="I357" s="29"/>
      <c r="J357" s="13"/>
      <c r="K357" s="13"/>
      <c r="L357" s="12"/>
      <c r="M357" s="14"/>
      <c r="N357" s="147"/>
      <c r="O357" s="119" t="s">
        <v>145</v>
      </c>
      <c r="P357"/>
      <c r="Q357" s="1"/>
    </row>
    <row r="358" spans="1:17" ht="42.75" customHeight="1">
      <c r="A358"/>
      <c r="B358" s="12"/>
      <c r="C358" s="176"/>
      <c r="D358" s="38"/>
      <c r="E358" s="29"/>
      <c r="F358" s="41"/>
      <c r="G358" s="28"/>
      <c r="H358" s="29"/>
      <c r="I358" s="29"/>
      <c r="J358" s="13"/>
      <c r="K358" s="13"/>
      <c r="L358" s="12"/>
      <c r="M358" s="14"/>
      <c r="N358" s="147"/>
      <c r="O358" s="119" t="s">
        <v>145</v>
      </c>
      <c r="P358"/>
      <c r="Q358" s="1"/>
    </row>
    <row r="359" spans="1:17" ht="42.75" customHeight="1">
      <c r="A359"/>
      <c r="B359" s="12"/>
      <c r="C359" s="176"/>
      <c r="D359" s="38"/>
      <c r="E359" s="29"/>
      <c r="F359" s="41"/>
      <c r="G359" s="28"/>
      <c r="H359" s="29"/>
      <c r="I359" s="29"/>
      <c r="J359" s="13"/>
      <c r="K359" s="13"/>
      <c r="L359" s="12"/>
      <c r="M359" s="14"/>
      <c r="N359" s="147"/>
      <c r="O359" s="119" t="s">
        <v>145</v>
      </c>
      <c r="P359"/>
      <c r="Q359" s="1"/>
    </row>
    <row r="360" spans="1:17" ht="42.75" customHeight="1">
      <c r="A360"/>
      <c r="B360" s="12"/>
      <c r="C360" s="176"/>
      <c r="D360" s="38"/>
      <c r="E360" s="29"/>
      <c r="F360" s="41"/>
      <c r="G360" s="28"/>
      <c r="H360" s="29"/>
      <c r="I360" s="29"/>
      <c r="J360" s="13"/>
      <c r="K360" s="13"/>
      <c r="L360" s="12"/>
      <c r="M360" s="14"/>
      <c r="N360" s="147"/>
      <c r="O360" s="119" t="s">
        <v>145</v>
      </c>
      <c r="P360"/>
      <c r="Q360" s="1"/>
    </row>
    <row r="361" spans="1:17" ht="42.75" customHeight="1">
      <c r="A361"/>
      <c r="B361" s="12"/>
      <c r="C361" s="176"/>
      <c r="D361" s="38"/>
      <c r="E361" s="29"/>
      <c r="F361" s="41"/>
      <c r="G361" s="28"/>
      <c r="H361" s="29"/>
      <c r="I361" s="29"/>
      <c r="J361" s="13"/>
      <c r="K361" s="13"/>
      <c r="L361" s="12"/>
      <c r="M361" s="14"/>
      <c r="N361" s="147"/>
      <c r="O361" s="119" t="s">
        <v>145</v>
      </c>
      <c r="P361"/>
      <c r="Q361" s="1"/>
    </row>
    <row r="362" spans="1:17" ht="42.75" customHeight="1">
      <c r="A362"/>
      <c r="B362" s="12"/>
      <c r="C362" s="176"/>
      <c r="D362" s="38"/>
      <c r="E362" s="29"/>
      <c r="F362" s="41"/>
      <c r="G362" s="28"/>
      <c r="H362" s="29"/>
      <c r="I362" s="29"/>
      <c r="J362" s="13"/>
      <c r="K362" s="13"/>
      <c r="L362" s="12"/>
      <c r="M362" s="14"/>
      <c r="N362" s="147"/>
      <c r="O362" s="119" t="s">
        <v>145</v>
      </c>
      <c r="P362"/>
      <c r="Q362" s="1"/>
    </row>
    <row r="363" spans="1:17" ht="42.75" customHeight="1">
      <c r="A363"/>
      <c r="B363" s="12"/>
      <c r="C363" s="176"/>
      <c r="D363" s="38"/>
      <c r="E363" s="29"/>
      <c r="F363" s="41"/>
      <c r="G363" s="28"/>
      <c r="H363" s="29"/>
      <c r="I363" s="29"/>
      <c r="J363" s="13"/>
      <c r="K363" s="13"/>
      <c r="L363" s="12"/>
      <c r="M363" s="14"/>
      <c r="N363" s="147"/>
      <c r="O363" s="119" t="s">
        <v>145</v>
      </c>
      <c r="P363"/>
      <c r="Q363" s="1"/>
    </row>
    <row r="364" spans="1:17" ht="42.75" customHeight="1">
      <c r="A364"/>
      <c r="B364" s="12"/>
      <c r="C364" s="176"/>
      <c r="D364" s="38"/>
      <c r="E364" s="29"/>
      <c r="F364" s="41"/>
      <c r="G364" s="28"/>
      <c r="H364" s="29"/>
      <c r="I364" s="29"/>
      <c r="J364" s="13"/>
      <c r="K364" s="13"/>
      <c r="L364" s="12"/>
      <c r="M364" s="14"/>
      <c r="N364" s="147"/>
      <c r="O364" s="119" t="s">
        <v>145</v>
      </c>
      <c r="P364"/>
      <c r="Q364" s="1"/>
    </row>
    <row r="365" spans="1:17" ht="35.1" customHeight="1">
      <c r="A365"/>
      <c r="B365" s="12"/>
      <c r="C365" s="176"/>
      <c r="D365" s="39"/>
      <c r="E365" s="19"/>
      <c r="F365" s="41"/>
      <c r="G365" s="28"/>
      <c r="H365" s="28"/>
      <c r="I365" s="20"/>
      <c r="J365" s="13"/>
      <c r="K365" s="13"/>
      <c r="L365" s="12"/>
      <c r="M365" s="14"/>
      <c r="N365" s="147"/>
      <c r="O365" s="119" t="s">
        <v>145</v>
      </c>
      <c r="P365"/>
      <c r="Q365" s="1"/>
    </row>
    <row r="366" spans="1:17" ht="35.1" customHeight="1">
      <c r="A366"/>
      <c r="B366" s="12"/>
      <c r="C366" s="176"/>
      <c r="D366" s="39"/>
      <c r="E366" s="19"/>
      <c r="F366" s="41"/>
      <c r="G366" s="28"/>
      <c r="H366" s="28"/>
      <c r="I366" s="20"/>
      <c r="J366" s="13"/>
      <c r="K366" s="13"/>
      <c r="L366" s="12"/>
      <c r="M366" s="14"/>
      <c r="N366" s="147"/>
      <c r="O366" s="119" t="s">
        <v>145</v>
      </c>
      <c r="P366"/>
      <c r="Q366" s="1"/>
    </row>
    <row r="367" spans="1:17" ht="35.1" customHeight="1">
      <c r="A367"/>
      <c r="B367" s="12"/>
      <c r="C367" s="176"/>
      <c r="D367" s="39"/>
      <c r="E367" s="19"/>
      <c r="F367" s="41"/>
      <c r="G367" s="28"/>
      <c r="H367" s="28"/>
      <c r="I367" s="20"/>
      <c r="J367" s="13"/>
      <c r="K367" s="13"/>
      <c r="L367" s="12"/>
      <c r="M367" s="14"/>
      <c r="N367" s="147"/>
      <c r="O367" s="119" t="s">
        <v>145</v>
      </c>
      <c r="P367"/>
      <c r="Q367" s="1"/>
    </row>
    <row r="368" spans="1:17" ht="35.1" customHeight="1">
      <c r="A368"/>
      <c r="B368" s="12"/>
      <c r="C368" s="176"/>
      <c r="D368" s="39"/>
      <c r="E368" s="19"/>
      <c r="F368" s="41"/>
      <c r="G368" s="28"/>
      <c r="H368" s="28"/>
      <c r="I368" s="20"/>
      <c r="J368" s="13"/>
      <c r="K368" s="13"/>
      <c r="L368" s="12"/>
      <c r="M368" s="14"/>
      <c r="N368" s="147"/>
      <c r="O368" s="119" t="s">
        <v>145</v>
      </c>
      <c r="P368"/>
      <c r="Q368" s="1"/>
    </row>
    <row r="369" spans="1:17" ht="48" customHeight="1">
      <c r="A369"/>
      <c r="B369" s="12"/>
      <c r="C369" s="176"/>
      <c r="D369" s="38"/>
      <c r="E369" s="29"/>
      <c r="F369" s="41"/>
      <c r="G369" s="28"/>
      <c r="H369" s="29"/>
      <c r="I369" s="29"/>
      <c r="J369" s="13"/>
      <c r="K369" s="13"/>
      <c r="L369" s="12"/>
      <c r="M369" s="14"/>
      <c r="N369" s="147"/>
      <c r="O369" s="119" t="s">
        <v>145</v>
      </c>
      <c r="P369"/>
      <c r="Q369" s="1"/>
    </row>
    <row r="370" spans="1:17" ht="48" customHeight="1">
      <c r="A370"/>
      <c r="B370" s="12"/>
      <c r="C370" s="176"/>
      <c r="D370" s="38"/>
      <c r="E370" s="29"/>
      <c r="F370" s="41"/>
      <c r="G370" s="28"/>
      <c r="H370" s="29"/>
      <c r="I370" s="29"/>
      <c r="J370" s="13"/>
      <c r="K370" s="13"/>
      <c r="L370" s="12"/>
      <c r="M370" s="14"/>
      <c r="N370" s="147"/>
      <c r="O370" s="119" t="s">
        <v>145</v>
      </c>
      <c r="P370"/>
      <c r="Q370" s="1"/>
    </row>
    <row r="371" spans="1:17" ht="48" customHeight="1">
      <c r="A371"/>
      <c r="B371" s="12"/>
      <c r="C371" s="176"/>
      <c r="D371" s="38"/>
      <c r="E371" s="29"/>
      <c r="F371" s="41"/>
      <c r="G371" s="28"/>
      <c r="H371" s="29"/>
      <c r="I371" s="29"/>
      <c r="J371" s="13"/>
      <c r="K371" s="13"/>
      <c r="L371" s="12"/>
      <c r="M371" s="14"/>
      <c r="N371" s="147"/>
      <c r="O371" s="119" t="s">
        <v>145</v>
      </c>
      <c r="P371"/>
      <c r="Q371" s="1"/>
    </row>
    <row r="372" spans="1:17" ht="48" customHeight="1">
      <c r="A372"/>
      <c r="B372" s="12"/>
      <c r="C372" s="176"/>
      <c r="D372" s="38"/>
      <c r="E372" s="29"/>
      <c r="F372" s="41"/>
      <c r="G372" s="28"/>
      <c r="H372" s="29"/>
      <c r="I372" s="29"/>
      <c r="J372" s="13"/>
      <c r="K372" s="13"/>
      <c r="L372" s="12"/>
      <c r="M372" s="14"/>
      <c r="N372" s="147"/>
      <c r="O372" s="119" t="s">
        <v>145</v>
      </c>
      <c r="P372"/>
      <c r="Q372" s="1"/>
    </row>
    <row r="373" spans="1:17" ht="48" customHeight="1">
      <c r="A373"/>
      <c r="B373" s="12"/>
      <c r="C373" s="176"/>
      <c r="D373" s="38"/>
      <c r="E373" s="29"/>
      <c r="F373" s="41"/>
      <c r="G373" s="28"/>
      <c r="H373" s="29"/>
      <c r="I373" s="29"/>
      <c r="J373" s="13"/>
      <c r="K373" s="13"/>
      <c r="L373" s="12"/>
      <c r="M373" s="14"/>
      <c r="N373" s="147"/>
      <c r="O373" s="119" t="s">
        <v>145</v>
      </c>
      <c r="P373"/>
      <c r="Q373" s="1"/>
    </row>
    <row r="374" spans="1:17" ht="35.1" customHeight="1">
      <c r="A374"/>
      <c r="B374" s="12"/>
      <c r="C374" s="176"/>
      <c r="D374" s="38"/>
      <c r="E374" s="29"/>
      <c r="F374" s="41"/>
      <c r="G374" s="28"/>
      <c r="H374" s="29"/>
      <c r="I374" s="29"/>
      <c r="J374" s="13"/>
      <c r="K374" s="13"/>
      <c r="L374" s="12"/>
      <c r="M374" s="14"/>
      <c r="N374" s="147"/>
      <c r="O374" s="119" t="s">
        <v>145</v>
      </c>
      <c r="P374"/>
      <c r="Q374" s="1"/>
    </row>
    <row r="375" spans="1:17" ht="35.1" customHeight="1">
      <c r="A375"/>
      <c r="B375" s="12"/>
      <c r="C375" s="176"/>
      <c r="D375" s="38"/>
      <c r="E375" s="29"/>
      <c r="F375" s="41"/>
      <c r="G375" s="28"/>
      <c r="H375" s="29"/>
      <c r="I375" s="29"/>
      <c r="J375" s="13"/>
      <c r="K375" s="13"/>
      <c r="L375" s="12"/>
      <c r="M375" s="14"/>
      <c r="N375" s="147"/>
      <c r="O375" s="119" t="s">
        <v>145</v>
      </c>
      <c r="P375"/>
      <c r="Q375" s="1"/>
    </row>
    <row r="376" spans="1:17" ht="35.1" customHeight="1">
      <c r="A376"/>
      <c r="B376" s="12"/>
      <c r="C376" s="176"/>
      <c r="D376" s="38"/>
      <c r="E376" s="29"/>
      <c r="F376" s="41"/>
      <c r="G376" s="28"/>
      <c r="H376" s="29"/>
      <c r="I376" s="29"/>
      <c r="J376" s="13"/>
      <c r="K376" s="13"/>
      <c r="L376" s="12"/>
      <c r="M376" s="14"/>
      <c r="N376" s="147"/>
      <c r="O376" s="119" t="s">
        <v>145</v>
      </c>
      <c r="P376"/>
      <c r="Q376" s="1"/>
    </row>
    <row r="377" spans="1:17" ht="35.1" customHeight="1">
      <c r="A377"/>
      <c r="B377" s="12"/>
      <c r="C377" s="176"/>
      <c r="D377" s="38"/>
      <c r="E377" s="29"/>
      <c r="F377" s="41"/>
      <c r="G377" s="28"/>
      <c r="H377" s="29"/>
      <c r="I377" s="29"/>
      <c r="J377" s="13"/>
      <c r="K377" s="13"/>
      <c r="L377" s="12"/>
      <c r="M377" s="14"/>
      <c r="N377" s="147"/>
      <c r="O377" s="119" t="s">
        <v>145</v>
      </c>
      <c r="P377"/>
      <c r="Q377" s="1"/>
    </row>
    <row r="378" spans="1:17" ht="35.1" customHeight="1">
      <c r="A378"/>
      <c r="B378" s="12"/>
      <c r="C378" s="176"/>
      <c r="D378" s="38"/>
      <c r="E378" s="29"/>
      <c r="F378" s="41"/>
      <c r="G378" s="28"/>
      <c r="H378" s="29"/>
      <c r="I378" s="29"/>
      <c r="J378" s="13"/>
      <c r="K378" s="13"/>
      <c r="L378" s="12"/>
      <c r="M378" s="14"/>
      <c r="N378" s="147"/>
      <c r="O378" s="119" t="s">
        <v>145</v>
      </c>
      <c r="P378"/>
      <c r="Q378" s="1"/>
    </row>
    <row r="379" spans="1:17" ht="35.1" customHeight="1">
      <c r="A379"/>
      <c r="B379" s="12"/>
      <c r="C379" s="176"/>
      <c r="D379" s="38"/>
      <c r="E379" s="29"/>
      <c r="F379" s="41"/>
      <c r="G379" s="28"/>
      <c r="H379" s="29"/>
      <c r="I379" s="29"/>
      <c r="J379" s="13"/>
      <c r="K379" s="13"/>
      <c r="L379" s="12"/>
      <c r="M379" s="14"/>
      <c r="N379" s="147"/>
      <c r="O379" s="119" t="s">
        <v>145</v>
      </c>
      <c r="P379"/>
      <c r="Q379" s="1"/>
    </row>
    <row r="380" spans="1:17" ht="35.1" customHeight="1">
      <c r="A380"/>
      <c r="B380" s="12"/>
      <c r="C380" s="176"/>
      <c r="D380" s="38"/>
      <c r="E380" s="29"/>
      <c r="F380" s="41"/>
      <c r="G380" s="28"/>
      <c r="H380" s="29"/>
      <c r="I380" s="29"/>
      <c r="J380" s="13"/>
      <c r="K380" s="13"/>
      <c r="L380" s="12"/>
      <c r="M380" s="14"/>
      <c r="N380" s="147"/>
      <c r="O380" s="119" t="s">
        <v>145</v>
      </c>
      <c r="P380"/>
      <c r="Q380" s="1"/>
    </row>
    <row r="381" spans="1:17" ht="35.1" customHeight="1">
      <c r="A381"/>
      <c r="B381" s="12"/>
      <c r="C381" s="176"/>
      <c r="D381" s="38"/>
      <c r="E381" s="29"/>
      <c r="F381" s="41"/>
      <c r="G381" s="28"/>
      <c r="H381" s="29"/>
      <c r="I381" s="29"/>
      <c r="J381" s="13"/>
      <c r="K381" s="13"/>
      <c r="L381" s="12"/>
      <c r="M381" s="14"/>
      <c r="N381" s="147"/>
      <c r="O381" s="119" t="s">
        <v>145</v>
      </c>
      <c r="P381"/>
      <c r="Q381" s="1"/>
    </row>
    <row r="382" spans="1:17" ht="35.1" customHeight="1">
      <c r="A382"/>
      <c r="B382" s="12"/>
      <c r="C382" s="176"/>
      <c r="D382" s="38"/>
      <c r="E382" s="29"/>
      <c r="F382" s="41"/>
      <c r="G382" s="28"/>
      <c r="H382" s="29"/>
      <c r="I382" s="29"/>
      <c r="J382" s="13"/>
      <c r="K382" s="13"/>
      <c r="L382" s="12"/>
      <c r="M382" s="14"/>
      <c r="N382" s="147"/>
      <c r="O382" s="119" t="s">
        <v>145</v>
      </c>
      <c r="P382"/>
      <c r="Q382" s="1"/>
    </row>
    <row r="383" spans="1:17" ht="35.1" customHeight="1">
      <c r="A383"/>
      <c r="B383" s="12"/>
      <c r="C383" s="176"/>
      <c r="D383" s="38"/>
      <c r="E383" s="29"/>
      <c r="F383" s="41"/>
      <c r="G383" s="28"/>
      <c r="H383" s="29"/>
      <c r="I383" s="29"/>
      <c r="J383" s="13"/>
      <c r="K383" s="13"/>
      <c r="L383" s="12"/>
      <c r="M383" s="14"/>
      <c r="N383" s="147"/>
      <c r="O383" s="119" t="s">
        <v>145</v>
      </c>
      <c r="P383"/>
      <c r="Q383" s="1"/>
    </row>
    <row r="384" spans="1:17" ht="35.1" customHeight="1">
      <c r="A384"/>
      <c r="B384" s="12"/>
      <c r="C384" s="176"/>
      <c r="D384" s="38"/>
      <c r="E384" s="29"/>
      <c r="F384" s="41"/>
      <c r="G384" s="28"/>
      <c r="H384" s="29"/>
      <c r="I384" s="29"/>
      <c r="J384" s="13"/>
      <c r="K384" s="13"/>
      <c r="L384" s="12"/>
      <c r="M384" s="14"/>
      <c r="N384" s="147"/>
      <c r="O384" s="119" t="s">
        <v>145</v>
      </c>
      <c r="P384"/>
      <c r="Q384" s="1"/>
    </row>
    <row r="385" spans="1:17" ht="35.1" customHeight="1">
      <c r="A385"/>
      <c r="B385" s="12"/>
      <c r="C385" s="176"/>
      <c r="D385" s="38"/>
      <c r="E385" s="29"/>
      <c r="F385" s="41"/>
      <c r="G385" s="28"/>
      <c r="H385" s="29"/>
      <c r="I385" s="29"/>
      <c r="J385" s="13"/>
      <c r="K385" s="13"/>
      <c r="L385" s="12"/>
      <c r="M385" s="14"/>
      <c r="N385" s="147"/>
      <c r="O385" s="119" t="s">
        <v>145</v>
      </c>
      <c r="P385"/>
      <c r="Q385" s="1"/>
    </row>
    <row r="386" spans="1:17" ht="35.1" customHeight="1">
      <c r="A386"/>
      <c r="B386" s="12"/>
      <c r="C386" s="176"/>
      <c r="D386" s="38"/>
      <c r="E386" s="29"/>
      <c r="F386" s="41"/>
      <c r="G386" s="28"/>
      <c r="H386" s="29"/>
      <c r="I386" s="29"/>
      <c r="J386" s="13"/>
      <c r="K386" s="13"/>
      <c r="L386" s="12"/>
      <c r="M386" s="14"/>
      <c r="N386" s="147"/>
      <c r="O386" s="119" t="s">
        <v>145</v>
      </c>
      <c r="P386"/>
      <c r="Q386" s="1"/>
    </row>
    <row r="387" spans="1:17" ht="35.1" customHeight="1">
      <c r="A387"/>
      <c r="B387" s="12"/>
      <c r="C387" s="176"/>
      <c r="D387" s="38"/>
      <c r="E387" s="29"/>
      <c r="F387" s="41"/>
      <c r="G387" s="28"/>
      <c r="H387" s="29"/>
      <c r="I387" s="29"/>
      <c r="J387" s="13"/>
      <c r="K387" s="13"/>
      <c r="L387" s="12"/>
      <c r="M387" s="14"/>
      <c r="N387" s="147"/>
      <c r="O387" s="119" t="s">
        <v>145</v>
      </c>
      <c r="P387"/>
      <c r="Q387" s="1"/>
    </row>
    <row r="388" spans="1:17" ht="48.75" customHeight="1">
      <c r="A388"/>
      <c r="B388" s="12"/>
      <c r="C388" s="176"/>
      <c r="D388" s="38"/>
      <c r="E388" s="29"/>
      <c r="F388" s="41"/>
      <c r="G388" s="28"/>
      <c r="H388" s="29"/>
      <c r="I388" s="29"/>
      <c r="J388" s="13"/>
      <c r="K388" s="13"/>
      <c r="L388" s="12"/>
      <c r="M388" s="14"/>
      <c r="N388" s="147"/>
      <c r="O388" s="119" t="s">
        <v>145</v>
      </c>
      <c r="P388"/>
      <c r="Q388" s="1"/>
    </row>
    <row r="389" spans="1:17" ht="48.75" customHeight="1">
      <c r="A389"/>
      <c r="B389" s="12"/>
      <c r="C389" s="176"/>
      <c r="D389" s="38"/>
      <c r="E389" s="29"/>
      <c r="F389" s="41"/>
      <c r="G389" s="28"/>
      <c r="H389" s="29"/>
      <c r="I389" s="29"/>
      <c r="J389" s="13"/>
      <c r="K389" s="13"/>
      <c r="L389" s="12"/>
      <c r="M389" s="14"/>
      <c r="N389" s="147"/>
      <c r="O389" s="119" t="s">
        <v>145</v>
      </c>
      <c r="P389"/>
      <c r="Q389" s="1"/>
    </row>
    <row r="390" spans="1:17" ht="48.75" customHeight="1">
      <c r="A390"/>
      <c r="B390" s="12"/>
      <c r="C390" s="176"/>
      <c r="D390" s="38"/>
      <c r="E390" s="29"/>
      <c r="F390" s="41"/>
      <c r="G390" s="28"/>
      <c r="H390" s="29"/>
      <c r="I390" s="29"/>
      <c r="J390" s="13"/>
      <c r="K390" s="13"/>
      <c r="L390" s="12"/>
      <c r="M390" s="14"/>
      <c r="N390" s="147"/>
      <c r="O390" s="119" t="s">
        <v>145</v>
      </c>
      <c r="P390"/>
      <c r="Q390" s="1"/>
    </row>
    <row r="391" spans="1:17" ht="48.75" customHeight="1">
      <c r="A391"/>
      <c r="B391" s="12"/>
      <c r="C391" s="176"/>
      <c r="D391" s="38"/>
      <c r="E391" s="29"/>
      <c r="F391" s="41"/>
      <c r="G391" s="28"/>
      <c r="H391" s="29"/>
      <c r="I391" s="29"/>
      <c r="J391" s="13"/>
      <c r="K391" s="13"/>
      <c r="L391" s="12"/>
      <c r="M391" s="14"/>
      <c r="N391" s="147"/>
      <c r="O391" s="119" t="s">
        <v>145</v>
      </c>
      <c r="P391"/>
      <c r="Q391" s="1"/>
    </row>
    <row r="392" spans="1:17" ht="35.1" customHeight="1">
      <c r="A392"/>
      <c r="B392" s="12"/>
      <c r="C392" s="176"/>
      <c r="D392" s="38"/>
      <c r="E392" s="29"/>
      <c r="F392" s="41"/>
      <c r="G392" s="28"/>
      <c r="H392" s="29"/>
      <c r="I392" s="29"/>
      <c r="J392" s="13"/>
      <c r="K392" s="13"/>
      <c r="L392" s="12"/>
      <c r="M392" s="14"/>
      <c r="N392" s="147"/>
      <c r="O392" s="119" t="s">
        <v>145</v>
      </c>
      <c r="P392"/>
      <c r="Q392" s="1"/>
    </row>
    <row r="393" spans="1:17" ht="35.1" customHeight="1">
      <c r="A393"/>
      <c r="B393" s="12"/>
      <c r="C393" s="176"/>
      <c r="D393" s="38"/>
      <c r="E393" s="29"/>
      <c r="F393" s="41"/>
      <c r="G393" s="28"/>
      <c r="H393" s="29"/>
      <c r="I393" s="29"/>
      <c r="J393" s="13"/>
      <c r="K393" s="13"/>
      <c r="L393" s="12"/>
      <c r="M393" s="14"/>
      <c r="N393" s="147"/>
      <c r="O393" s="119" t="s">
        <v>145</v>
      </c>
      <c r="P393"/>
      <c r="Q393" s="1"/>
    </row>
    <row r="394" spans="1:17" ht="47.25" customHeight="1">
      <c r="A394"/>
      <c r="B394" s="12"/>
      <c r="C394" s="176"/>
      <c r="D394" s="38"/>
      <c r="E394" s="29"/>
      <c r="F394" s="41"/>
      <c r="G394" s="28"/>
      <c r="H394" s="29"/>
      <c r="I394" s="29"/>
      <c r="J394" s="13"/>
      <c r="K394" s="13"/>
      <c r="L394" s="12"/>
      <c r="M394" s="14"/>
      <c r="N394" s="147"/>
      <c r="O394" s="119" t="s">
        <v>145</v>
      </c>
      <c r="P394"/>
      <c r="Q394" s="1"/>
    </row>
    <row r="395" spans="1:17" ht="47.25" customHeight="1">
      <c r="A395"/>
      <c r="B395" s="12"/>
      <c r="C395" s="176"/>
      <c r="D395" s="38"/>
      <c r="E395" s="29"/>
      <c r="F395" s="41"/>
      <c r="G395" s="28"/>
      <c r="H395" s="29"/>
      <c r="I395" s="29"/>
      <c r="J395" s="13"/>
      <c r="K395" s="13"/>
      <c r="L395" s="12"/>
      <c r="M395" s="14"/>
      <c r="N395" s="147"/>
      <c r="O395" s="119" t="s">
        <v>145</v>
      </c>
      <c r="P395"/>
      <c r="Q395" s="1"/>
    </row>
    <row r="396" spans="1:17" ht="54" customHeight="1">
      <c r="A396"/>
      <c r="B396" s="12"/>
      <c r="C396" s="176"/>
      <c r="D396" s="38"/>
      <c r="E396" s="29"/>
      <c r="F396" s="41"/>
      <c r="G396" s="28"/>
      <c r="H396" s="29"/>
      <c r="I396" s="29"/>
      <c r="J396" s="13"/>
      <c r="K396" s="13"/>
      <c r="L396" s="12"/>
      <c r="M396" s="14"/>
      <c r="N396" s="147"/>
      <c r="O396" s="119" t="s">
        <v>145</v>
      </c>
      <c r="P396"/>
      <c r="Q396" s="1"/>
    </row>
    <row r="397" spans="1:17" ht="35.1" customHeight="1">
      <c r="A397"/>
      <c r="B397" s="12"/>
      <c r="C397" s="176"/>
      <c r="D397" s="38"/>
      <c r="E397" s="29"/>
      <c r="F397" s="41"/>
      <c r="G397" s="28"/>
      <c r="H397" s="29"/>
      <c r="I397" s="29"/>
      <c r="J397" s="13"/>
      <c r="K397" s="13"/>
      <c r="L397" s="12"/>
      <c r="M397" s="14"/>
      <c r="N397" s="147"/>
      <c r="O397" s="119" t="s">
        <v>145</v>
      </c>
      <c r="P397"/>
      <c r="Q397" s="1"/>
    </row>
    <row r="398" spans="1:17" ht="51.75" customHeight="1">
      <c r="A398"/>
      <c r="B398" s="12"/>
      <c r="C398" s="176"/>
      <c r="D398" s="38"/>
      <c r="E398" s="29"/>
      <c r="F398" s="41"/>
      <c r="G398" s="28"/>
      <c r="H398" s="29"/>
      <c r="I398" s="29"/>
      <c r="J398" s="13"/>
      <c r="K398" s="13"/>
      <c r="L398" s="12"/>
      <c r="M398" s="14"/>
      <c r="N398" s="147"/>
      <c r="O398" s="119" t="s">
        <v>145</v>
      </c>
      <c r="P398"/>
      <c r="Q398" s="1"/>
    </row>
    <row r="399" spans="1:17" ht="51.75" customHeight="1">
      <c r="A399"/>
      <c r="B399" s="12"/>
      <c r="C399" s="176"/>
      <c r="D399" s="38"/>
      <c r="E399" s="29"/>
      <c r="F399" s="41"/>
      <c r="G399" s="28"/>
      <c r="H399" s="29"/>
      <c r="I399" s="29"/>
      <c r="J399" s="13"/>
      <c r="K399" s="13"/>
      <c r="L399" s="12"/>
      <c r="M399" s="14"/>
      <c r="N399" s="147"/>
      <c r="O399" s="119" t="s">
        <v>145</v>
      </c>
      <c r="P399"/>
      <c r="Q399" s="1"/>
    </row>
    <row r="400" spans="1:17" ht="51.75" customHeight="1">
      <c r="A400"/>
      <c r="B400" s="12"/>
      <c r="C400" s="176"/>
      <c r="D400" s="38"/>
      <c r="E400" s="29"/>
      <c r="F400" s="41"/>
      <c r="G400" s="28"/>
      <c r="H400" s="29"/>
      <c r="I400" s="29"/>
      <c r="J400" s="13"/>
      <c r="K400" s="13"/>
      <c r="L400" s="12"/>
      <c r="M400" s="14"/>
      <c r="N400" s="147"/>
      <c r="O400" s="119" t="s">
        <v>145</v>
      </c>
      <c r="P400"/>
      <c r="Q400" s="1"/>
    </row>
    <row r="401" spans="1:17" ht="51.75" customHeight="1">
      <c r="A401"/>
      <c r="B401" s="12"/>
      <c r="C401" s="176"/>
      <c r="D401" s="38"/>
      <c r="E401" s="29"/>
      <c r="F401" s="41"/>
      <c r="G401" s="28"/>
      <c r="H401" s="29"/>
      <c r="I401" s="29"/>
      <c r="J401" s="13"/>
      <c r="K401" s="13"/>
      <c r="L401" s="12"/>
      <c r="M401" s="14"/>
      <c r="N401" s="147"/>
      <c r="O401" s="119" t="s">
        <v>145</v>
      </c>
      <c r="P401"/>
      <c r="Q401" s="1"/>
    </row>
    <row r="402" spans="1:17" ht="51.75" customHeight="1">
      <c r="A402"/>
      <c r="B402" s="12"/>
      <c r="C402" s="176"/>
      <c r="D402" s="38"/>
      <c r="E402" s="29"/>
      <c r="F402" s="41"/>
      <c r="G402" s="28"/>
      <c r="H402" s="29"/>
      <c r="I402" s="29"/>
      <c r="J402" s="13"/>
      <c r="K402" s="13"/>
      <c r="L402" s="12"/>
      <c r="M402" s="14"/>
      <c r="N402" s="147"/>
      <c r="O402" s="119" t="s">
        <v>145</v>
      </c>
      <c r="P402"/>
      <c r="Q402" s="1"/>
    </row>
    <row r="403" spans="1:17" ht="51.75" customHeight="1">
      <c r="A403"/>
      <c r="B403" s="29"/>
      <c r="C403" s="176"/>
      <c r="D403" s="38"/>
      <c r="E403" s="29"/>
      <c r="F403" s="41"/>
      <c r="G403" s="28"/>
      <c r="H403" s="29"/>
      <c r="I403" s="29"/>
      <c r="J403" s="13"/>
      <c r="K403" s="13"/>
      <c r="L403" s="12"/>
      <c r="M403" s="14"/>
      <c r="N403" s="147"/>
      <c r="O403" s="119" t="s">
        <v>145</v>
      </c>
      <c r="P403"/>
      <c r="Q403" s="1"/>
    </row>
    <row r="404" spans="1:17" ht="51.75" customHeight="1">
      <c r="A404"/>
      <c r="B404" s="29"/>
      <c r="C404" s="176"/>
      <c r="D404" s="38"/>
      <c r="E404" s="29"/>
      <c r="F404" s="41"/>
      <c r="G404" s="28"/>
      <c r="H404" s="29"/>
      <c r="I404" s="29"/>
      <c r="J404" s="13"/>
      <c r="K404" s="13"/>
      <c r="L404" s="12"/>
      <c r="M404" s="14"/>
      <c r="N404" s="147"/>
      <c r="O404" s="119" t="s">
        <v>145</v>
      </c>
      <c r="P404"/>
      <c r="Q404" s="1"/>
    </row>
    <row r="405" spans="1:17" ht="51.75" customHeight="1">
      <c r="A405"/>
      <c r="B405" s="29"/>
      <c r="C405" s="176"/>
      <c r="D405" s="38"/>
      <c r="E405" s="29"/>
      <c r="F405" s="41"/>
      <c r="G405" s="28"/>
      <c r="H405" s="29"/>
      <c r="I405" s="29"/>
      <c r="J405" s="13"/>
      <c r="K405" s="13"/>
      <c r="L405" s="12"/>
      <c r="M405" s="14"/>
      <c r="N405" s="147"/>
      <c r="O405" s="119" t="s">
        <v>145</v>
      </c>
      <c r="P405"/>
      <c r="Q405" s="1"/>
    </row>
    <row r="406" spans="1:17" ht="51.75" customHeight="1">
      <c r="A406"/>
      <c r="B406" s="29"/>
      <c r="C406" s="176"/>
      <c r="D406" s="38"/>
      <c r="E406" s="29"/>
      <c r="F406" s="41"/>
      <c r="G406" s="28"/>
      <c r="H406" s="29"/>
      <c r="I406" s="29"/>
      <c r="J406" s="13"/>
      <c r="K406" s="13"/>
      <c r="L406" s="12"/>
      <c r="M406" s="14"/>
      <c r="N406" s="147"/>
      <c r="O406" s="119" t="s">
        <v>145</v>
      </c>
      <c r="P406"/>
      <c r="Q406" s="1"/>
    </row>
    <row r="407" spans="1:17" ht="51.75" customHeight="1">
      <c r="A407"/>
      <c r="B407" s="29"/>
      <c r="C407" s="176"/>
      <c r="D407" s="38"/>
      <c r="E407" s="29"/>
      <c r="F407" s="41"/>
      <c r="G407" s="28"/>
      <c r="H407" s="29"/>
      <c r="I407" s="29"/>
      <c r="J407" s="13"/>
      <c r="K407" s="13"/>
      <c r="L407" s="12"/>
      <c r="M407" s="14"/>
      <c r="N407" s="147"/>
      <c r="O407" s="119" t="s">
        <v>145</v>
      </c>
      <c r="P407"/>
      <c r="Q407" s="1"/>
    </row>
    <row r="408" spans="1:17" ht="51.75" customHeight="1">
      <c r="A408"/>
      <c r="B408" s="29"/>
      <c r="C408" s="176"/>
      <c r="D408" s="38"/>
      <c r="E408" s="29"/>
      <c r="F408" s="41"/>
      <c r="G408" s="28"/>
      <c r="H408" s="29"/>
      <c r="I408" s="29"/>
      <c r="J408" s="13"/>
      <c r="K408" s="13"/>
      <c r="L408" s="12"/>
      <c r="M408" s="14"/>
      <c r="N408" s="147"/>
      <c r="O408" s="119" t="s">
        <v>145</v>
      </c>
      <c r="P408"/>
      <c r="Q408" s="1"/>
    </row>
    <row r="409" spans="1:17" ht="51.75" customHeight="1">
      <c r="A409"/>
      <c r="B409" s="29"/>
      <c r="C409" s="176"/>
      <c r="D409" s="38"/>
      <c r="E409" s="29"/>
      <c r="F409" s="41"/>
      <c r="G409" s="28"/>
      <c r="H409" s="29"/>
      <c r="I409" s="29"/>
      <c r="J409" s="13"/>
      <c r="K409" s="13"/>
      <c r="L409" s="12"/>
      <c r="M409" s="14"/>
      <c r="N409" s="147"/>
      <c r="O409" s="119" t="s">
        <v>145</v>
      </c>
      <c r="P409"/>
      <c r="Q409" s="1"/>
    </row>
    <row r="410" spans="1:17" ht="35.1" customHeight="1">
      <c r="A410"/>
      <c r="B410" s="29"/>
      <c r="C410" s="176"/>
      <c r="D410" s="38"/>
      <c r="E410" s="29"/>
      <c r="F410" s="41"/>
      <c r="G410" s="28"/>
      <c r="H410" s="29"/>
      <c r="I410" s="29"/>
      <c r="J410" s="13"/>
      <c r="K410" s="13"/>
      <c r="L410" s="12"/>
      <c r="M410" s="14"/>
      <c r="N410" s="147"/>
      <c r="O410" s="119" t="s">
        <v>145</v>
      </c>
      <c r="P410"/>
      <c r="Q410" s="1"/>
    </row>
    <row r="411" spans="1:17" ht="35.1" customHeight="1">
      <c r="A411"/>
      <c r="B411" s="29"/>
      <c r="C411" s="176"/>
      <c r="D411" s="38"/>
      <c r="E411" s="29"/>
      <c r="F411" s="41"/>
      <c r="G411" s="28"/>
      <c r="H411" s="29"/>
      <c r="I411" s="29"/>
      <c r="J411" s="13"/>
      <c r="K411" s="13"/>
      <c r="L411" s="12"/>
      <c r="M411" s="14"/>
      <c r="N411" s="147"/>
      <c r="O411" s="119" t="s">
        <v>145</v>
      </c>
      <c r="P411"/>
      <c r="Q411" s="1"/>
    </row>
    <row r="412" spans="1:17" ht="35.1" customHeight="1">
      <c r="A412"/>
      <c r="B412" s="29"/>
      <c r="C412" s="176"/>
      <c r="D412" s="38"/>
      <c r="E412" s="29"/>
      <c r="F412" s="41"/>
      <c r="G412" s="28"/>
      <c r="H412" s="29"/>
      <c r="I412" s="29"/>
      <c r="J412" s="13"/>
      <c r="K412" s="13"/>
      <c r="L412" s="12"/>
      <c r="M412" s="14"/>
      <c r="N412" s="147"/>
      <c r="O412" s="119" t="s">
        <v>145</v>
      </c>
      <c r="P412"/>
      <c r="Q412" s="1"/>
    </row>
    <row r="413" spans="1:17" ht="35.1" customHeight="1">
      <c r="A413"/>
      <c r="B413" s="29"/>
      <c r="C413" s="176"/>
      <c r="D413" s="38"/>
      <c r="E413" s="29"/>
      <c r="F413" s="41"/>
      <c r="G413" s="28"/>
      <c r="H413" s="29"/>
      <c r="I413" s="29"/>
      <c r="J413" s="13"/>
      <c r="K413" s="13"/>
      <c r="L413" s="12"/>
      <c r="M413" s="14"/>
      <c r="N413" s="147"/>
      <c r="O413" s="119" t="s">
        <v>145</v>
      </c>
      <c r="P413"/>
      <c r="Q413" s="1"/>
    </row>
    <row r="414" spans="1:17" ht="35.1" customHeight="1">
      <c r="A414"/>
      <c r="B414" s="29"/>
      <c r="C414" s="176"/>
      <c r="D414" s="38"/>
      <c r="E414" s="29"/>
      <c r="F414" s="41"/>
      <c r="G414" s="28"/>
      <c r="H414" s="29"/>
      <c r="I414" s="29"/>
      <c r="J414" s="13"/>
      <c r="K414" s="13"/>
      <c r="L414" s="12"/>
      <c r="M414" s="14"/>
      <c r="N414" s="147"/>
      <c r="O414" s="119" t="s">
        <v>145</v>
      </c>
      <c r="P414"/>
      <c r="Q414" s="1"/>
    </row>
    <row r="415" spans="1:17" ht="35.1" customHeight="1">
      <c r="A415"/>
      <c r="B415" s="29"/>
      <c r="C415" s="176"/>
      <c r="D415" s="38"/>
      <c r="E415" s="29"/>
      <c r="F415" s="41"/>
      <c r="G415" s="28"/>
      <c r="H415" s="29"/>
      <c r="I415" s="29"/>
      <c r="J415" s="13"/>
      <c r="K415" s="13"/>
      <c r="L415" s="12"/>
      <c r="M415" s="14"/>
      <c r="N415" s="147"/>
      <c r="O415" s="119" t="s">
        <v>145</v>
      </c>
      <c r="P415"/>
      <c r="Q415" s="1"/>
    </row>
    <row r="416" spans="1:17" ht="35.1" customHeight="1">
      <c r="A416"/>
      <c r="B416" s="29"/>
      <c r="C416" s="176"/>
      <c r="D416" s="38"/>
      <c r="E416" s="29"/>
      <c r="F416" s="41"/>
      <c r="G416" s="28"/>
      <c r="H416" s="29"/>
      <c r="I416" s="29"/>
      <c r="J416" s="13"/>
      <c r="K416" s="13"/>
      <c r="L416" s="12"/>
      <c r="M416" s="14"/>
      <c r="N416" s="147"/>
      <c r="O416" s="119" t="s">
        <v>145</v>
      </c>
      <c r="P416"/>
      <c r="Q416" s="1"/>
    </row>
    <row r="417" spans="1:17" ht="35.1" customHeight="1">
      <c r="A417"/>
      <c r="B417" s="29"/>
      <c r="C417" s="176"/>
      <c r="D417" s="38"/>
      <c r="E417" s="29"/>
      <c r="F417" s="41"/>
      <c r="G417" s="28"/>
      <c r="H417" s="29"/>
      <c r="I417" s="29"/>
      <c r="J417" s="13"/>
      <c r="K417" s="13"/>
      <c r="L417" s="12"/>
      <c r="M417" s="14"/>
      <c r="N417" s="147"/>
      <c r="O417" s="119" t="s">
        <v>145</v>
      </c>
      <c r="P417"/>
      <c r="Q417" s="1"/>
    </row>
    <row r="418" spans="1:17" ht="35.1" customHeight="1">
      <c r="A418"/>
      <c r="B418" s="29"/>
      <c r="C418" s="176"/>
      <c r="D418" s="38"/>
      <c r="E418" s="29"/>
      <c r="F418" s="41"/>
      <c r="G418" s="28"/>
      <c r="H418" s="29"/>
      <c r="I418" s="29"/>
      <c r="J418" s="13"/>
      <c r="K418" s="13"/>
      <c r="L418" s="12"/>
      <c r="M418" s="14"/>
      <c r="N418" s="147"/>
      <c r="O418" s="119" t="s">
        <v>145</v>
      </c>
      <c r="P418"/>
      <c r="Q418" s="1"/>
    </row>
    <row r="419" spans="1:17" ht="35.1" customHeight="1">
      <c r="A419"/>
      <c r="B419" s="29"/>
      <c r="C419" s="176"/>
      <c r="D419" s="38"/>
      <c r="E419" s="29"/>
      <c r="F419" s="41"/>
      <c r="G419" s="28"/>
      <c r="H419" s="29"/>
      <c r="I419" s="29"/>
      <c r="J419" s="13"/>
      <c r="K419" s="13"/>
      <c r="L419" s="12"/>
      <c r="M419" s="14"/>
      <c r="N419" s="147"/>
      <c r="O419" s="119" t="s">
        <v>145</v>
      </c>
      <c r="P419"/>
      <c r="Q419" s="1"/>
    </row>
    <row r="420" spans="1:17" ht="35.1" customHeight="1">
      <c r="A420"/>
      <c r="B420" s="29"/>
      <c r="C420" s="176"/>
      <c r="D420" s="38"/>
      <c r="E420" s="29"/>
      <c r="F420" s="41"/>
      <c r="G420" s="28"/>
      <c r="H420" s="29"/>
      <c r="I420" s="29"/>
      <c r="J420" s="13"/>
      <c r="K420" s="13"/>
      <c r="L420" s="12"/>
      <c r="M420" s="14"/>
      <c r="N420" s="147"/>
      <c r="O420" s="119" t="s">
        <v>145</v>
      </c>
      <c r="P420"/>
      <c r="Q420" s="1"/>
    </row>
    <row r="421" spans="1:17" ht="35.1" customHeight="1">
      <c r="A421"/>
      <c r="B421" s="29"/>
      <c r="C421" s="176"/>
      <c r="D421" s="38"/>
      <c r="E421" s="29"/>
      <c r="F421" s="41"/>
      <c r="G421" s="28"/>
      <c r="H421" s="29"/>
      <c r="I421" s="29"/>
      <c r="J421" s="13"/>
      <c r="K421" s="13"/>
      <c r="L421" s="12"/>
      <c r="M421" s="14"/>
      <c r="N421" s="147"/>
      <c r="O421" s="119" t="s">
        <v>145</v>
      </c>
      <c r="P421"/>
      <c r="Q421" s="1"/>
    </row>
    <row r="422" spans="1:17" ht="35.1" customHeight="1">
      <c r="A422"/>
      <c r="B422" s="29"/>
      <c r="C422" s="176"/>
      <c r="D422" s="38"/>
      <c r="E422" s="29"/>
      <c r="F422" s="41"/>
      <c r="G422" s="28"/>
      <c r="H422" s="29"/>
      <c r="I422" s="29"/>
      <c r="J422" s="13"/>
      <c r="K422" s="13"/>
      <c r="L422" s="12"/>
      <c r="M422" s="14"/>
      <c r="N422" s="147"/>
      <c r="O422" s="119" t="s">
        <v>145</v>
      </c>
      <c r="P422"/>
      <c r="Q422" s="1"/>
    </row>
    <row r="423" spans="1:17" ht="34.5" customHeight="1">
      <c r="A423"/>
      <c r="B423" s="29"/>
      <c r="C423" s="176"/>
      <c r="D423" s="38"/>
      <c r="E423" s="29"/>
      <c r="F423" s="35"/>
      <c r="G423" s="28"/>
      <c r="H423" s="29"/>
      <c r="I423" s="29"/>
      <c r="J423" s="13"/>
      <c r="K423" s="13"/>
      <c r="L423" s="12"/>
      <c r="M423" s="14"/>
      <c r="N423" s="147"/>
      <c r="O423" s="119" t="s">
        <v>145</v>
      </c>
      <c r="P423"/>
      <c r="Q423" s="1"/>
    </row>
    <row r="424" spans="1:17" ht="34.5" customHeight="1">
      <c r="A424"/>
      <c r="B424" s="29"/>
      <c r="C424" s="176"/>
      <c r="D424" s="38"/>
      <c r="E424" s="29"/>
      <c r="F424" s="35"/>
      <c r="G424" s="28"/>
      <c r="H424" s="29"/>
      <c r="I424" s="29"/>
      <c r="J424" s="13"/>
      <c r="K424" s="13"/>
      <c r="L424" s="12"/>
      <c r="M424" s="14"/>
      <c r="N424" s="147"/>
      <c r="O424" s="119" t="s">
        <v>145</v>
      </c>
      <c r="P424"/>
      <c r="Q424" s="1"/>
    </row>
    <row r="425" spans="1:17" ht="34.5" customHeight="1">
      <c r="A425"/>
      <c r="B425" s="29"/>
      <c r="C425" s="176"/>
      <c r="D425" s="38"/>
      <c r="E425" s="29"/>
      <c r="F425" s="35"/>
      <c r="G425" s="28"/>
      <c r="H425" s="29"/>
      <c r="I425" s="29"/>
      <c r="J425" s="13"/>
      <c r="K425" s="13"/>
      <c r="L425" s="12"/>
      <c r="M425" s="14"/>
      <c r="N425" s="147"/>
      <c r="O425" s="119" t="s">
        <v>145</v>
      </c>
      <c r="P425"/>
      <c r="Q425" s="1"/>
    </row>
    <row r="426" spans="1:17" ht="34.5" customHeight="1">
      <c r="A426"/>
      <c r="B426" s="29"/>
      <c r="C426" s="176"/>
      <c r="D426" s="38"/>
      <c r="E426" s="29"/>
      <c r="F426" s="35"/>
      <c r="G426" s="28"/>
      <c r="H426" s="29"/>
      <c r="I426" s="29"/>
      <c r="J426" s="13"/>
      <c r="K426" s="13"/>
      <c r="L426" s="12"/>
      <c r="M426" s="14"/>
      <c r="N426" s="147"/>
      <c r="O426" s="119" t="s">
        <v>145</v>
      </c>
      <c r="P426"/>
      <c r="Q426" s="1"/>
    </row>
    <row r="427" spans="1:17" ht="34.5" customHeight="1">
      <c r="A427"/>
      <c r="B427" s="29"/>
      <c r="C427" s="176"/>
      <c r="D427" s="38"/>
      <c r="E427" s="29"/>
      <c r="F427" s="35"/>
      <c r="G427" s="28"/>
      <c r="H427" s="29"/>
      <c r="I427" s="29"/>
      <c r="J427" s="13"/>
      <c r="K427" s="13"/>
      <c r="L427" s="12"/>
      <c r="M427" s="14"/>
      <c r="N427" s="147"/>
      <c r="O427" s="119" t="s">
        <v>145</v>
      </c>
      <c r="P427"/>
      <c r="Q427" s="1"/>
    </row>
    <row r="428" spans="1:17" ht="34.5" customHeight="1">
      <c r="A428"/>
      <c r="B428" s="29"/>
      <c r="C428" s="176"/>
      <c r="D428" s="38"/>
      <c r="E428" s="29"/>
      <c r="F428" s="35"/>
      <c r="G428" s="28"/>
      <c r="H428" s="29"/>
      <c r="I428" s="29"/>
      <c r="J428" s="13"/>
      <c r="K428" s="13"/>
      <c r="L428" s="12"/>
      <c r="M428" s="14"/>
      <c r="N428" s="147"/>
      <c r="O428" s="119" t="s">
        <v>145</v>
      </c>
      <c r="P428"/>
      <c r="Q428" s="1"/>
    </row>
    <row r="429" spans="1:17" ht="34.5" customHeight="1">
      <c r="A429"/>
      <c r="B429" s="29"/>
      <c r="C429" s="176"/>
      <c r="D429" s="38"/>
      <c r="E429" s="29"/>
      <c r="F429" s="35"/>
      <c r="G429" s="28"/>
      <c r="H429" s="29"/>
      <c r="I429" s="29"/>
      <c r="J429" s="13"/>
      <c r="K429" s="13"/>
      <c r="L429" s="12"/>
      <c r="M429" s="14"/>
      <c r="N429" s="147"/>
      <c r="O429" s="119" t="s">
        <v>145</v>
      </c>
      <c r="P429"/>
      <c r="Q429" s="1"/>
    </row>
    <row r="430" spans="1:17" ht="34.5" customHeight="1">
      <c r="A430"/>
      <c r="B430" s="29"/>
      <c r="C430" s="176"/>
      <c r="D430" s="38"/>
      <c r="E430" s="29"/>
      <c r="F430" s="35"/>
      <c r="G430" s="28"/>
      <c r="H430" s="29"/>
      <c r="I430" s="29"/>
      <c r="J430" s="13"/>
      <c r="K430" s="13"/>
      <c r="L430" s="12"/>
      <c r="M430" s="14"/>
      <c r="N430" s="147"/>
      <c r="O430" s="119" t="s">
        <v>145</v>
      </c>
      <c r="P430"/>
      <c r="Q430" s="1"/>
    </row>
    <row r="431" spans="1:17" ht="34.5" customHeight="1" thickBot="1">
      <c r="A431"/>
      <c r="B431" s="29"/>
      <c r="C431" s="176"/>
      <c r="D431" s="38"/>
      <c r="E431" s="29"/>
      <c r="F431" s="35"/>
      <c r="G431" s="28"/>
      <c r="H431" s="29"/>
      <c r="I431" s="29"/>
      <c r="J431" s="13"/>
      <c r="K431" s="13"/>
      <c r="L431" s="12"/>
      <c r="M431" s="14"/>
      <c r="N431" s="147"/>
      <c r="O431" s="119" t="s">
        <v>145</v>
      </c>
      <c r="P431"/>
      <c r="Q431" s="1"/>
    </row>
    <row r="432" spans="1:17" ht="35.1" customHeight="1">
      <c r="A432"/>
      <c r="B432" s="29"/>
      <c r="C432" s="176"/>
      <c r="D432" s="15"/>
      <c r="E432" s="29"/>
      <c r="F432" s="35"/>
      <c r="G432" s="28"/>
      <c r="H432" s="29"/>
      <c r="I432" s="29"/>
      <c r="J432" s="13"/>
      <c r="K432" s="13"/>
      <c r="L432" s="12"/>
      <c r="M432" s="14"/>
      <c r="N432" s="147"/>
      <c r="O432" s="119" t="s">
        <v>145</v>
      </c>
      <c r="P432"/>
      <c r="Q432" s="1"/>
    </row>
    <row r="433" spans="1:17" ht="35.1" customHeight="1">
      <c r="A433"/>
      <c r="B433" s="29"/>
      <c r="C433" s="176"/>
      <c r="D433" s="38"/>
      <c r="E433" s="29"/>
      <c r="F433" s="35"/>
      <c r="G433" s="28"/>
      <c r="H433" s="29"/>
      <c r="I433" s="29"/>
      <c r="J433" s="13"/>
      <c r="K433" s="13"/>
      <c r="L433" s="12"/>
      <c r="M433" s="14"/>
      <c r="N433" s="147"/>
      <c r="O433" s="119" t="s">
        <v>145</v>
      </c>
      <c r="P433"/>
      <c r="Q433" s="1"/>
    </row>
    <row r="434" spans="1:17" ht="35.1" customHeight="1">
      <c r="A434"/>
      <c r="B434" s="29"/>
      <c r="C434" s="176"/>
      <c r="D434" s="38"/>
      <c r="E434" s="29"/>
      <c r="F434" s="35"/>
      <c r="G434" s="28"/>
      <c r="H434" s="29"/>
      <c r="I434" s="29"/>
      <c r="J434" s="13"/>
      <c r="K434" s="13"/>
      <c r="L434" s="12"/>
      <c r="M434" s="14"/>
      <c r="N434" s="147"/>
      <c r="O434" s="119" t="s">
        <v>145</v>
      </c>
      <c r="P434"/>
      <c r="Q434" s="1"/>
    </row>
    <row r="435" spans="1:17" ht="35.1" customHeight="1">
      <c r="A435"/>
      <c r="B435" s="29"/>
      <c r="C435" s="176"/>
      <c r="D435" s="38"/>
      <c r="E435" s="29"/>
      <c r="F435" s="35"/>
      <c r="G435" s="28"/>
      <c r="H435" s="29"/>
      <c r="I435" s="29"/>
      <c r="J435" s="13"/>
      <c r="K435" s="13"/>
      <c r="L435" s="12"/>
      <c r="M435" s="14"/>
      <c r="N435" s="147"/>
      <c r="O435" s="119" t="s">
        <v>145</v>
      </c>
      <c r="P435"/>
      <c r="Q435" s="1"/>
    </row>
    <row r="436" spans="1:17" ht="35.1" customHeight="1">
      <c r="A436"/>
      <c r="B436" s="29"/>
      <c r="C436" s="176"/>
      <c r="D436" s="38"/>
      <c r="E436" s="29"/>
      <c r="F436" s="35"/>
      <c r="G436" s="28"/>
      <c r="H436" s="29"/>
      <c r="I436" s="29"/>
      <c r="J436" s="13"/>
      <c r="K436" s="13"/>
      <c r="L436" s="12"/>
      <c r="M436" s="14"/>
      <c r="N436" s="147"/>
      <c r="O436" s="119" t="s">
        <v>145</v>
      </c>
      <c r="P436"/>
      <c r="Q436" s="1"/>
    </row>
    <row r="437" spans="1:17" ht="35.1" customHeight="1">
      <c r="A437"/>
      <c r="B437" s="29"/>
      <c r="C437" s="176"/>
      <c r="D437" s="38"/>
      <c r="E437" s="29"/>
      <c r="F437" s="35"/>
      <c r="G437" s="28"/>
      <c r="H437" s="29"/>
      <c r="I437" s="29"/>
      <c r="J437" s="13"/>
      <c r="K437" s="13"/>
      <c r="L437" s="12"/>
      <c r="M437" s="14"/>
      <c r="N437" s="147"/>
      <c r="O437" s="119" t="s">
        <v>145</v>
      </c>
      <c r="P437"/>
      <c r="Q437" s="1"/>
    </row>
    <row r="438" spans="1:17" ht="35.1" customHeight="1">
      <c r="A438"/>
      <c r="B438" s="29"/>
      <c r="C438" s="176"/>
      <c r="D438" s="38"/>
      <c r="E438" s="29"/>
      <c r="F438" s="35"/>
      <c r="G438" s="28"/>
      <c r="H438" s="29"/>
      <c r="I438" s="29"/>
      <c r="J438" s="13"/>
      <c r="K438" s="13"/>
      <c r="L438" s="12"/>
      <c r="M438" s="14"/>
      <c r="N438" s="147"/>
      <c r="O438" s="119" t="s">
        <v>145</v>
      </c>
      <c r="P438"/>
      <c r="Q438" s="1"/>
    </row>
    <row r="439" spans="1:17" ht="35.1" customHeight="1">
      <c r="A439"/>
      <c r="B439" s="29"/>
      <c r="C439" s="176"/>
      <c r="D439" s="38"/>
      <c r="E439" s="29"/>
      <c r="F439" s="35"/>
      <c r="G439" s="28"/>
      <c r="H439" s="29"/>
      <c r="I439" s="29"/>
      <c r="J439" s="13"/>
      <c r="K439" s="13"/>
      <c r="L439" s="12"/>
      <c r="M439" s="14"/>
      <c r="N439" s="147"/>
      <c r="O439" s="119" t="s">
        <v>145</v>
      </c>
      <c r="P439"/>
      <c r="Q439" s="1"/>
    </row>
    <row r="440" spans="1:17" ht="35.1" customHeight="1">
      <c r="A440"/>
      <c r="B440" s="29"/>
      <c r="C440" s="176"/>
      <c r="D440" s="38"/>
      <c r="E440" s="29"/>
      <c r="F440" s="35"/>
      <c r="G440" s="28"/>
      <c r="H440" s="29"/>
      <c r="I440" s="29"/>
      <c r="J440" s="13"/>
      <c r="K440" s="13"/>
      <c r="L440" s="12"/>
      <c r="M440" s="14"/>
      <c r="N440" s="147"/>
      <c r="O440" s="119" t="s">
        <v>145</v>
      </c>
      <c r="P440"/>
      <c r="Q440" s="1"/>
    </row>
    <row r="441" spans="1:17" ht="35.1" customHeight="1">
      <c r="A441"/>
      <c r="B441" s="29"/>
      <c r="C441" s="176"/>
      <c r="D441" s="38"/>
      <c r="E441" s="29"/>
      <c r="F441" s="35"/>
      <c r="G441" s="28"/>
      <c r="H441" s="29"/>
      <c r="I441" s="29"/>
      <c r="J441" s="13"/>
      <c r="K441" s="13"/>
      <c r="L441" s="12"/>
      <c r="M441" s="14"/>
      <c r="N441" s="147"/>
      <c r="O441" s="119" t="s">
        <v>145</v>
      </c>
      <c r="P441"/>
      <c r="Q441" s="1"/>
    </row>
    <row r="442" spans="1:17" ht="35.1" customHeight="1">
      <c r="A442"/>
      <c r="B442" s="29"/>
      <c r="C442" s="176"/>
      <c r="D442" s="38"/>
      <c r="E442" s="29"/>
      <c r="F442" s="35"/>
      <c r="G442" s="28"/>
      <c r="H442" s="29"/>
      <c r="I442" s="29"/>
      <c r="J442" s="13"/>
      <c r="K442" s="13"/>
      <c r="L442" s="12"/>
      <c r="M442" s="14"/>
      <c r="N442" s="147"/>
      <c r="O442" s="119" t="s">
        <v>145</v>
      </c>
      <c r="P442"/>
      <c r="Q442" s="1"/>
    </row>
    <row r="443" spans="1:17" ht="35.1" customHeight="1">
      <c r="A443"/>
      <c r="B443" s="29"/>
      <c r="C443" s="176"/>
      <c r="D443" s="38"/>
      <c r="E443" s="29"/>
      <c r="F443" s="35"/>
      <c r="G443" s="28"/>
      <c r="H443" s="29"/>
      <c r="I443" s="29"/>
      <c r="J443" s="13"/>
      <c r="K443" s="13"/>
      <c r="L443" s="12"/>
      <c r="M443" s="14"/>
      <c r="N443" s="147"/>
      <c r="O443" s="119" t="s">
        <v>145</v>
      </c>
      <c r="P443"/>
      <c r="Q443" s="1"/>
    </row>
    <row r="444" spans="1:17" ht="35.1" customHeight="1">
      <c r="A444"/>
      <c r="B444" s="29"/>
      <c r="C444" s="176"/>
      <c r="D444" s="38"/>
      <c r="E444" s="29"/>
      <c r="F444" s="35"/>
      <c r="G444" s="28"/>
      <c r="H444" s="29"/>
      <c r="I444" s="29"/>
      <c r="J444" s="13"/>
      <c r="K444" s="13"/>
      <c r="L444" s="12"/>
      <c r="M444" s="14"/>
      <c r="N444" s="147"/>
      <c r="O444" s="119" t="s">
        <v>145</v>
      </c>
      <c r="P444"/>
      <c r="Q444" s="1"/>
    </row>
    <row r="445" spans="1:17" ht="35.1" customHeight="1">
      <c r="A445"/>
      <c r="B445" s="29"/>
      <c r="C445" s="176"/>
      <c r="D445" s="38"/>
      <c r="E445" s="29"/>
      <c r="F445" s="35"/>
      <c r="G445" s="28"/>
      <c r="H445" s="29"/>
      <c r="I445" s="29"/>
      <c r="J445" s="13"/>
      <c r="K445" s="13"/>
      <c r="L445" s="12"/>
      <c r="M445" s="14"/>
      <c r="N445" s="147"/>
      <c r="O445" s="119" t="s">
        <v>145</v>
      </c>
      <c r="P445"/>
      <c r="Q445" s="1"/>
    </row>
    <row r="446" spans="1:17" ht="35.1" customHeight="1">
      <c r="A446"/>
      <c r="B446" s="29"/>
      <c r="C446" s="176"/>
      <c r="D446" s="11"/>
      <c r="E446" s="29"/>
      <c r="F446" s="29"/>
      <c r="G446" s="28"/>
      <c r="H446" s="29"/>
      <c r="I446" s="29"/>
      <c r="J446" s="13"/>
      <c r="K446" s="13"/>
      <c r="L446" s="12"/>
      <c r="M446" s="14"/>
      <c r="N446" s="147"/>
      <c r="O446" s="119" t="s">
        <v>145</v>
      </c>
      <c r="P446"/>
      <c r="Q446" s="1"/>
    </row>
    <row r="447" spans="1:17" ht="35.1" customHeight="1">
      <c r="A447"/>
      <c r="B447" s="29"/>
      <c r="C447" s="176"/>
      <c r="D447" s="11"/>
      <c r="E447" s="29"/>
      <c r="F447" s="29"/>
      <c r="G447" s="28"/>
      <c r="H447" s="29"/>
      <c r="I447" s="29"/>
      <c r="J447" s="13"/>
      <c r="K447" s="13"/>
      <c r="L447" s="12"/>
      <c r="M447" s="14"/>
      <c r="N447" s="147"/>
      <c r="O447" s="119" t="s">
        <v>145</v>
      </c>
      <c r="P447"/>
      <c r="Q447" s="1"/>
    </row>
    <row r="448" spans="1:17" ht="35.1" customHeight="1">
      <c r="A448"/>
      <c r="B448" s="29"/>
      <c r="C448" s="176"/>
      <c r="D448" s="11"/>
      <c r="E448" s="29"/>
      <c r="F448" s="29"/>
      <c r="G448" s="28"/>
      <c r="H448" s="29"/>
      <c r="I448" s="29"/>
      <c r="J448" s="13"/>
      <c r="K448" s="13"/>
      <c r="L448" s="12"/>
      <c r="M448" s="14"/>
      <c r="N448" s="147"/>
      <c r="O448" s="119" t="s">
        <v>145</v>
      </c>
      <c r="P448"/>
      <c r="Q448" s="1"/>
    </row>
    <row r="449" spans="1:17" ht="35.1" customHeight="1">
      <c r="A449"/>
      <c r="B449" s="29"/>
      <c r="C449" s="176"/>
      <c r="D449" s="11"/>
      <c r="E449" s="29"/>
      <c r="F449" s="29"/>
      <c r="G449" s="28"/>
      <c r="H449" s="29"/>
      <c r="I449" s="29"/>
      <c r="J449" s="13"/>
      <c r="K449" s="13"/>
      <c r="L449" s="12"/>
      <c r="M449" s="14"/>
      <c r="N449" s="147"/>
      <c r="O449" s="119" t="s">
        <v>145</v>
      </c>
      <c r="P449"/>
      <c r="Q449" s="1"/>
    </row>
    <row r="450" spans="1:17" ht="35.1" customHeight="1">
      <c r="A450"/>
      <c r="B450" s="29"/>
      <c r="C450" s="176"/>
      <c r="D450" s="11"/>
      <c r="E450" s="29"/>
      <c r="F450" s="17"/>
      <c r="G450" s="28"/>
      <c r="H450" s="29"/>
      <c r="I450" s="29"/>
      <c r="J450" s="13"/>
      <c r="K450" s="13"/>
      <c r="L450" s="12"/>
      <c r="M450" s="14"/>
      <c r="N450" s="147"/>
      <c r="O450" s="119" t="s">
        <v>145</v>
      </c>
      <c r="P450"/>
      <c r="Q450" s="1"/>
    </row>
    <row r="451" spans="1:17" ht="35.1" customHeight="1">
      <c r="A451"/>
      <c r="B451" s="29"/>
      <c r="C451" s="176"/>
      <c r="D451" s="11"/>
      <c r="E451" s="29"/>
      <c r="F451" s="17"/>
      <c r="G451" s="28"/>
      <c r="H451" s="29"/>
      <c r="I451" s="29"/>
      <c r="J451" s="13"/>
      <c r="K451" s="13"/>
      <c r="L451" s="12"/>
      <c r="M451" s="14"/>
      <c r="N451" s="147"/>
      <c r="O451" s="119" t="s">
        <v>145</v>
      </c>
      <c r="P451"/>
      <c r="Q451" s="1"/>
    </row>
    <row r="452" spans="1:17" ht="35.1" customHeight="1">
      <c r="A452"/>
      <c r="B452" s="29"/>
      <c r="C452" s="176"/>
      <c r="D452" s="11"/>
      <c r="E452" s="29"/>
      <c r="F452" s="17"/>
      <c r="G452" s="28"/>
      <c r="H452" s="29"/>
      <c r="I452" s="29"/>
      <c r="J452" s="13"/>
      <c r="K452" s="13"/>
      <c r="L452" s="12"/>
      <c r="M452" s="14"/>
      <c r="N452" s="147"/>
      <c r="O452" s="119" t="s">
        <v>145</v>
      </c>
      <c r="P452"/>
      <c r="Q452" s="1"/>
    </row>
    <row r="453" spans="1:17" ht="35.1" customHeight="1">
      <c r="A453"/>
      <c r="B453" s="29"/>
      <c r="C453" s="176"/>
      <c r="D453" s="11"/>
      <c r="E453" s="29"/>
      <c r="F453" s="17"/>
      <c r="G453" s="28"/>
      <c r="H453" s="29"/>
      <c r="I453" s="29"/>
      <c r="J453" s="13"/>
      <c r="K453" s="13"/>
      <c r="L453" s="12"/>
      <c r="M453" s="14"/>
      <c r="N453" s="147"/>
      <c r="O453" s="119" t="s">
        <v>145</v>
      </c>
      <c r="P453"/>
      <c r="Q453" s="1"/>
    </row>
    <row r="454" spans="1:17" ht="35.1" customHeight="1">
      <c r="A454"/>
      <c r="B454" s="29"/>
      <c r="C454" s="176"/>
      <c r="D454" s="11"/>
      <c r="E454" s="29"/>
      <c r="F454" s="17"/>
      <c r="G454" s="28"/>
      <c r="H454" s="29"/>
      <c r="I454" s="29"/>
      <c r="J454" s="13"/>
      <c r="K454" s="13"/>
      <c r="L454" s="12"/>
      <c r="M454" s="14"/>
      <c r="N454" s="147"/>
      <c r="O454" s="119" t="s">
        <v>145</v>
      </c>
      <c r="P454"/>
      <c r="Q454" s="1"/>
    </row>
    <row r="455" spans="1:17" ht="35.1" customHeight="1">
      <c r="A455"/>
      <c r="B455" s="29"/>
      <c r="C455" s="176"/>
      <c r="D455" s="11"/>
      <c r="E455" s="29"/>
      <c r="F455" s="17"/>
      <c r="G455" s="28"/>
      <c r="H455" s="29"/>
      <c r="I455" s="29"/>
      <c r="J455" s="13"/>
      <c r="K455" s="13"/>
      <c r="L455" s="12"/>
      <c r="M455" s="14"/>
      <c r="N455" s="147"/>
      <c r="O455" s="119" t="s">
        <v>145</v>
      </c>
      <c r="P455"/>
      <c r="Q455" s="1"/>
    </row>
    <row r="456" spans="1:17" ht="35.1" customHeight="1">
      <c r="A456"/>
      <c r="B456" s="29"/>
      <c r="C456" s="176"/>
      <c r="D456" s="11"/>
      <c r="E456" s="29"/>
      <c r="F456" s="17"/>
      <c r="G456" s="28"/>
      <c r="H456" s="29"/>
      <c r="I456" s="29"/>
      <c r="J456" s="13"/>
      <c r="K456" s="13"/>
      <c r="L456" s="12"/>
      <c r="M456" s="14"/>
      <c r="N456" s="147"/>
      <c r="O456" s="119" t="s">
        <v>145</v>
      </c>
      <c r="P456"/>
      <c r="Q456" s="1"/>
    </row>
    <row r="457" spans="1:17" ht="35.1" customHeight="1">
      <c r="A457"/>
      <c r="B457" s="29"/>
      <c r="C457" s="176"/>
      <c r="D457" s="11"/>
      <c r="E457" s="29"/>
      <c r="F457" s="17"/>
      <c r="G457" s="28"/>
      <c r="H457" s="29"/>
      <c r="I457" s="29"/>
      <c r="J457" s="13"/>
      <c r="K457" s="13"/>
      <c r="L457" s="12"/>
      <c r="M457" s="14"/>
      <c r="N457" s="147"/>
      <c r="O457" s="119" t="s">
        <v>145</v>
      </c>
      <c r="P457"/>
      <c r="Q457" s="1"/>
    </row>
    <row r="458" spans="1:17" ht="35.1" customHeight="1">
      <c r="A458"/>
      <c r="B458" s="29"/>
      <c r="C458" s="176"/>
      <c r="D458" s="11"/>
      <c r="E458" s="29"/>
      <c r="F458" s="17"/>
      <c r="G458" s="28"/>
      <c r="H458" s="29"/>
      <c r="I458" s="29"/>
      <c r="J458" s="13"/>
      <c r="K458" s="13"/>
      <c r="L458" s="12"/>
      <c r="M458" s="14"/>
      <c r="N458" s="147"/>
      <c r="O458" s="119" t="s">
        <v>145</v>
      </c>
      <c r="P458"/>
      <c r="Q458" s="1"/>
    </row>
    <row r="459" spans="1:17" ht="35.1" customHeight="1">
      <c r="A459"/>
      <c r="B459" s="29"/>
      <c r="C459" s="176"/>
      <c r="D459" s="11"/>
      <c r="E459" s="29"/>
      <c r="F459" s="17"/>
      <c r="G459" s="28"/>
      <c r="H459" s="29"/>
      <c r="I459" s="29"/>
      <c r="J459" s="13"/>
      <c r="K459" s="13"/>
      <c r="L459" s="12"/>
      <c r="M459" s="14"/>
      <c r="N459" s="147"/>
      <c r="O459" s="119" t="s">
        <v>145</v>
      </c>
      <c r="P459"/>
      <c r="Q459" s="1"/>
    </row>
    <row r="460" spans="1:17" ht="35.1" customHeight="1">
      <c r="A460"/>
      <c r="B460" s="29"/>
      <c r="C460" s="176"/>
      <c r="D460" s="11"/>
      <c r="E460" s="29"/>
      <c r="F460" s="17"/>
      <c r="G460" s="28"/>
      <c r="H460" s="29"/>
      <c r="I460" s="29"/>
      <c r="J460" s="13"/>
      <c r="K460" s="13"/>
      <c r="L460" s="12"/>
      <c r="M460" s="14"/>
      <c r="N460" s="147"/>
      <c r="O460" s="119" t="s">
        <v>145</v>
      </c>
      <c r="P460"/>
      <c r="Q460" s="1"/>
    </row>
    <row r="461" spans="1:17" ht="35.1" customHeight="1">
      <c r="A461"/>
      <c r="B461" s="29"/>
      <c r="C461" s="176"/>
      <c r="D461" s="11"/>
      <c r="E461" s="29"/>
      <c r="F461" s="17"/>
      <c r="G461" s="28"/>
      <c r="H461" s="29"/>
      <c r="I461" s="29"/>
      <c r="J461" s="13"/>
      <c r="K461" s="13"/>
      <c r="L461" s="12"/>
      <c r="M461" s="14"/>
      <c r="N461" s="147"/>
      <c r="O461" s="119" t="s">
        <v>145</v>
      </c>
      <c r="P461"/>
      <c r="Q461" s="1"/>
    </row>
    <row r="462" spans="1:17" ht="35.1" customHeight="1">
      <c r="A462"/>
      <c r="B462" s="29"/>
      <c r="C462" s="176"/>
      <c r="D462" s="11"/>
      <c r="E462" s="29"/>
      <c r="F462" s="17"/>
      <c r="G462" s="28"/>
      <c r="H462" s="29"/>
      <c r="I462" s="29"/>
      <c r="J462" s="13"/>
      <c r="K462" s="13"/>
      <c r="L462" s="12"/>
      <c r="M462" s="14"/>
      <c r="N462" s="147"/>
      <c r="O462" s="119" t="s">
        <v>145</v>
      </c>
      <c r="P462"/>
      <c r="Q462" s="1"/>
    </row>
    <row r="463" spans="1:17" ht="35.1" customHeight="1">
      <c r="A463"/>
      <c r="B463" s="29"/>
      <c r="C463" s="176"/>
      <c r="D463" s="11"/>
      <c r="E463" s="16"/>
      <c r="F463" s="29"/>
      <c r="G463" s="28"/>
      <c r="H463" s="29"/>
      <c r="I463" s="29"/>
      <c r="J463" s="13"/>
      <c r="K463" s="13"/>
      <c r="L463" s="12"/>
      <c r="M463" s="14"/>
      <c r="N463" s="147"/>
      <c r="O463" s="119" t="s">
        <v>145</v>
      </c>
      <c r="P463"/>
      <c r="Q463" s="1"/>
    </row>
    <row r="464" spans="1:17" ht="35.1" customHeight="1">
      <c r="A464"/>
      <c r="B464" s="29"/>
      <c r="C464" s="176"/>
      <c r="D464" s="11"/>
      <c r="E464" s="16"/>
      <c r="F464" s="29"/>
      <c r="G464" s="28"/>
      <c r="H464" s="29"/>
      <c r="I464" s="29"/>
      <c r="J464" s="13"/>
      <c r="K464" s="13"/>
      <c r="L464" s="12"/>
      <c r="M464" s="14"/>
      <c r="N464" s="147"/>
      <c r="O464" s="119" t="s">
        <v>145</v>
      </c>
      <c r="P464"/>
      <c r="Q464" s="1"/>
    </row>
    <row r="465" spans="1:17" ht="35.1" customHeight="1">
      <c r="A465"/>
      <c r="B465" s="29"/>
      <c r="C465" s="176"/>
      <c r="D465" s="11"/>
      <c r="E465" s="16"/>
      <c r="F465" s="29"/>
      <c r="G465" s="28"/>
      <c r="H465" s="29"/>
      <c r="I465" s="29"/>
      <c r="J465" s="13"/>
      <c r="K465" s="13"/>
      <c r="L465" s="12"/>
      <c r="M465" s="14"/>
      <c r="N465" s="147"/>
      <c r="O465" s="119" t="s">
        <v>145</v>
      </c>
      <c r="P465"/>
      <c r="Q465" s="1"/>
    </row>
    <row r="466" spans="1:17" ht="35.1" customHeight="1">
      <c r="A466"/>
      <c r="B466" s="29"/>
      <c r="C466" s="176"/>
      <c r="D466" s="11"/>
      <c r="E466" s="16"/>
      <c r="F466" s="29"/>
      <c r="G466" s="28"/>
      <c r="H466" s="29"/>
      <c r="I466" s="29"/>
      <c r="J466" s="13"/>
      <c r="K466" s="13"/>
      <c r="L466" s="12"/>
      <c r="M466" s="14"/>
      <c r="N466" s="147"/>
      <c r="O466" s="119" t="s">
        <v>145</v>
      </c>
      <c r="P466"/>
      <c r="Q466" s="1"/>
    </row>
    <row r="467" spans="1:17" ht="35.1" customHeight="1">
      <c r="A467"/>
      <c r="B467" s="29"/>
      <c r="C467" s="176"/>
      <c r="D467" s="11"/>
      <c r="E467" s="16"/>
      <c r="F467" s="29"/>
      <c r="G467" s="28"/>
      <c r="H467" s="29"/>
      <c r="I467" s="29"/>
      <c r="J467" s="13"/>
      <c r="K467" s="13"/>
      <c r="L467" s="12"/>
      <c r="M467" s="14"/>
      <c r="N467" s="147"/>
      <c r="O467" s="119" t="s">
        <v>145</v>
      </c>
      <c r="P467"/>
      <c r="Q467" s="1"/>
    </row>
    <row r="468" spans="1:17" ht="35.1" customHeight="1">
      <c r="A468"/>
      <c r="B468" s="29"/>
      <c r="C468" s="176"/>
      <c r="D468" s="11"/>
      <c r="E468" s="16"/>
      <c r="F468" s="29"/>
      <c r="G468" s="28"/>
      <c r="H468" s="29"/>
      <c r="I468" s="29"/>
      <c r="J468" s="13"/>
      <c r="K468" s="13"/>
      <c r="L468" s="12"/>
      <c r="M468" s="14"/>
      <c r="N468" s="147"/>
      <c r="O468" s="119" t="s">
        <v>145</v>
      </c>
      <c r="P468"/>
      <c r="Q468" s="1"/>
    </row>
    <row r="469" spans="1:17" ht="35.1" customHeight="1">
      <c r="A469"/>
      <c r="B469" s="29"/>
      <c r="C469" s="176"/>
      <c r="D469" s="11"/>
      <c r="E469" s="16"/>
      <c r="F469" s="29"/>
      <c r="G469" s="28"/>
      <c r="H469" s="29"/>
      <c r="I469" s="29"/>
      <c r="J469" s="13"/>
      <c r="K469" s="13"/>
      <c r="L469" s="12"/>
      <c r="M469" s="14"/>
      <c r="N469" s="147"/>
      <c r="O469" s="119" t="s">
        <v>145</v>
      </c>
      <c r="P469"/>
      <c r="Q469" s="1"/>
    </row>
    <row r="470" spans="1:17" ht="35.1" customHeight="1">
      <c r="A470"/>
      <c r="B470" s="29"/>
      <c r="C470" s="176"/>
      <c r="D470" s="11"/>
      <c r="E470" s="16"/>
      <c r="F470" s="29"/>
      <c r="G470" s="28"/>
      <c r="H470" s="29"/>
      <c r="I470" s="29"/>
      <c r="J470" s="13"/>
      <c r="K470" s="13"/>
      <c r="L470" s="12"/>
      <c r="M470" s="14"/>
      <c r="N470" s="147"/>
      <c r="O470" s="119" t="s">
        <v>145</v>
      </c>
      <c r="P470"/>
      <c r="Q470" s="1"/>
    </row>
    <row r="471" spans="1:17" ht="35.1" customHeight="1">
      <c r="A471"/>
      <c r="B471" s="29"/>
      <c r="C471" s="176"/>
      <c r="D471" s="11"/>
      <c r="E471" s="16"/>
      <c r="F471" s="29"/>
      <c r="G471" s="28"/>
      <c r="H471" s="29"/>
      <c r="I471" s="29"/>
      <c r="J471" s="13"/>
      <c r="K471" s="13"/>
      <c r="L471" s="12"/>
      <c r="M471" s="14"/>
      <c r="N471" s="147"/>
      <c r="O471" s="119" t="s">
        <v>145</v>
      </c>
      <c r="P471"/>
      <c r="Q471" s="1"/>
    </row>
    <row r="472" spans="1:17" ht="35.1" customHeight="1">
      <c r="A472"/>
      <c r="B472" s="29"/>
      <c r="C472" s="176"/>
      <c r="D472" s="11"/>
      <c r="E472" s="16"/>
      <c r="F472" s="29"/>
      <c r="G472" s="28"/>
      <c r="H472" s="29"/>
      <c r="I472" s="29"/>
      <c r="J472" s="13"/>
      <c r="K472" s="13"/>
      <c r="L472" s="12"/>
      <c r="M472" s="14"/>
      <c r="N472" s="147"/>
      <c r="O472" s="119" t="s">
        <v>145</v>
      </c>
      <c r="P472"/>
      <c r="Q472" s="1"/>
    </row>
    <row r="473" spans="1:17" ht="35.1" customHeight="1">
      <c r="A473"/>
      <c r="B473" s="29"/>
      <c r="C473" s="176"/>
      <c r="D473" s="11"/>
      <c r="E473" s="16"/>
      <c r="F473" s="29"/>
      <c r="G473" s="28"/>
      <c r="H473" s="29"/>
      <c r="I473" s="29"/>
      <c r="J473" s="13"/>
      <c r="K473" s="13"/>
      <c r="L473" s="12"/>
      <c r="M473" s="14"/>
      <c r="N473" s="147"/>
      <c r="O473" s="119" t="s">
        <v>145</v>
      </c>
      <c r="P473"/>
      <c r="Q473" s="1"/>
    </row>
    <row r="474" spans="1:17" ht="35.1" customHeight="1">
      <c r="A474"/>
      <c r="B474" s="29"/>
      <c r="C474" s="176"/>
      <c r="D474" s="11"/>
      <c r="E474" s="16"/>
      <c r="F474" s="29"/>
      <c r="G474" s="28"/>
      <c r="H474" s="29"/>
      <c r="I474" s="29"/>
      <c r="J474" s="13"/>
      <c r="K474" s="13"/>
      <c r="L474" s="12"/>
      <c r="M474" s="14"/>
      <c r="N474" s="147"/>
      <c r="O474" s="119" t="s">
        <v>145</v>
      </c>
      <c r="P474"/>
      <c r="Q474" s="1"/>
    </row>
    <row r="475" spans="1:17" ht="35.1" customHeight="1">
      <c r="A475"/>
      <c r="B475" s="29"/>
      <c r="C475" s="176"/>
      <c r="D475" s="11"/>
      <c r="E475" s="16"/>
      <c r="F475" s="29"/>
      <c r="G475" s="28"/>
      <c r="H475" s="29"/>
      <c r="I475" s="29"/>
      <c r="J475" s="13"/>
      <c r="K475" s="13"/>
      <c r="L475" s="12"/>
      <c r="M475" s="14"/>
      <c r="N475" s="147"/>
      <c r="O475" s="119" t="s">
        <v>145</v>
      </c>
      <c r="P475"/>
      <c r="Q475" s="1"/>
    </row>
    <row r="476" spans="1:17" ht="35.1" customHeight="1">
      <c r="A476"/>
      <c r="B476" s="29"/>
      <c r="C476" s="176"/>
      <c r="D476" s="11"/>
      <c r="E476" s="16"/>
      <c r="F476" s="29"/>
      <c r="G476" s="28"/>
      <c r="H476" s="29"/>
      <c r="I476" s="29"/>
      <c r="J476" s="13"/>
      <c r="K476" s="13"/>
      <c r="L476" s="12"/>
      <c r="M476" s="14"/>
      <c r="N476" s="147"/>
      <c r="O476" s="119" t="s">
        <v>145</v>
      </c>
      <c r="P476"/>
      <c r="Q476" s="1"/>
    </row>
    <row r="477" spans="1:17" ht="35.1" customHeight="1">
      <c r="A477"/>
      <c r="B477" s="29"/>
      <c r="C477" s="176"/>
      <c r="D477" s="11"/>
      <c r="E477" s="16"/>
      <c r="F477" s="12"/>
      <c r="G477" s="28"/>
      <c r="H477" s="29"/>
      <c r="I477" s="29"/>
      <c r="J477" s="13"/>
      <c r="K477" s="13"/>
      <c r="L477" s="12"/>
      <c r="M477" s="14"/>
      <c r="N477" s="147"/>
      <c r="O477" s="119" t="s">
        <v>145</v>
      </c>
      <c r="P477"/>
      <c r="Q477" s="1"/>
    </row>
    <row r="478" spans="1:17" ht="35.1" customHeight="1">
      <c r="A478"/>
      <c r="B478" s="29"/>
      <c r="C478" s="176"/>
      <c r="D478" s="11"/>
      <c r="E478" s="16"/>
      <c r="F478" s="12"/>
      <c r="G478" s="28"/>
      <c r="H478" s="29"/>
      <c r="I478" s="29"/>
      <c r="J478" s="13"/>
      <c r="K478" s="13"/>
      <c r="L478" s="12"/>
      <c r="M478" s="14"/>
      <c r="N478" s="147"/>
      <c r="O478" s="119" t="s">
        <v>145</v>
      </c>
      <c r="P478"/>
      <c r="Q478" s="1"/>
    </row>
    <row r="479" spans="1:17" ht="35.1" customHeight="1">
      <c r="A479"/>
      <c r="B479" s="29"/>
      <c r="C479" s="176"/>
      <c r="D479" s="11"/>
      <c r="E479" s="16"/>
      <c r="F479" s="12"/>
      <c r="G479" s="28"/>
      <c r="H479" s="29"/>
      <c r="I479" s="29"/>
      <c r="J479" s="13"/>
      <c r="K479" s="13"/>
      <c r="L479" s="12"/>
      <c r="M479" s="14"/>
      <c r="N479" s="147"/>
      <c r="O479" s="119" t="s">
        <v>145</v>
      </c>
      <c r="P479"/>
      <c r="Q479" s="1"/>
    </row>
    <row r="480" spans="1:17" ht="35.1" customHeight="1">
      <c r="A480"/>
      <c r="B480" s="29"/>
      <c r="C480" s="176"/>
      <c r="D480" s="11"/>
      <c r="E480" s="29"/>
      <c r="F480" s="29"/>
      <c r="G480" s="28"/>
      <c r="H480" s="29"/>
      <c r="I480" s="29"/>
      <c r="J480" s="13"/>
      <c r="K480" s="13"/>
      <c r="L480" s="12"/>
      <c r="M480" s="14"/>
      <c r="N480" s="147"/>
      <c r="O480" s="119" t="s">
        <v>145</v>
      </c>
      <c r="P480"/>
      <c r="Q480" s="1"/>
    </row>
    <row r="481" spans="1:17" ht="35.1" customHeight="1">
      <c r="A481"/>
      <c r="B481" s="29"/>
      <c r="C481" s="176"/>
      <c r="D481" s="11"/>
      <c r="E481" s="29"/>
      <c r="F481" s="29"/>
      <c r="G481" s="28"/>
      <c r="H481" s="29"/>
      <c r="I481" s="29"/>
      <c r="J481" s="13"/>
      <c r="K481" s="13"/>
      <c r="L481" s="12"/>
      <c r="M481" s="14"/>
      <c r="N481" s="147"/>
      <c r="O481" s="119" t="s">
        <v>145</v>
      </c>
      <c r="P481"/>
      <c r="Q481" s="1"/>
    </row>
    <row r="482" spans="1:17" ht="35.1" customHeight="1">
      <c r="A482"/>
      <c r="B482" s="29"/>
      <c r="C482" s="176"/>
      <c r="D482" s="11"/>
      <c r="E482" s="29"/>
      <c r="F482" s="29"/>
      <c r="G482" s="28"/>
      <c r="H482" s="29"/>
      <c r="I482" s="29"/>
      <c r="J482" s="13"/>
      <c r="K482" s="13"/>
      <c r="L482" s="12"/>
      <c r="M482" s="14"/>
      <c r="N482" s="147"/>
      <c r="O482" s="119" t="s">
        <v>145</v>
      </c>
      <c r="P482"/>
      <c r="Q482" s="1"/>
    </row>
    <row r="483" spans="1:17" ht="35.1" customHeight="1">
      <c r="A483"/>
      <c r="B483" s="29"/>
      <c r="C483" s="176"/>
      <c r="D483" s="11"/>
      <c r="E483" s="29"/>
      <c r="F483" s="29"/>
      <c r="G483" s="28"/>
      <c r="H483" s="29"/>
      <c r="I483" s="29"/>
      <c r="J483" s="13"/>
      <c r="K483" s="13"/>
      <c r="L483" s="12"/>
      <c r="M483" s="14"/>
      <c r="N483" s="147"/>
      <c r="O483" s="119" t="s">
        <v>145</v>
      </c>
      <c r="P483"/>
      <c r="Q483" s="1"/>
    </row>
    <row r="484" spans="1:17" ht="35.1" customHeight="1">
      <c r="A484"/>
      <c r="B484" s="29"/>
      <c r="C484" s="176"/>
      <c r="D484" s="11"/>
      <c r="E484" s="29"/>
      <c r="F484" s="12"/>
      <c r="G484" s="28"/>
      <c r="H484" s="29"/>
      <c r="I484" s="29"/>
      <c r="J484" s="13"/>
      <c r="K484" s="13"/>
      <c r="L484" s="12"/>
      <c r="M484" s="14"/>
      <c r="N484" s="147"/>
      <c r="O484" s="119" t="s">
        <v>145</v>
      </c>
      <c r="P484"/>
      <c r="Q484" s="1"/>
    </row>
    <row r="485" spans="1:17" ht="34.5" customHeight="1">
      <c r="A485"/>
      <c r="B485" s="29"/>
      <c r="C485" s="176"/>
      <c r="D485" s="11"/>
      <c r="E485" s="29"/>
      <c r="F485" s="29"/>
      <c r="G485" s="28"/>
      <c r="H485" s="29"/>
      <c r="I485" s="29"/>
      <c r="J485" s="13"/>
      <c r="K485" s="13"/>
      <c r="L485" s="12"/>
      <c r="M485" s="14"/>
      <c r="N485" s="147"/>
      <c r="O485" s="119" t="s">
        <v>145</v>
      </c>
      <c r="P485"/>
      <c r="Q485" s="1"/>
    </row>
    <row r="486" spans="1:17" ht="34.5" customHeight="1">
      <c r="A486"/>
      <c r="B486" s="29"/>
      <c r="C486" s="176"/>
      <c r="D486" s="11"/>
      <c r="E486" s="29"/>
      <c r="F486" s="29"/>
      <c r="G486" s="28"/>
      <c r="H486" s="29"/>
      <c r="I486" s="29"/>
      <c r="J486" s="13"/>
      <c r="K486" s="13"/>
      <c r="L486" s="12"/>
      <c r="M486" s="14"/>
      <c r="N486" s="147"/>
      <c r="O486" s="119" t="s">
        <v>145</v>
      </c>
      <c r="P486"/>
      <c r="Q486" s="1"/>
    </row>
    <row r="487" spans="1:17" ht="35.1" customHeight="1">
      <c r="A487"/>
      <c r="B487" s="29"/>
      <c r="C487" s="176"/>
      <c r="D487" s="11"/>
      <c r="E487" s="29"/>
      <c r="F487" s="29"/>
      <c r="G487" s="28"/>
      <c r="H487" s="29"/>
      <c r="I487" s="29"/>
      <c r="J487" s="13"/>
      <c r="K487" s="13"/>
      <c r="L487" s="12"/>
      <c r="M487" s="14"/>
      <c r="N487" s="147"/>
      <c r="O487" s="119" t="s">
        <v>145</v>
      </c>
      <c r="P487"/>
      <c r="Q487" s="1"/>
    </row>
    <row r="488" spans="1:17" ht="35.1" customHeight="1">
      <c r="A488"/>
      <c r="B488" s="29"/>
      <c r="C488" s="176"/>
      <c r="D488" s="11"/>
      <c r="E488" s="29"/>
      <c r="F488" s="12"/>
      <c r="G488" s="28"/>
      <c r="H488" s="29"/>
      <c r="I488" s="29"/>
      <c r="J488" s="13"/>
      <c r="K488" s="13"/>
      <c r="L488" s="12"/>
      <c r="M488" s="14"/>
      <c r="N488" s="147"/>
      <c r="O488" s="119" t="s">
        <v>145</v>
      </c>
      <c r="P488"/>
      <c r="Q488" s="1"/>
    </row>
    <row r="489" spans="1:17" ht="35.1" customHeight="1">
      <c r="A489"/>
      <c r="B489" s="29"/>
      <c r="C489" s="176"/>
      <c r="D489" s="11"/>
      <c r="E489" s="29"/>
      <c r="F489" s="12"/>
      <c r="G489" s="28"/>
      <c r="H489" s="29"/>
      <c r="I489" s="29"/>
      <c r="J489" s="13"/>
      <c r="K489" s="13"/>
      <c r="L489" s="12"/>
      <c r="M489" s="14"/>
      <c r="N489" s="147"/>
      <c r="O489" s="119" t="s">
        <v>145</v>
      </c>
      <c r="P489"/>
      <c r="Q489" s="1"/>
    </row>
    <row r="490" spans="1:17" ht="35.1" customHeight="1">
      <c r="A490"/>
      <c r="B490" s="29"/>
      <c r="C490" s="176"/>
      <c r="D490" s="11"/>
      <c r="E490" s="29"/>
      <c r="F490" s="12"/>
      <c r="G490" s="28"/>
      <c r="H490" s="29"/>
      <c r="I490" s="29"/>
      <c r="J490" s="13"/>
      <c r="K490" s="13"/>
      <c r="L490" s="12"/>
      <c r="M490" s="14"/>
      <c r="N490" s="147"/>
      <c r="O490" s="119" t="s">
        <v>145</v>
      </c>
      <c r="P490"/>
      <c r="Q490" s="1"/>
    </row>
    <row r="491" spans="1:17" ht="35.1" customHeight="1">
      <c r="A491"/>
      <c r="B491" s="29"/>
      <c r="C491" s="176"/>
      <c r="D491" s="11"/>
      <c r="E491" s="29"/>
      <c r="F491" s="12"/>
      <c r="G491" s="28"/>
      <c r="H491" s="29"/>
      <c r="I491" s="29"/>
      <c r="J491" s="13"/>
      <c r="K491" s="13"/>
      <c r="L491" s="12"/>
      <c r="M491" s="14"/>
      <c r="N491" s="147"/>
      <c r="O491" s="119" t="s">
        <v>145</v>
      </c>
      <c r="P491"/>
      <c r="Q491" s="1"/>
    </row>
    <row r="492" spans="1:17" ht="35.1" customHeight="1">
      <c r="A492"/>
      <c r="B492" s="29"/>
      <c r="C492" s="176"/>
      <c r="D492" s="11"/>
      <c r="E492" s="29"/>
      <c r="F492" s="29"/>
      <c r="G492" s="28"/>
      <c r="H492" s="29"/>
      <c r="I492" s="29"/>
      <c r="J492" s="13"/>
      <c r="K492" s="13"/>
      <c r="L492" s="12"/>
      <c r="M492" s="14"/>
      <c r="N492" s="147"/>
      <c r="O492" s="119" t="s">
        <v>145</v>
      </c>
      <c r="P492"/>
      <c r="Q492" s="1"/>
    </row>
    <row r="493" spans="1:17" ht="35.1" customHeight="1">
      <c r="A493"/>
      <c r="B493" s="29"/>
      <c r="C493" s="176"/>
      <c r="D493" s="11"/>
      <c r="E493" s="29"/>
      <c r="F493" s="29"/>
      <c r="G493" s="28"/>
      <c r="H493" s="29"/>
      <c r="I493" s="29"/>
      <c r="J493" s="13"/>
      <c r="K493" s="13"/>
      <c r="L493" s="12"/>
      <c r="M493" s="14"/>
      <c r="N493" s="147"/>
      <c r="O493" s="119" t="s">
        <v>145</v>
      </c>
      <c r="P493"/>
      <c r="Q493" s="1"/>
    </row>
    <row r="494" spans="1:17" ht="35.1" customHeight="1">
      <c r="A494"/>
      <c r="B494" s="29"/>
      <c r="C494" s="176"/>
      <c r="D494" s="11"/>
      <c r="E494" s="29"/>
      <c r="F494" s="29"/>
      <c r="G494" s="29"/>
      <c r="H494" s="29"/>
      <c r="I494" s="29"/>
      <c r="J494" s="28"/>
      <c r="K494" s="135"/>
      <c r="L494" s="191"/>
      <c r="M494" s="30"/>
      <c r="N494" s="51"/>
      <c r="O494" s="119" t="s">
        <v>145</v>
      </c>
      <c r="P494"/>
      <c r="Q494" s="1"/>
    </row>
    <row r="495" spans="1:17" ht="35.1" customHeight="1">
      <c r="A495"/>
      <c r="B495" s="29"/>
      <c r="C495" s="176"/>
      <c r="D495" s="11"/>
      <c r="E495" s="29"/>
      <c r="F495" s="29"/>
      <c r="G495" s="29"/>
      <c r="H495" s="29"/>
      <c r="I495" s="29"/>
      <c r="J495" s="28"/>
      <c r="K495" s="135"/>
      <c r="L495" s="191"/>
      <c r="M495" s="30"/>
      <c r="N495" s="51"/>
      <c r="O495" s="119" t="s">
        <v>145</v>
      </c>
      <c r="P495"/>
      <c r="Q495" s="1"/>
    </row>
    <row r="496" spans="1:17" ht="35.1" customHeight="1">
      <c r="A496"/>
      <c r="B496" s="29"/>
      <c r="C496" s="176"/>
      <c r="D496" s="11"/>
      <c r="E496" s="29"/>
      <c r="F496" s="29"/>
      <c r="G496" s="29"/>
      <c r="H496" s="29"/>
      <c r="I496" s="29"/>
      <c r="J496" s="28"/>
      <c r="K496" s="135"/>
      <c r="L496" s="191"/>
      <c r="M496" s="30"/>
      <c r="N496" s="51"/>
      <c r="O496" s="119" t="s">
        <v>145</v>
      </c>
      <c r="P496"/>
      <c r="Q496" s="1"/>
    </row>
    <row r="497" spans="1:17" ht="35.1" customHeight="1">
      <c r="A497"/>
      <c r="B497" s="29"/>
      <c r="C497" s="176"/>
      <c r="D497" s="11"/>
      <c r="E497" s="29"/>
      <c r="F497" s="29"/>
      <c r="G497" s="29"/>
      <c r="H497" s="29"/>
      <c r="I497" s="29"/>
      <c r="J497" s="28"/>
      <c r="K497" s="135"/>
      <c r="L497" s="191"/>
      <c r="M497" s="30"/>
      <c r="N497" s="51"/>
      <c r="O497" s="119" t="s">
        <v>145</v>
      </c>
      <c r="P497"/>
      <c r="Q497" s="1"/>
    </row>
    <row r="498" spans="1:17" ht="35.1" customHeight="1">
      <c r="A498"/>
      <c r="B498" s="29"/>
      <c r="C498" s="176"/>
      <c r="D498" s="11"/>
      <c r="E498" s="29"/>
      <c r="F498" s="29"/>
      <c r="G498" s="29"/>
      <c r="H498" s="29"/>
      <c r="I498" s="29"/>
      <c r="J498" s="28"/>
      <c r="K498" s="135"/>
      <c r="L498" s="191"/>
      <c r="M498" s="30"/>
      <c r="N498" s="51"/>
      <c r="O498" s="119" t="s">
        <v>145</v>
      </c>
      <c r="P498"/>
      <c r="Q498" s="1"/>
    </row>
    <row r="499" spans="1:17" ht="35.1" customHeight="1">
      <c r="A499"/>
      <c r="B499" s="29"/>
      <c r="C499" s="176"/>
      <c r="D499" s="11"/>
      <c r="E499" s="29"/>
      <c r="F499" s="29"/>
      <c r="G499" s="29"/>
      <c r="H499" s="29"/>
      <c r="I499" s="29"/>
      <c r="J499" s="28"/>
      <c r="K499" s="135"/>
      <c r="L499" s="191"/>
      <c r="M499" s="30"/>
      <c r="N499" s="51"/>
      <c r="O499" s="119" t="s">
        <v>145</v>
      </c>
      <c r="P499"/>
      <c r="Q499" s="1"/>
    </row>
    <row r="500" spans="1:17" ht="35.1" customHeight="1">
      <c r="A500"/>
      <c r="B500" s="29"/>
      <c r="C500" s="176"/>
      <c r="D500" s="11"/>
      <c r="E500" s="29"/>
      <c r="F500" s="29"/>
      <c r="G500" s="29"/>
      <c r="H500" s="29"/>
      <c r="I500" s="29"/>
      <c r="J500" s="28"/>
      <c r="K500" s="135"/>
      <c r="L500" s="191"/>
      <c r="M500" s="30"/>
      <c r="N500" s="51"/>
      <c r="O500" s="119" t="s">
        <v>145</v>
      </c>
      <c r="P500"/>
      <c r="Q500" s="1"/>
    </row>
    <row r="501" spans="1:17" ht="35.1" customHeight="1">
      <c r="A501"/>
      <c r="B501" s="29"/>
      <c r="C501" s="176"/>
      <c r="D501" s="11"/>
      <c r="E501" s="29"/>
      <c r="F501" s="12"/>
      <c r="G501" s="28"/>
      <c r="H501" s="29"/>
      <c r="I501" s="29"/>
      <c r="J501" s="28"/>
      <c r="K501" s="135"/>
      <c r="L501" s="191"/>
      <c r="M501" s="30"/>
      <c r="N501" s="51"/>
      <c r="O501" s="119" t="s">
        <v>145</v>
      </c>
      <c r="P501"/>
      <c r="Q501" s="1"/>
    </row>
    <row r="502" spans="1:17" ht="35.1" customHeight="1">
      <c r="A502"/>
      <c r="B502" s="29"/>
      <c r="C502" s="176"/>
      <c r="D502" s="11"/>
      <c r="E502" s="29"/>
      <c r="F502" s="12"/>
      <c r="G502" s="28"/>
      <c r="H502" s="29"/>
      <c r="I502" s="29"/>
      <c r="J502" s="28"/>
      <c r="K502" s="135"/>
      <c r="L502" s="191"/>
      <c r="M502" s="30"/>
      <c r="N502" s="51"/>
      <c r="O502" s="119" t="s">
        <v>145</v>
      </c>
      <c r="P502"/>
      <c r="Q502" s="1"/>
    </row>
    <row r="503" spans="1:17" ht="35.1" customHeight="1">
      <c r="A503"/>
      <c r="B503" s="29"/>
      <c r="C503" s="176"/>
      <c r="D503" s="11"/>
      <c r="E503" s="29"/>
      <c r="F503" s="12"/>
      <c r="G503" s="28"/>
      <c r="H503" s="29"/>
      <c r="I503" s="29"/>
      <c r="J503" s="28"/>
      <c r="K503" s="135"/>
      <c r="L503" s="191"/>
      <c r="M503" s="30"/>
      <c r="N503" s="51"/>
      <c r="O503" s="119" t="s">
        <v>145</v>
      </c>
      <c r="P503"/>
      <c r="Q503" s="1"/>
    </row>
    <row r="504" spans="1:17" ht="35.1" customHeight="1">
      <c r="A504"/>
      <c r="B504" s="29"/>
      <c r="C504" s="176"/>
      <c r="D504" s="11"/>
      <c r="E504" s="29"/>
      <c r="F504" s="12"/>
      <c r="G504" s="28"/>
      <c r="H504" s="29"/>
      <c r="I504" s="29"/>
      <c r="J504" s="28"/>
      <c r="K504" s="135"/>
      <c r="L504" s="191"/>
      <c r="M504" s="30"/>
      <c r="N504" s="51"/>
      <c r="O504" s="119" t="s">
        <v>145</v>
      </c>
      <c r="P504"/>
      <c r="Q504" s="1"/>
    </row>
    <row r="505" spans="1:17" ht="35.1" customHeight="1">
      <c r="A505"/>
      <c r="B505" s="29"/>
      <c r="C505" s="176"/>
      <c r="D505" s="11"/>
      <c r="E505" s="29"/>
      <c r="F505" s="29"/>
      <c r="G505" s="28"/>
      <c r="H505" s="29"/>
      <c r="I505" s="29"/>
      <c r="J505" s="28"/>
      <c r="K505" s="135"/>
      <c r="L505" s="191"/>
      <c r="M505" s="30"/>
      <c r="N505" s="51"/>
      <c r="O505" s="119" t="s">
        <v>145</v>
      </c>
      <c r="P505"/>
      <c r="Q505" s="1"/>
    </row>
    <row r="506" spans="1:17" ht="35.1" customHeight="1">
      <c r="A506"/>
      <c r="B506" s="29"/>
      <c r="C506" s="176"/>
      <c r="D506" s="11"/>
      <c r="E506" s="29"/>
      <c r="F506" s="29"/>
      <c r="G506" s="28"/>
      <c r="H506" s="29"/>
      <c r="I506" s="29"/>
      <c r="J506" s="28"/>
      <c r="K506" s="135"/>
      <c r="L506" s="191"/>
      <c r="M506" s="30"/>
      <c r="N506" s="51"/>
      <c r="O506" s="119" t="s">
        <v>145</v>
      </c>
      <c r="P506"/>
      <c r="Q506" s="1"/>
    </row>
    <row r="507" spans="1:17" ht="34.5" customHeight="1">
      <c r="A507"/>
      <c r="B507" s="29"/>
      <c r="C507" s="176"/>
      <c r="D507" s="11"/>
      <c r="E507" s="29"/>
      <c r="F507" s="29"/>
      <c r="G507" s="28"/>
      <c r="H507" s="29"/>
      <c r="I507" s="29"/>
      <c r="J507" s="28"/>
      <c r="K507" s="135"/>
      <c r="L507" s="191"/>
      <c r="M507" s="30"/>
      <c r="N507" s="51"/>
      <c r="O507" s="119" t="s">
        <v>145</v>
      </c>
      <c r="P507"/>
      <c r="Q507" s="1"/>
    </row>
    <row r="508" spans="1:17" ht="35.1" customHeight="1">
      <c r="A508"/>
      <c r="B508" s="29"/>
      <c r="C508" s="176"/>
      <c r="D508" s="11"/>
      <c r="E508" s="29"/>
      <c r="F508" s="29"/>
      <c r="G508" s="28"/>
      <c r="H508" s="29"/>
      <c r="I508" s="29"/>
      <c r="J508" s="28"/>
      <c r="K508" s="135"/>
      <c r="L508" s="191"/>
      <c r="M508" s="30"/>
      <c r="N508" s="51"/>
      <c r="O508" s="119" t="s">
        <v>145</v>
      </c>
      <c r="P508"/>
      <c r="Q508" s="1"/>
    </row>
    <row r="509" spans="1:17" ht="35.1" customHeight="1">
      <c r="A509"/>
      <c r="B509" s="29"/>
      <c r="C509" s="173"/>
      <c r="D509" s="11"/>
      <c r="E509" s="29"/>
      <c r="F509" s="29"/>
      <c r="G509" s="29"/>
      <c r="H509" s="29"/>
      <c r="I509" s="29"/>
      <c r="J509" s="28"/>
      <c r="K509" s="135"/>
      <c r="L509" s="191"/>
      <c r="M509" s="30"/>
      <c r="N509" s="51"/>
      <c r="O509" s="119" t="s">
        <v>145</v>
      </c>
      <c r="P509"/>
      <c r="Q509" s="1"/>
    </row>
    <row r="510" spans="1:17" ht="35.1" customHeight="1">
      <c r="A510"/>
      <c r="B510" s="29"/>
      <c r="C510" s="176"/>
      <c r="D510" s="11"/>
      <c r="E510" s="29"/>
      <c r="F510" s="12"/>
      <c r="G510" s="28"/>
      <c r="H510" s="29"/>
      <c r="I510" s="29"/>
      <c r="J510" s="28"/>
      <c r="K510" s="135"/>
      <c r="L510" s="191"/>
      <c r="M510" s="30"/>
      <c r="N510" s="51"/>
      <c r="O510" s="119" t="s">
        <v>145</v>
      </c>
      <c r="P510"/>
      <c r="Q510" s="1"/>
    </row>
    <row r="511" spans="1:17" ht="35.1" customHeight="1">
      <c r="A511"/>
      <c r="B511" s="29"/>
      <c r="C511" s="176"/>
      <c r="D511" s="11"/>
      <c r="E511" s="29"/>
      <c r="F511" s="12"/>
      <c r="G511" s="28"/>
      <c r="H511" s="29"/>
      <c r="I511" s="29"/>
      <c r="J511" s="28"/>
      <c r="K511" s="135"/>
      <c r="L511" s="191"/>
      <c r="M511" s="30"/>
      <c r="N511" s="51"/>
      <c r="O511" s="119" t="s">
        <v>145</v>
      </c>
      <c r="P511"/>
      <c r="Q511" s="1"/>
    </row>
    <row r="512" spans="1:17" ht="35.1" customHeight="1">
      <c r="A512"/>
      <c r="B512" s="29"/>
      <c r="C512" s="176"/>
      <c r="D512" s="11"/>
      <c r="E512" s="29"/>
      <c r="F512" s="12"/>
      <c r="G512" s="28"/>
      <c r="H512" s="29"/>
      <c r="I512" s="29"/>
      <c r="J512" s="28"/>
      <c r="K512" s="135"/>
      <c r="L512" s="191"/>
      <c r="M512" s="30"/>
      <c r="N512" s="51"/>
      <c r="O512" s="119" t="s">
        <v>145</v>
      </c>
      <c r="P512"/>
      <c r="Q512" s="1"/>
    </row>
    <row r="513" spans="1:17" ht="35.1" customHeight="1">
      <c r="A513"/>
      <c r="B513" s="29"/>
      <c r="C513" s="176"/>
      <c r="D513" s="11"/>
      <c r="E513" s="29"/>
      <c r="F513" s="12"/>
      <c r="G513" s="28"/>
      <c r="H513" s="29"/>
      <c r="I513" s="29"/>
      <c r="J513" s="28"/>
      <c r="K513" s="135"/>
      <c r="L513" s="191"/>
      <c r="M513" s="30"/>
      <c r="N513" s="51"/>
      <c r="O513" s="119" t="s">
        <v>145</v>
      </c>
      <c r="P513"/>
      <c r="Q513" s="1"/>
    </row>
    <row r="514" spans="1:17" ht="35.1" customHeight="1">
      <c r="A514"/>
      <c r="B514" s="29"/>
      <c r="C514" s="172"/>
      <c r="D514" s="11"/>
      <c r="E514" s="29"/>
      <c r="F514" s="29"/>
      <c r="G514" s="29"/>
      <c r="H514" s="29"/>
      <c r="I514" s="29"/>
      <c r="J514" s="28"/>
      <c r="K514" s="135"/>
      <c r="L514" s="191"/>
      <c r="M514" s="30"/>
      <c r="N514" s="51"/>
      <c r="O514" s="119" t="s">
        <v>145</v>
      </c>
      <c r="P514"/>
      <c r="Q514" s="1"/>
    </row>
    <row r="515" spans="1:17" ht="35.1" customHeight="1">
      <c r="A515"/>
      <c r="B515" s="29"/>
      <c r="C515" s="172"/>
      <c r="D515" s="11"/>
      <c r="E515" s="29"/>
      <c r="F515" s="29"/>
      <c r="G515" s="29"/>
      <c r="H515" s="29"/>
      <c r="I515" s="29"/>
      <c r="J515" s="28"/>
      <c r="K515" s="135"/>
      <c r="L515" s="191"/>
      <c r="M515" s="30"/>
      <c r="N515" s="51"/>
      <c r="O515" s="119" t="s">
        <v>145</v>
      </c>
      <c r="P515"/>
      <c r="Q515" s="1"/>
    </row>
    <row r="516" spans="1:17" ht="35.1" customHeight="1">
      <c r="A516"/>
      <c r="B516" s="29"/>
      <c r="C516" s="172"/>
      <c r="D516" s="11"/>
      <c r="E516" s="29"/>
      <c r="F516" s="29"/>
      <c r="G516" s="29"/>
      <c r="H516" s="29"/>
      <c r="I516" s="29"/>
      <c r="J516" s="28"/>
      <c r="K516" s="135"/>
      <c r="L516" s="191"/>
      <c r="M516" s="30"/>
      <c r="N516" s="51"/>
      <c r="O516" s="119" t="s">
        <v>145</v>
      </c>
      <c r="P516"/>
      <c r="Q516" s="1"/>
    </row>
    <row r="517" spans="1:17" ht="35.1" customHeight="1">
      <c r="A517"/>
      <c r="B517" s="29"/>
      <c r="C517" s="172"/>
      <c r="D517" s="11"/>
      <c r="E517" s="29"/>
      <c r="F517" s="29"/>
      <c r="G517" s="29"/>
      <c r="H517" s="29"/>
      <c r="I517" s="29"/>
      <c r="J517" s="28"/>
      <c r="K517" s="135"/>
      <c r="L517" s="191"/>
      <c r="M517" s="30"/>
      <c r="N517" s="51"/>
      <c r="O517" s="119" t="s">
        <v>145</v>
      </c>
      <c r="P517"/>
      <c r="Q517" s="1"/>
    </row>
    <row r="518" spans="1:17" ht="35.1" customHeight="1">
      <c r="A518"/>
      <c r="B518" s="29"/>
      <c r="C518" s="172"/>
      <c r="D518" s="11"/>
      <c r="E518" s="29"/>
      <c r="F518" s="29"/>
      <c r="G518" s="29"/>
      <c r="H518" s="29"/>
      <c r="I518" s="29"/>
      <c r="J518" s="28"/>
      <c r="K518" s="135"/>
      <c r="L518" s="191"/>
      <c r="M518" s="30"/>
      <c r="N518" s="51"/>
      <c r="O518" s="119" t="s">
        <v>145</v>
      </c>
      <c r="P518"/>
      <c r="Q518" s="1"/>
    </row>
    <row r="519" spans="1:17" ht="35.1" customHeight="1">
      <c r="A519"/>
      <c r="B519" s="29"/>
      <c r="C519" s="172"/>
      <c r="D519" s="11"/>
      <c r="E519" s="29"/>
      <c r="F519" s="29"/>
      <c r="G519" s="29"/>
      <c r="H519" s="29"/>
      <c r="I519" s="29"/>
      <c r="J519" s="28"/>
      <c r="K519" s="135"/>
      <c r="L519" s="191"/>
      <c r="M519" s="30"/>
      <c r="N519" s="51"/>
      <c r="O519" s="119" t="s">
        <v>145</v>
      </c>
      <c r="P519"/>
      <c r="Q519" s="1"/>
    </row>
    <row r="520" spans="1:17" ht="35.1" customHeight="1">
      <c r="A520"/>
      <c r="B520" s="29"/>
      <c r="C520" s="172"/>
      <c r="D520" s="31"/>
      <c r="E520" s="29"/>
      <c r="F520" s="29"/>
      <c r="G520" s="29"/>
      <c r="H520" s="29"/>
      <c r="I520" s="29"/>
      <c r="J520" s="28"/>
      <c r="K520" s="135"/>
      <c r="L520" s="191"/>
      <c r="M520" s="30"/>
      <c r="N520" s="51"/>
      <c r="O520" s="119" t="s">
        <v>145</v>
      </c>
      <c r="P520"/>
      <c r="Q520" s="1"/>
    </row>
    <row r="521" spans="1:17" ht="35.1" customHeight="1">
      <c r="A521"/>
      <c r="B521" s="29"/>
      <c r="C521" s="172"/>
      <c r="D521" s="31"/>
      <c r="E521" s="29"/>
      <c r="F521" s="29"/>
      <c r="G521" s="29"/>
      <c r="H521" s="29"/>
      <c r="I521" s="29"/>
      <c r="J521" s="28"/>
      <c r="K521" s="135"/>
      <c r="L521" s="191"/>
      <c r="M521" s="30"/>
      <c r="N521" s="51"/>
      <c r="O521" s="119" t="s">
        <v>145</v>
      </c>
      <c r="P521"/>
      <c r="Q521" s="1"/>
    </row>
    <row r="522" spans="1:17" ht="35.1" customHeight="1">
      <c r="A522"/>
      <c r="B522" s="29"/>
      <c r="C522" s="172"/>
      <c r="D522" s="31"/>
      <c r="E522" s="29"/>
      <c r="F522" s="29"/>
      <c r="G522" s="29"/>
      <c r="H522" s="29"/>
      <c r="I522" s="29"/>
      <c r="J522" s="28"/>
      <c r="K522" s="135"/>
      <c r="L522" s="191"/>
      <c r="M522" s="30"/>
      <c r="N522" s="51"/>
      <c r="O522" s="119" t="s">
        <v>145</v>
      </c>
      <c r="P522"/>
      <c r="Q522" s="1"/>
    </row>
    <row r="523" spans="1:17" ht="35.1" customHeight="1">
      <c r="A523"/>
      <c r="B523" s="29"/>
      <c r="C523" s="173"/>
      <c r="D523" s="31"/>
      <c r="E523" s="29"/>
      <c r="F523" s="29"/>
      <c r="G523" s="29"/>
      <c r="H523" s="29"/>
      <c r="I523" s="29"/>
      <c r="J523" s="28"/>
      <c r="K523" s="135"/>
      <c r="L523" s="191"/>
      <c r="M523" s="30"/>
      <c r="N523" s="51"/>
      <c r="O523" s="119" t="s">
        <v>145</v>
      </c>
      <c r="P523"/>
      <c r="Q523" s="1"/>
    </row>
    <row r="524" spans="1:17" ht="35.1" customHeight="1">
      <c r="A524"/>
      <c r="B524" s="29"/>
      <c r="C524" s="173"/>
      <c r="D524" s="31"/>
      <c r="E524" s="29"/>
      <c r="F524" s="29"/>
      <c r="G524" s="29"/>
      <c r="H524" s="29"/>
      <c r="I524" s="29"/>
      <c r="J524" s="28"/>
      <c r="K524" s="135"/>
      <c r="L524" s="191"/>
      <c r="M524" s="30"/>
      <c r="N524" s="51"/>
      <c r="O524" s="119" t="s">
        <v>145</v>
      </c>
      <c r="P524"/>
      <c r="Q524" s="1"/>
    </row>
    <row r="525" spans="1:17" ht="35.1" customHeight="1">
      <c r="A525"/>
      <c r="B525" s="29"/>
      <c r="C525" s="173"/>
      <c r="D525" s="11"/>
      <c r="E525" s="29"/>
      <c r="F525" s="29"/>
      <c r="G525" s="29"/>
      <c r="H525" s="29"/>
      <c r="I525" s="29"/>
      <c r="J525" s="28"/>
      <c r="K525" s="135"/>
      <c r="L525" s="191"/>
      <c r="M525" s="30"/>
      <c r="N525" s="51"/>
      <c r="O525" s="119" t="s">
        <v>145</v>
      </c>
      <c r="P525"/>
      <c r="Q525" s="1"/>
    </row>
    <row r="526" spans="1:17" ht="35.1" customHeight="1">
      <c r="A526"/>
      <c r="B526" s="29"/>
      <c r="C526" s="173"/>
      <c r="D526" s="11"/>
      <c r="E526" s="29"/>
      <c r="F526" s="29"/>
      <c r="G526" s="29"/>
      <c r="H526" s="29"/>
      <c r="I526" s="29"/>
      <c r="J526" s="28"/>
      <c r="K526" s="135"/>
      <c r="L526" s="191"/>
      <c r="M526" s="30"/>
      <c r="N526" s="51"/>
      <c r="O526" s="119" t="s">
        <v>145</v>
      </c>
      <c r="P526"/>
      <c r="Q526" s="1"/>
    </row>
    <row r="527" spans="1:17" ht="35.1" customHeight="1">
      <c r="A527"/>
      <c r="B527" s="29"/>
      <c r="C527" s="173"/>
      <c r="D527" s="11"/>
      <c r="E527" s="29"/>
      <c r="F527" s="29"/>
      <c r="G527" s="29"/>
      <c r="H527" s="29"/>
      <c r="I527" s="29"/>
      <c r="J527" s="28"/>
      <c r="K527" s="135"/>
      <c r="L527" s="191"/>
      <c r="M527" s="30"/>
      <c r="N527" s="51"/>
      <c r="O527" s="119" t="s">
        <v>145</v>
      </c>
      <c r="P527"/>
      <c r="Q527" s="1"/>
    </row>
    <row r="528" spans="1:17" ht="35.1" customHeight="1">
      <c r="A528"/>
      <c r="B528" s="29"/>
      <c r="C528" s="173"/>
      <c r="D528" s="31"/>
      <c r="E528" s="29"/>
      <c r="F528" s="29"/>
      <c r="G528" s="29"/>
      <c r="H528" s="29"/>
      <c r="I528" s="29"/>
      <c r="J528" s="28"/>
      <c r="K528" s="135"/>
      <c r="L528" s="191"/>
      <c r="M528" s="30"/>
      <c r="N528" s="51"/>
      <c r="O528" s="119" t="s">
        <v>145</v>
      </c>
      <c r="P528"/>
      <c r="Q528" s="1"/>
    </row>
    <row r="529" spans="1:17" ht="35.1" customHeight="1">
      <c r="A529"/>
      <c r="B529" s="29"/>
      <c r="C529" s="173"/>
      <c r="D529" s="31"/>
      <c r="E529" s="29"/>
      <c r="F529" s="29"/>
      <c r="G529" s="29"/>
      <c r="H529" s="29"/>
      <c r="I529" s="29"/>
      <c r="J529" s="28"/>
      <c r="K529" s="135"/>
      <c r="L529" s="191"/>
      <c r="M529" s="30"/>
      <c r="N529" s="51"/>
      <c r="O529" s="119" t="s">
        <v>145</v>
      </c>
      <c r="P529"/>
      <c r="Q529" s="1"/>
    </row>
    <row r="530" spans="1:17" ht="35.1" customHeight="1">
      <c r="A530"/>
      <c r="B530" s="29"/>
      <c r="C530" s="173"/>
      <c r="D530" s="11"/>
      <c r="E530" s="29"/>
      <c r="F530" s="29"/>
      <c r="G530" s="29"/>
      <c r="H530" s="29"/>
      <c r="I530" s="29"/>
      <c r="J530" s="28"/>
      <c r="K530" s="135"/>
      <c r="L530" s="191"/>
      <c r="M530" s="30"/>
      <c r="N530" s="51"/>
      <c r="O530" s="119" t="s">
        <v>145</v>
      </c>
      <c r="P530"/>
      <c r="Q530" s="1"/>
    </row>
    <row r="531" spans="1:17" ht="35.1" customHeight="1">
      <c r="A531"/>
      <c r="B531" s="29"/>
      <c r="C531" s="173"/>
      <c r="D531" s="11"/>
      <c r="E531" s="29"/>
      <c r="F531" s="29"/>
      <c r="G531" s="29"/>
      <c r="H531" s="29"/>
      <c r="I531" s="29"/>
      <c r="J531" s="28"/>
      <c r="K531" s="135"/>
      <c r="L531" s="191"/>
      <c r="M531" s="30"/>
      <c r="N531" s="51"/>
      <c r="O531" s="119" t="s">
        <v>145</v>
      </c>
      <c r="P531"/>
      <c r="Q531" s="1"/>
    </row>
    <row r="532" spans="1:17" ht="35.1" customHeight="1">
      <c r="A532"/>
      <c r="B532" s="29"/>
      <c r="C532" s="173"/>
      <c r="D532" s="11"/>
      <c r="E532" s="29"/>
      <c r="F532" s="29"/>
      <c r="G532" s="29"/>
      <c r="H532" s="29"/>
      <c r="I532" s="29"/>
      <c r="J532" s="28"/>
      <c r="K532" s="135"/>
      <c r="L532" s="191"/>
      <c r="M532" s="30"/>
      <c r="N532" s="51"/>
      <c r="O532" s="119" t="s">
        <v>145</v>
      </c>
      <c r="P532"/>
      <c r="Q532" s="1"/>
    </row>
    <row r="533" spans="1:17" ht="35.1" customHeight="1">
      <c r="A533"/>
      <c r="B533" s="29"/>
      <c r="C533" s="173"/>
      <c r="D533" s="11"/>
      <c r="E533" s="29"/>
      <c r="F533" s="29"/>
      <c r="G533" s="29"/>
      <c r="H533" s="29"/>
      <c r="I533" s="29"/>
      <c r="J533" s="28"/>
      <c r="K533" s="135"/>
      <c r="L533" s="191"/>
      <c r="M533" s="30"/>
      <c r="N533" s="51"/>
      <c r="O533" s="119" t="s">
        <v>145</v>
      </c>
      <c r="P533"/>
      <c r="Q533" s="1"/>
    </row>
    <row r="534" spans="1:17" ht="35.1" customHeight="1">
      <c r="A534"/>
      <c r="B534" s="29"/>
      <c r="C534" s="173"/>
      <c r="D534" s="31"/>
      <c r="E534" s="29"/>
      <c r="F534" s="29"/>
      <c r="G534" s="29"/>
      <c r="H534" s="29"/>
      <c r="I534" s="29"/>
      <c r="J534" s="28"/>
      <c r="K534" s="135"/>
      <c r="L534" s="191"/>
      <c r="M534" s="30"/>
      <c r="N534" s="51"/>
      <c r="O534" s="119" t="s">
        <v>145</v>
      </c>
      <c r="P534"/>
      <c r="Q534" s="1"/>
    </row>
    <row r="535" spans="1:17" ht="35.1" customHeight="1">
      <c r="A535"/>
      <c r="B535" s="29"/>
      <c r="C535" s="173"/>
      <c r="D535" s="31"/>
      <c r="E535" s="29"/>
      <c r="F535" s="29"/>
      <c r="G535" s="29"/>
      <c r="H535" s="29"/>
      <c r="I535" s="29"/>
      <c r="J535" s="28"/>
      <c r="K535" s="135"/>
      <c r="L535" s="191"/>
      <c r="M535" s="30"/>
      <c r="N535" s="51"/>
      <c r="O535" s="119" t="s">
        <v>145</v>
      </c>
      <c r="P535"/>
      <c r="Q535" s="1"/>
    </row>
    <row r="536" spans="1:17" ht="35.1" customHeight="1">
      <c r="A536"/>
      <c r="B536" s="29"/>
      <c r="C536" s="173"/>
      <c r="D536" s="31"/>
      <c r="E536" s="29"/>
      <c r="F536" s="29"/>
      <c r="G536" s="29"/>
      <c r="H536" s="29"/>
      <c r="I536" s="29"/>
      <c r="J536" s="28"/>
      <c r="K536" s="135"/>
      <c r="L536" s="191"/>
      <c r="M536" s="30"/>
      <c r="N536" s="51"/>
      <c r="O536" s="119" t="s">
        <v>145</v>
      </c>
      <c r="P536"/>
      <c r="Q536" s="1"/>
    </row>
    <row r="537" spans="1:17" ht="35.1" customHeight="1">
      <c r="A537"/>
      <c r="B537" s="29"/>
      <c r="C537" s="173"/>
      <c r="D537" s="31"/>
      <c r="E537" s="29"/>
      <c r="F537" s="29"/>
      <c r="G537" s="29"/>
      <c r="H537" s="29"/>
      <c r="I537" s="29"/>
      <c r="J537" s="28"/>
      <c r="K537" s="135"/>
      <c r="L537" s="191"/>
      <c r="M537" s="30"/>
      <c r="N537" s="51"/>
      <c r="O537" s="119" t="s">
        <v>145</v>
      </c>
      <c r="P537"/>
      <c r="Q537" s="1"/>
    </row>
    <row r="538" spans="1:17" ht="35.1" customHeight="1">
      <c r="A538"/>
      <c r="B538" s="29"/>
      <c r="C538" s="173"/>
      <c r="D538" s="31"/>
      <c r="E538" s="29"/>
      <c r="F538" s="29"/>
      <c r="G538" s="29"/>
      <c r="H538" s="29"/>
      <c r="I538" s="29"/>
      <c r="J538" s="28"/>
      <c r="K538" s="135"/>
      <c r="L538" s="191"/>
      <c r="M538" s="30"/>
      <c r="N538" s="51"/>
      <c r="O538" s="119" t="s">
        <v>145</v>
      </c>
      <c r="P538"/>
      <c r="Q538" s="1"/>
    </row>
    <row r="539" spans="1:17" ht="35.1" customHeight="1">
      <c r="A539"/>
      <c r="B539" s="29"/>
      <c r="C539" s="173"/>
      <c r="D539" s="31"/>
      <c r="E539" s="29"/>
      <c r="F539" s="29"/>
      <c r="G539" s="29"/>
      <c r="H539" s="29"/>
      <c r="I539" s="29"/>
      <c r="J539" s="28"/>
      <c r="K539" s="135"/>
      <c r="L539" s="191"/>
      <c r="M539" s="30"/>
      <c r="N539" s="51"/>
      <c r="O539" s="119" t="s">
        <v>145</v>
      </c>
      <c r="P539"/>
      <c r="Q539" s="1"/>
    </row>
    <row r="540" spans="1:17" ht="35.1" customHeight="1">
      <c r="A540"/>
      <c r="B540" s="29"/>
      <c r="C540" s="173"/>
      <c r="D540" s="31"/>
      <c r="E540" s="29"/>
      <c r="F540" s="29"/>
      <c r="G540" s="29"/>
      <c r="H540" s="29"/>
      <c r="I540" s="29"/>
      <c r="J540" s="28"/>
      <c r="K540" s="135"/>
      <c r="L540" s="191"/>
      <c r="M540" s="30"/>
      <c r="N540" s="51"/>
      <c r="O540" s="119" t="s">
        <v>145</v>
      </c>
      <c r="P540"/>
      <c r="Q540" s="1"/>
    </row>
    <row r="541" spans="1:17" ht="35.1" customHeight="1">
      <c r="A541"/>
      <c r="B541" s="29"/>
      <c r="C541" s="173"/>
      <c r="D541" s="31"/>
      <c r="E541" s="29"/>
      <c r="F541" s="29"/>
      <c r="G541" s="29"/>
      <c r="H541" s="29"/>
      <c r="I541" s="29"/>
      <c r="J541" s="28"/>
      <c r="K541" s="135"/>
      <c r="L541" s="191"/>
      <c r="M541" s="30"/>
      <c r="N541" s="51"/>
      <c r="O541" s="119" t="s">
        <v>145</v>
      </c>
      <c r="P541"/>
      <c r="Q541" s="1"/>
    </row>
    <row r="542" spans="1:17" ht="35.1" customHeight="1">
      <c r="A542"/>
      <c r="B542" s="29"/>
      <c r="C542" s="173"/>
      <c r="D542" s="31"/>
      <c r="E542" s="29"/>
      <c r="F542" s="29"/>
      <c r="G542" s="29"/>
      <c r="H542" s="29"/>
      <c r="I542" s="29"/>
      <c r="J542" s="28"/>
      <c r="K542" s="135"/>
      <c r="L542" s="191"/>
      <c r="M542" s="30"/>
      <c r="N542" s="51"/>
      <c r="O542" s="119" t="s">
        <v>145</v>
      </c>
      <c r="P542"/>
      <c r="Q542" s="1"/>
    </row>
    <row r="543" spans="1:17" ht="35.1" customHeight="1">
      <c r="A543"/>
      <c r="B543" s="29"/>
      <c r="C543" s="173"/>
      <c r="D543" s="31"/>
      <c r="E543" s="29"/>
      <c r="F543" s="29"/>
      <c r="G543" s="29"/>
      <c r="H543" s="29"/>
      <c r="I543" s="29"/>
      <c r="J543" s="28"/>
      <c r="K543" s="135"/>
      <c r="L543" s="191"/>
      <c r="M543" s="30"/>
      <c r="N543" s="51"/>
      <c r="O543" s="119" t="s">
        <v>145</v>
      </c>
      <c r="P543"/>
      <c r="Q543" s="1"/>
    </row>
    <row r="544" spans="1:17" ht="35.1" customHeight="1">
      <c r="A544"/>
      <c r="B544" s="29"/>
      <c r="C544" s="173"/>
      <c r="D544" s="31"/>
      <c r="E544" s="29"/>
      <c r="F544" s="29"/>
      <c r="G544" s="29"/>
      <c r="H544" s="29"/>
      <c r="I544" s="29"/>
      <c r="J544" s="28"/>
      <c r="K544" s="135"/>
      <c r="L544" s="191"/>
      <c r="M544" s="30"/>
      <c r="N544" s="51"/>
      <c r="O544" s="119" t="s">
        <v>145</v>
      </c>
      <c r="P544"/>
      <c r="Q544" s="1"/>
    </row>
    <row r="545" spans="1:17" ht="35.1" customHeight="1">
      <c r="A545"/>
      <c r="B545" s="29"/>
      <c r="C545" s="173"/>
      <c r="D545" s="31"/>
      <c r="E545" s="29"/>
      <c r="F545" s="29"/>
      <c r="G545" s="29"/>
      <c r="H545" s="29"/>
      <c r="I545" s="29"/>
      <c r="J545" s="28"/>
      <c r="K545" s="135"/>
      <c r="L545" s="191"/>
      <c r="M545" s="30"/>
      <c r="N545" s="51"/>
      <c r="O545" s="119" t="s">
        <v>145</v>
      </c>
      <c r="P545"/>
      <c r="Q545" s="1"/>
    </row>
    <row r="546" spans="1:17" ht="35.1" customHeight="1">
      <c r="A546"/>
      <c r="B546" s="29"/>
      <c r="C546" s="173"/>
      <c r="D546" s="31"/>
      <c r="E546" s="29"/>
      <c r="F546" s="29"/>
      <c r="G546" s="29"/>
      <c r="H546" s="29"/>
      <c r="I546" s="29"/>
      <c r="J546" s="28"/>
      <c r="K546" s="135"/>
      <c r="L546" s="191"/>
      <c r="M546" s="30"/>
      <c r="N546" s="51"/>
      <c r="O546" s="119" t="s">
        <v>145</v>
      </c>
      <c r="P546"/>
      <c r="Q546" s="1"/>
    </row>
    <row r="547" spans="1:17" ht="35.1" customHeight="1">
      <c r="A547"/>
      <c r="B547" s="29"/>
      <c r="C547" s="173"/>
      <c r="D547" s="31"/>
      <c r="E547" s="29"/>
      <c r="F547" s="29"/>
      <c r="G547" s="29"/>
      <c r="H547" s="29"/>
      <c r="I547" s="29"/>
      <c r="J547" s="28"/>
      <c r="K547" s="135"/>
      <c r="L547" s="191"/>
      <c r="M547" s="30"/>
      <c r="N547" s="51"/>
      <c r="O547" s="119" t="s">
        <v>145</v>
      </c>
      <c r="P547"/>
      <c r="Q547" s="1"/>
    </row>
    <row r="548" spans="1:17" ht="35.1" customHeight="1">
      <c r="A548"/>
      <c r="B548" s="29"/>
      <c r="C548" s="173"/>
      <c r="D548" s="31"/>
      <c r="E548" s="29"/>
      <c r="F548" s="29"/>
      <c r="G548" s="29"/>
      <c r="H548" s="29"/>
      <c r="I548" s="29"/>
      <c r="J548" s="28"/>
      <c r="K548" s="135"/>
      <c r="L548" s="191"/>
      <c r="M548" s="30"/>
      <c r="N548" s="51"/>
      <c r="O548" s="119" t="s">
        <v>145</v>
      </c>
      <c r="P548"/>
      <c r="Q548" s="1"/>
    </row>
    <row r="549" spans="1:17" ht="35.1" customHeight="1">
      <c r="A549"/>
      <c r="B549" s="29"/>
      <c r="C549" s="173"/>
      <c r="D549" s="31"/>
      <c r="E549" s="29"/>
      <c r="F549" s="29"/>
      <c r="G549" s="29"/>
      <c r="H549" s="29"/>
      <c r="I549" s="29"/>
      <c r="J549" s="28"/>
      <c r="K549" s="135"/>
      <c r="L549" s="191"/>
      <c r="M549" s="30"/>
      <c r="N549" s="51"/>
      <c r="O549" s="119" t="s">
        <v>145</v>
      </c>
      <c r="P549"/>
      <c r="Q549" s="1"/>
    </row>
    <row r="550" spans="1:17" ht="35.1" customHeight="1">
      <c r="A550"/>
      <c r="B550" s="29"/>
      <c r="C550" s="173"/>
      <c r="D550" s="31"/>
      <c r="E550" s="29"/>
      <c r="F550" s="29"/>
      <c r="G550" s="29"/>
      <c r="H550" s="29"/>
      <c r="I550" s="29"/>
      <c r="J550" s="28"/>
      <c r="K550" s="135"/>
      <c r="L550" s="191"/>
      <c r="M550" s="30"/>
      <c r="N550" s="51"/>
      <c r="O550" s="119" t="s">
        <v>145</v>
      </c>
      <c r="P550"/>
      <c r="Q550" s="1"/>
    </row>
    <row r="551" spans="1:17" ht="35.1" customHeight="1">
      <c r="A551"/>
      <c r="B551" s="29"/>
      <c r="C551" s="173"/>
      <c r="D551" s="31"/>
      <c r="E551" s="29"/>
      <c r="F551" s="29"/>
      <c r="G551" s="29"/>
      <c r="H551" s="29"/>
      <c r="I551" s="29"/>
      <c r="J551" s="28"/>
      <c r="K551" s="135"/>
      <c r="L551" s="191"/>
      <c r="M551" s="30"/>
      <c r="N551" s="51"/>
      <c r="O551" s="119" t="s">
        <v>145</v>
      </c>
      <c r="P551"/>
      <c r="Q551" s="1"/>
    </row>
    <row r="552" spans="1:17" ht="35.1" customHeight="1">
      <c r="A552"/>
      <c r="B552" s="29"/>
      <c r="C552" s="173"/>
      <c r="D552" s="31"/>
      <c r="E552" s="29"/>
      <c r="F552" s="29"/>
      <c r="G552" s="29"/>
      <c r="H552" s="29"/>
      <c r="I552" s="29"/>
      <c r="J552" s="28"/>
      <c r="K552" s="135"/>
      <c r="L552" s="191"/>
      <c r="M552" s="30"/>
      <c r="N552" s="51"/>
      <c r="O552" s="119" t="s">
        <v>145</v>
      </c>
      <c r="P552"/>
      <c r="Q552" s="1"/>
    </row>
    <row r="553" spans="1:17" ht="35.1" customHeight="1">
      <c r="A553"/>
      <c r="B553" s="29"/>
      <c r="C553" s="173"/>
      <c r="D553" s="31"/>
      <c r="E553" s="29"/>
      <c r="F553" s="29"/>
      <c r="G553" s="29"/>
      <c r="H553" s="29"/>
      <c r="I553" s="29"/>
      <c r="J553" s="28"/>
      <c r="K553" s="135"/>
      <c r="L553" s="191"/>
      <c r="M553" s="30"/>
      <c r="N553" s="51"/>
      <c r="O553" s="119" t="s">
        <v>145</v>
      </c>
      <c r="P553"/>
      <c r="Q553" s="1"/>
    </row>
    <row r="554" spans="1:17" ht="35.1" customHeight="1">
      <c r="A554"/>
      <c r="B554" s="29"/>
      <c r="C554" s="173"/>
      <c r="D554" s="31"/>
      <c r="E554" s="29"/>
      <c r="F554" s="29"/>
      <c r="G554" s="29"/>
      <c r="H554" s="29"/>
      <c r="I554" s="29"/>
      <c r="J554" s="28"/>
      <c r="K554" s="135"/>
      <c r="L554" s="191"/>
      <c r="M554" s="30"/>
      <c r="N554" s="51"/>
      <c r="O554" s="119" t="s">
        <v>145</v>
      </c>
      <c r="P554"/>
      <c r="Q554" s="1"/>
    </row>
    <row r="555" spans="1:17" ht="35.1" customHeight="1">
      <c r="A555"/>
      <c r="B555" s="29"/>
      <c r="C555" s="173"/>
      <c r="D555" s="31"/>
      <c r="E555" s="29"/>
      <c r="F555" s="29"/>
      <c r="G555" s="29"/>
      <c r="H555" s="29"/>
      <c r="I555" s="29"/>
      <c r="J555" s="28"/>
      <c r="K555" s="135"/>
      <c r="L555" s="191"/>
      <c r="M555" s="30"/>
      <c r="N555" s="51"/>
      <c r="O555" s="119" t="s">
        <v>145</v>
      </c>
      <c r="P555"/>
      <c r="Q555" s="1"/>
    </row>
    <row r="556" spans="1:17" ht="35.1" customHeight="1">
      <c r="A556"/>
      <c r="B556" s="29"/>
      <c r="C556" s="173"/>
      <c r="D556" s="31"/>
      <c r="E556" s="29"/>
      <c r="F556" s="29"/>
      <c r="G556" s="29"/>
      <c r="H556" s="29"/>
      <c r="I556" s="29"/>
      <c r="J556" s="28"/>
      <c r="K556" s="135"/>
      <c r="L556" s="191"/>
      <c r="M556" s="30"/>
      <c r="N556" s="51"/>
      <c r="O556" s="119" t="s">
        <v>145</v>
      </c>
      <c r="P556"/>
      <c r="Q556" s="1"/>
    </row>
    <row r="557" spans="1:17" ht="35.1" customHeight="1">
      <c r="A557"/>
      <c r="B557" s="29"/>
      <c r="C557" s="173"/>
      <c r="D557" s="31"/>
      <c r="E557" s="29"/>
      <c r="F557" s="29"/>
      <c r="G557" s="29"/>
      <c r="H557" s="29"/>
      <c r="I557" s="29"/>
      <c r="J557" s="28"/>
      <c r="K557" s="135"/>
      <c r="L557" s="191"/>
      <c r="M557" s="30"/>
      <c r="N557" s="51"/>
      <c r="O557" s="119" t="s">
        <v>145</v>
      </c>
      <c r="P557"/>
      <c r="Q557" s="1"/>
    </row>
    <row r="558" spans="1:17" ht="35.1" customHeight="1">
      <c r="A558"/>
      <c r="B558" s="29"/>
      <c r="C558" s="173"/>
      <c r="D558" s="31"/>
      <c r="E558" s="29"/>
      <c r="F558" s="29"/>
      <c r="G558" s="29"/>
      <c r="H558" s="29"/>
      <c r="I558" s="29"/>
      <c r="J558" s="28"/>
      <c r="K558" s="135"/>
      <c r="L558" s="191"/>
      <c r="M558" s="30"/>
      <c r="N558" s="51"/>
      <c r="O558" s="119" t="s">
        <v>145</v>
      </c>
      <c r="P558"/>
      <c r="Q558" s="1"/>
    </row>
    <row r="559" spans="1:17" ht="35.1" customHeight="1">
      <c r="A559"/>
      <c r="B559" s="29"/>
      <c r="C559" s="173"/>
      <c r="D559" s="31"/>
      <c r="E559" s="29"/>
      <c r="F559" s="29"/>
      <c r="G559" s="29"/>
      <c r="H559" s="29"/>
      <c r="I559" s="29"/>
      <c r="J559" s="28"/>
      <c r="K559" s="135"/>
      <c r="L559" s="191"/>
      <c r="M559" s="30"/>
      <c r="N559" s="51"/>
      <c r="O559" s="119" t="s">
        <v>145</v>
      </c>
      <c r="P559"/>
      <c r="Q559" s="1"/>
    </row>
    <row r="560" spans="1:17" ht="35.1" customHeight="1">
      <c r="A560"/>
      <c r="B560" s="29"/>
      <c r="C560" s="173"/>
      <c r="D560" s="31"/>
      <c r="E560" s="29"/>
      <c r="F560" s="29"/>
      <c r="G560" s="29"/>
      <c r="H560" s="29"/>
      <c r="I560" s="29"/>
      <c r="J560" s="28"/>
      <c r="K560" s="135"/>
      <c r="L560" s="191"/>
      <c r="M560" s="30"/>
      <c r="N560" s="51"/>
      <c r="O560" s="119" t="s">
        <v>145</v>
      </c>
      <c r="P560"/>
      <c r="Q560" s="1"/>
    </row>
    <row r="561" spans="1:17" ht="35.1" customHeight="1">
      <c r="A561"/>
      <c r="B561" s="29"/>
      <c r="C561" s="173"/>
      <c r="D561" s="31"/>
      <c r="E561" s="29"/>
      <c r="F561" s="29"/>
      <c r="G561" s="29"/>
      <c r="H561" s="29"/>
      <c r="I561" s="29"/>
      <c r="J561" s="28"/>
      <c r="K561" s="135"/>
      <c r="L561" s="191"/>
      <c r="M561" s="30"/>
      <c r="N561" s="51"/>
      <c r="O561" s="119" t="s">
        <v>145</v>
      </c>
      <c r="P561"/>
      <c r="Q561" s="1"/>
    </row>
    <row r="562" spans="1:17" ht="35.1" customHeight="1">
      <c r="A562"/>
      <c r="B562" s="29"/>
      <c r="C562" s="173"/>
      <c r="D562" s="31"/>
      <c r="E562" s="29"/>
      <c r="F562" s="29"/>
      <c r="G562" s="29"/>
      <c r="H562" s="29"/>
      <c r="I562" s="29"/>
      <c r="J562" s="28"/>
      <c r="K562" s="135"/>
      <c r="L562" s="191"/>
      <c r="M562" s="30"/>
      <c r="N562" s="51"/>
      <c r="O562" s="119" t="s">
        <v>145</v>
      </c>
      <c r="P562"/>
      <c r="Q562" s="1"/>
    </row>
    <row r="563" spans="1:17" ht="35.1" customHeight="1">
      <c r="A563"/>
      <c r="B563" s="29"/>
      <c r="C563" s="173"/>
      <c r="D563" s="31"/>
      <c r="E563" s="29"/>
      <c r="F563" s="29"/>
      <c r="G563" s="29"/>
      <c r="H563" s="29"/>
      <c r="I563" s="29"/>
      <c r="J563" s="28"/>
      <c r="K563" s="135"/>
      <c r="L563" s="191"/>
      <c r="M563" s="30"/>
      <c r="N563" s="51"/>
      <c r="O563" s="119" t="s">
        <v>145</v>
      </c>
      <c r="P563"/>
      <c r="Q563" s="1"/>
    </row>
    <row r="564" spans="1:17" ht="35.1" customHeight="1">
      <c r="A564"/>
      <c r="B564" s="29"/>
      <c r="C564" s="173"/>
      <c r="D564" s="31"/>
      <c r="E564" s="29"/>
      <c r="F564" s="29"/>
      <c r="G564" s="29"/>
      <c r="H564" s="29"/>
      <c r="I564" s="29"/>
      <c r="J564" s="28"/>
      <c r="K564" s="135"/>
      <c r="L564" s="191"/>
      <c r="M564" s="30"/>
      <c r="N564" s="51"/>
      <c r="O564" s="119" t="s">
        <v>145</v>
      </c>
      <c r="P564"/>
      <c r="Q564" s="1"/>
    </row>
    <row r="565" spans="1:17" ht="35.1" customHeight="1">
      <c r="A565"/>
      <c r="B565" s="29"/>
      <c r="C565" s="173"/>
      <c r="D565" s="31"/>
      <c r="E565" s="29"/>
      <c r="F565" s="29"/>
      <c r="G565" s="29"/>
      <c r="H565" s="29"/>
      <c r="I565" s="29"/>
      <c r="J565" s="28"/>
      <c r="K565" s="135"/>
      <c r="L565" s="191"/>
      <c r="M565" s="30"/>
      <c r="N565" s="51"/>
      <c r="O565" s="119" t="s">
        <v>145</v>
      </c>
      <c r="P565"/>
      <c r="Q565" s="1"/>
    </row>
    <row r="566" spans="1:17" ht="35.1" customHeight="1">
      <c r="A566"/>
      <c r="B566" s="29"/>
      <c r="C566" s="173"/>
      <c r="D566" s="31"/>
      <c r="E566" s="29"/>
      <c r="F566" s="29"/>
      <c r="G566" s="29"/>
      <c r="H566" s="29"/>
      <c r="I566" s="29"/>
      <c r="J566" s="28"/>
      <c r="K566" s="135"/>
      <c r="L566" s="191"/>
      <c r="M566" s="30"/>
      <c r="N566" s="51"/>
      <c r="O566" s="119" t="s">
        <v>145</v>
      </c>
      <c r="P566"/>
      <c r="Q566" s="1"/>
    </row>
    <row r="567" spans="1:17" ht="35.1" customHeight="1">
      <c r="A567"/>
      <c r="B567" s="29"/>
      <c r="C567" s="173"/>
      <c r="D567" s="31"/>
      <c r="E567" s="29"/>
      <c r="F567" s="29"/>
      <c r="G567" s="29"/>
      <c r="H567" s="29"/>
      <c r="I567" s="29"/>
      <c r="J567" s="28"/>
      <c r="K567" s="135"/>
      <c r="L567" s="191"/>
      <c r="M567" s="30"/>
      <c r="N567" s="51"/>
      <c r="O567" s="119" t="s">
        <v>145</v>
      </c>
      <c r="P567"/>
      <c r="Q567" s="1"/>
    </row>
    <row r="568" spans="1:17" ht="35.1" customHeight="1">
      <c r="A568"/>
      <c r="B568" s="29"/>
      <c r="C568" s="173"/>
      <c r="D568" s="31"/>
      <c r="E568" s="29"/>
      <c r="F568" s="29"/>
      <c r="G568" s="29"/>
      <c r="H568" s="29"/>
      <c r="I568" s="29"/>
      <c r="J568" s="28"/>
      <c r="K568" s="135"/>
      <c r="L568" s="191"/>
      <c r="M568" s="30"/>
      <c r="N568" s="51"/>
      <c r="O568" s="119" t="s">
        <v>145</v>
      </c>
      <c r="P568"/>
      <c r="Q568" s="1"/>
    </row>
    <row r="569" spans="1:17" ht="35.1" customHeight="1">
      <c r="A569"/>
      <c r="B569" s="29"/>
      <c r="C569" s="173"/>
      <c r="D569" s="31"/>
      <c r="E569" s="29"/>
      <c r="F569" s="29"/>
      <c r="G569" s="29"/>
      <c r="H569" s="29"/>
      <c r="I569" s="29"/>
      <c r="J569" s="28"/>
      <c r="K569" s="135"/>
      <c r="L569" s="191"/>
      <c r="M569" s="30"/>
      <c r="N569" s="51"/>
      <c r="O569" s="119" t="s">
        <v>145</v>
      </c>
      <c r="P569"/>
      <c r="Q569" s="1"/>
    </row>
    <row r="570" spans="1:17" ht="35.1" customHeight="1">
      <c r="A570"/>
      <c r="B570" s="29"/>
      <c r="C570" s="173"/>
      <c r="D570" s="31"/>
      <c r="E570" s="29"/>
      <c r="F570" s="29"/>
      <c r="G570" s="29"/>
      <c r="H570" s="29"/>
      <c r="I570" s="29"/>
      <c r="J570" s="28"/>
      <c r="K570" s="135"/>
      <c r="L570" s="191"/>
      <c r="M570" s="30"/>
      <c r="N570" s="51"/>
      <c r="O570" s="119" t="s">
        <v>145</v>
      </c>
      <c r="P570"/>
      <c r="Q570" s="1"/>
    </row>
    <row r="571" spans="1:17" ht="35.1" customHeight="1">
      <c r="A571"/>
      <c r="B571" s="29"/>
      <c r="C571" s="173"/>
      <c r="D571" s="31"/>
      <c r="E571" s="29"/>
      <c r="F571" s="29"/>
      <c r="G571" s="29"/>
      <c r="H571" s="29"/>
      <c r="I571" s="29"/>
      <c r="J571" s="28"/>
      <c r="K571" s="135"/>
      <c r="L571" s="191"/>
      <c r="M571" s="30"/>
      <c r="N571" s="51"/>
      <c r="O571" s="119" t="s">
        <v>145</v>
      </c>
      <c r="P571"/>
      <c r="Q571" s="1"/>
    </row>
    <row r="572" spans="1:17" ht="35.1" customHeight="1">
      <c r="A572"/>
      <c r="B572" s="29"/>
      <c r="C572" s="173"/>
      <c r="D572" s="31"/>
      <c r="E572" s="29"/>
      <c r="F572" s="29"/>
      <c r="G572" s="29"/>
      <c r="H572" s="29"/>
      <c r="I572" s="29"/>
      <c r="J572" s="28"/>
      <c r="K572" s="135"/>
      <c r="L572" s="191"/>
      <c r="M572" s="30"/>
      <c r="N572" s="51"/>
      <c r="O572" s="119" t="s">
        <v>145</v>
      </c>
      <c r="P572"/>
      <c r="Q572" s="1"/>
    </row>
    <row r="573" spans="1:17" ht="35.1" customHeight="1">
      <c r="A573"/>
      <c r="B573" s="29"/>
      <c r="C573" s="173"/>
      <c r="D573" s="31"/>
      <c r="E573" s="29"/>
      <c r="F573" s="29"/>
      <c r="G573" s="29"/>
      <c r="H573" s="29"/>
      <c r="I573" s="29"/>
      <c r="J573" s="28"/>
      <c r="K573" s="135"/>
      <c r="L573" s="191"/>
      <c r="M573" s="30"/>
      <c r="N573" s="51"/>
      <c r="O573" s="119" t="s">
        <v>145</v>
      </c>
      <c r="P573"/>
      <c r="Q573" s="1"/>
    </row>
    <row r="574" spans="1:17" ht="35.1" customHeight="1">
      <c r="A574"/>
      <c r="B574" s="29"/>
      <c r="C574" s="173"/>
      <c r="D574" s="31"/>
      <c r="E574" s="29"/>
      <c r="F574" s="29"/>
      <c r="G574" s="29"/>
      <c r="H574" s="29"/>
      <c r="I574" s="29"/>
      <c r="J574" s="28"/>
      <c r="K574" s="135"/>
      <c r="L574" s="191"/>
      <c r="M574" s="30"/>
      <c r="N574" s="51"/>
      <c r="O574" s="119" t="s">
        <v>145</v>
      </c>
      <c r="P574"/>
      <c r="Q574" s="1"/>
    </row>
    <row r="575" spans="1:17" ht="35.1" customHeight="1">
      <c r="A575"/>
      <c r="B575" s="29"/>
      <c r="C575" s="173"/>
      <c r="D575" s="31"/>
      <c r="E575" s="29"/>
      <c r="F575" s="29"/>
      <c r="G575" s="29"/>
      <c r="H575" s="29"/>
      <c r="I575" s="29"/>
      <c r="J575" s="28"/>
      <c r="K575" s="135"/>
      <c r="L575" s="191"/>
      <c r="M575" s="30"/>
      <c r="N575" s="51"/>
      <c r="O575" s="119" t="s">
        <v>145</v>
      </c>
      <c r="P575"/>
      <c r="Q575" s="1"/>
    </row>
    <row r="576" spans="1:17" ht="35.1" customHeight="1">
      <c r="A576"/>
      <c r="B576" s="29"/>
      <c r="C576" s="173"/>
      <c r="D576" s="31"/>
      <c r="E576" s="29"/>
      <c r="F576" s="29"/>
      <c r="G576" s="29"/>
      <c r="H576" s="29"/>
      <c r="I576" s="29"/>
      <c r="J576" s="28"/>
      <c r="K576" s="135"/>
      <c r="L576" s="191"/>
      <c r="M576" s="30"/>
      <c r="N576" s="51"/>
      <c r="O576" s="119" t="s">
        <v>145</v>
      </c>
      <c r="P576"/>
      <c r="Q576" s="1"/>
    </row>
    <row r="577" spans="1:17" ht="35.1" customHeight="1">
      <c r="A577"/>
      <c r="B577" s="29"/>
      <c r="C577" s="173"/>
      <c r="D577" s="31"/>
      <c r="E577" s="29"/>
      <c r="F577" s="29"/>
      <c r="G577" s="29"/>
      <c r="H577" s="29"/>
      <c r="I577" s="29"/>
      <c r="J577" s="28"/>
      <c r="K577" s="135"/>
      <c r="L577" s="191"/>
      <c r="M577" s="30"/>
      <c r="N577" s="51"/>
      <c r="O577" s="119" t="s">
        <v>145</v>
      </c>
      <c r="P577"/>
      <c r="Q577" s="1"/>
    </row>
    <row r="578" spans="1:17" ht="35.1" customHeight="1">
      <c r="A578"/>
      <c r="B578" s="29"/>
      <c r="C578" s="173"/>
      <c r="D578" s="31"/>
      <c r="E578" s="29"/>
      <c r="F578" s="29"/>
      <c r="G578" s="29"/>
      <c r="H578" s="29"/>
      <c r="I578" s="29"/>
      <c r="J578" s="28"/>
      <c r="K578" s="135"/>
      <c r="L578" s="191"/>
      <c r="M578" s="30"/>
      <c r="N578" s="51"/>
      <c r="O578" s="119" t="s">
        <v>145</v>
      </c>
      <c r="P578"/>
      <c r="Q578" s="1"/>
    </row>
    <row r="579" spans="1:17" ht="35.1" customHeight="1">
      <c r="A579"/>
      <c r="B579" s="29"/>
      <c r="C579" s="173"/>
      <c r="D579" s="31"/>
      <c r="E579" s="29"/>
      <c r="F579" s="29"/>
      <c r="G579" s="29"/>
      <c r="H579" s="29"/>
      <c r="I579" s="29"/>
      <c r="J579" s="28"/>
      <c r="K579" s="135"/>
      <c r="L579" s="191"/>
      <c r="M579" s="30"/>
      <c r="N579" s="51"/>
      <c r="O579" s="119" t="s">
        <v>145</v>
      </c>
      <c r="P579"/>
      <c r="Q579" s="1"/>
    </row>
    <row r="580" spans="1:17" ht="35.1" customHeight="1">
      <c r="A580"/>
      <c r="B580" s="29"/>
      <c r="C580" s="173"/>
      <c r="D580" s="31"/>
      <c r="E580" s="29"/>
      <c r="F580" s="29"/>
      <c r="G580" s="29"/>
      <c r="H580" s="29"/>
      <c r="I580" s="29"/>
      <c r="J580" s="28"/>
      <c r="K580" s="135"/>
      <c r="L580" s="191"/>
      <c r="M580" s="30"/>
      <c r="N580" s="51"/>
      <c r="O580" s="119" t="s">
        <v>145</v>
      </c>
      <c r="P580"/>
      <c r="Q580" s="1"/>
    </row>
    <row r="581" spans="1:17" ht="35.1" customHeight="1">
      <c r="A581"/>
      <c r="B581" s="29"/>
      <c r="C581" s="173"/>
      <c r="D581" s="31"/>
      <c r="E581" s="29"/>
      <c r="F581" s="29"/>
      <c r="G581" s="29"/>
      <c r="H581" s="29"/>
      <c r="I581" s="29"/>
      <c r="J581" s="28"/>
      <c r="K581" s="135"/>
      <c r="L581" s="191"/>
      <c r="M581" s="30"/>
      <c r="N581" s="51"/>
      <c r="O581" s="119" t="s">
        <v>145</v>
      </c>
      <c r="P581"/>
      <c r="Q581" s="1"/>
    </row>
    <row r="582" spans="1:17" ht="35.1" customHeight="1">
      <c r="A582"/>
      <c r="B582" s="29"/>
      <c r="C582" s="173"/>
      <c r="D582" s="31"/>
      <c r="E582" s="29"/>
      <c r="F582" s="29"/>
      <c r="G582" s="29"/>
      <c r="H582" s="29"/>
      <c r="I582" s="29"/>
      <c r="J582" s="28"/>
      <c r="K582" s="135"/>
      <c r="L582" s="191"/>
      <c r="M582" s="30"/>
      <c r="N582" s="51"/>
      <c r="O582" s="119" t="s">
        <v>145</v>
      </c>
      <c r="P582"/>
      <c r="Q582" s="1"/>
    </row>
    <row r="583" spans="1:17" ht="35.1" customHeight="1">
      <c r="A583"/>
      <c r="B583" s="29"/>
      <c r="C583" s="173"/>
      <c r="D583" s="31"/>
      <c r="E583" s="29"/>
      <c r="F583" s="29"/>
      <c r="G583" s="29"/>
      <c r="H583" s="29"/>
      <c r="I583" s="29"/>
      <c r="J583" s="28"/>
      <c r="K583" s="135"/>
      <c r="L583" s="191"/>
      <c r="M583" s="30"/>
      <c r="N583" s="51"/>
      <c r="O583" s="119" t="s">
        <v>145</v>
      </c>
      <c r="P583"/>
      <c r="Q583" s="1"/>
    </row>
    <row r="584" spans="1:17" ht="35.1" customHeight="1">
      <c r="A584"/>
      <c r="B584" s="29"/>
      <c r="C584" s="173"/>
      <c r="D584" s="31"/>
      <c r="E584" s="29"/>
      <c r="F584" s="29"/>
      <c r="G584" s="29"/>
      <c r="H584" s="29"/>
      <c r="I584" s="29"/>
      <c r="J584" s="28"/>
      <c r="K584" s="135"/>
      <c r="L584" s="191"/>
      <c r="M584" s="30"/>
      <c r="N584" s="51"/>
      <c r="O584" s="119" t="s">
        <v>145</v>
      </c>
      <c r="P584"/>
      <c r="Q584" s="1"/>
    </row>
    <row r="585" spans="1:17" ht="35.1" customHeight="1">
      <c r="A585"/>
      <c r="B585" s="29"/>
      <c r="C585" s="173"/>
      <c r="D585" s="31"/>
      <c r="E585" s="29"/>
      <c r="F585" s="29"/>
      <c r="G585" s="29"/>
      <c r="H585" s="29"/>
      <c r="I585" s="29"/>
      <c r="J585" s="28"/>
      <c r="K585" s="135"/>
      <c r="L585" s="191"/>
      <c r="M585" s="30"/>
      <c r="N585" s="51"/>
      <c r="O585" s="119" t="s">
        <v>145</v>
      </c>
      <c r="P585"/>
      <c r="Q585" s="1"/>
    </row>
    <row r="586" spans="1:17" ht="35.1" customHeight="1">
      <c r="A586"/>
      <c r="B586" s="29"/>
      <c r="C586" s="173"/>
      <c r="D586" s="31"/>
      <c r="E586" s="29"/>
      <c r="F586" s="29"/>
      <c r="G586" s="29"/>
      <c r="H586" s="29"/>
      <c r="I586" s="29"/>
      <c r="J586" s="28"/>
      <c r="K586" s="135"/>
      <c r="L586" s="191"/>
      <c r="M586" s="30"/>
      <c r="N586" s="51"/>
      <c r="O586" s="119" t="s">
        <v>145</v>
      </c>
      <c r="P586"/>
      <c r="Q586" s="1"/>
    </row>
    <row r="587" spans="1:17" ht="35.1" customHeight="1">
      <c r="A587"/>
      <c r="B587" s="29"/>
      <c r="C587" s="173"/>
      <c r="D587" s="31"/>
      <c r="E587" s="29"/>
      <c r="F587" s="29"/>
      <c r="G587" s="29"/>
      <c r="H587" s="29"/>
      <c r="I587" s="29"/>
      <c r="J587" s="28"/>
      <c r="K587" s="135"/>
      <c r="L587" s="191"/>
      <c r="M587" s="30"/>
      <c r="N587" s="51"/>
      <c r="O587" s="119" t="s">
        <v>145</v>
      </c>
      <c r="P587"/>
      <c r="Q587" s="1"/>
    </row>
    <row r="588" spans="1:17" ht="35.1" customHeight="1">
      <c r="A588"/>
      <c r="B588" s="29"/>
      <c r="C588" s="173"/>
      <c r="D588" s="31"/>
      <c r="E588" s="29"/>
      <c r="F588" s="29"/>
      <c r="G588" s="29"/>
      <c r="H588" s="29"/>
      <c r="I588" s="29"/>
      <c r="J588" s="28"/>
      <c r="K588" s="135"/>
      <c r="L588" s="191"/>
      <c r="M588" s="30"/>
      <c r="N588" s="51"/>
      <c r="O588" s="119" t="s">
        <v>145</v>
      </c>
      <c r="P588"/>
      <c r="Q588" s="1"/>
    </row>
    <row r="589" spans="1:17">
      <c r="A589"/>
      <c r="B589" s="26"/>
      <c r="C589" s="162"/>
      <c r="D589" s="26"/>
      <c r="E589" s="26"/>
      <c r="F589" s="26"/>
      <c r="G589" s="26"/>
      <c r="H589" s="26"/>
      <c r="I589" s="26"/>
      <c r="J589" s="26"/>
      <c r="K589" s="55"/>
      <c r="L589" s="21"/>
      <c r="M589" s="26"/>
      <c r="N589" s="55"/>
      <c r="O589" s="26"/>
      <c r="P589"/>
      <c r="Q589" s="1"/>
    </row>
    <row r="590" spans="1:17">
      <c r="A590"/>
      <c r="B590" s="26"/>
      <c r="C590" s="162"/>
      <c r="D590" s="26"/>
      <c r="E590" s="26"/>
      <c r="F590" s="26"/>
      <c r="G590" s="26"/>
      <c r="H590" s="26"/>
      <c r="I590" s="26"/>
      <c r="J590" s="26"/>
      <c r="K590" s="55"/>
      <c r="L590" s="21"/>
      <c r="M590" s="26"/>
      <c r="N590" s="55"/>
      <c r="O590" s="26"/>
      <c r="P590"/>
      <c r="Q590" s="1"/>
    </row>
    <row r="591" spans="1:17">
      <c r="A591"/>
      <c r="B591" s="26"/>
      <c r="C591" s="162"/>
      <c r="D591" s="26"/>
      <c r="E591" s="26"/>
      <c r="F591" s="26"/>
      <c r="G591" s="26"/>
      <c r="H591" s="26"/>
      <c r="I591" s="26"/>
      <c r="J591" s="26"/>
      <c r="K591" s="55"/>
      <c r="L591" s="21"/>
      <c r="M591" s="26"/>
      <c r="N591" s="55"/>
      <c r="O591" s="26"/>
      <c r="P591"/>
      <c r="Q591" s="1"/>
    </row>
    <row r="592" spans="1:17">
      <c r="A592"/>
      <c r="B592" s="26"/>
      <c r="C592" s="162"/>
      <c r="D592" s="26"/>
      <c r="E592" s="26"/>
      <c r="F592" s="26"/>
      <c r="G592" s="26"/>
      <c r="H592" s="26"/>
      <c r="I592" s="26"/>
      <c r="J592" s="26"/>
      <c r="K592" s="55"/>
      <c r="L592" s="21"/>
      <c r="M592" s="26"/>
      <c r="N592" s="55"/>
      <c r="O592" s="26"/>
      <c r="P592"/>
      <c r="Q592" s="1"/>
    </row>
    <row r="593" spans="1:17">
      <c r="A593"/>
      <c r="B593" s="26"/>
      <c r="C593" s="162"/>
      <c r="D593" s="26"/>
      <c r="E593" s="26"/>
      <c r="F593" s="26"/>
      <c r="G593" s="26"/>
      <c r="H593" s="26"/>
      <c r="I593" s="26"/>
      <c r="J593" s="26"/>
      <c r="K593" s="55"/>
      <c r="L593" s="21"/>
      <c r="M593" s="26"/>
      <c r="N593" s="55"/>
      <c r="O593" s="26"/>
      <c r="P593"/>
      <c r="Q593" s="1"/>
    </row>
    <row r="594" spans="1:17">
      <c r="A594"/>
      <c r="B594" s="26"/>
      <c r="C594" s="162"/>
      <c r="D594" s="26"/>
      <c r="E594" s="26"/>
      <c r="F594" s="26"/>
      <c r="G594" s="26"/>
      <c r="H594" s="26"/>
      <c r="I594" s="26"/>
      <c r="J594" s="26"/>
      <c r="K594" s="55"/>
      <c r="L594" s="21"/>
      <c r="M594" s="26"/>
      <c r="N594" s="55"/>
      <c r="O594" s="26"/>
      <c r="P594"/>
      <c r="Q594" s="1"/>
    </row>
    <row r="595" spans="1:17">
      <c r="A595"/>
      <c r="B595" s="26"/>
      <c r="C595" s="162"/>
      <c r="D595" s="26"/>
      <c r="E595" s="26"/>
      <c r="F595" s="26"/>
      <c r="G595" s="26"/>
      <c r="H595" s="26"/>
      <c r="I595" s="26"/>
      <c r="J595" s="26"/>
      <c r="K595" s="55"/>
      <c r="L595" s="21"/>
      <c r="M595" s="26"/>
      <c r="N595" s="55"/>
      <c r="O595" s="26"/>
      <c r="P595"/>
      <c r="Q595" s="1"/>
    </row>
    <row r="596" spans="1:17">
      <c r="A596"/>
      <c r="B596" s="26"/>
      <c r="C596" s="162"/>
      <c r="D596" s="26"/>
      <c r="E596" s="26"/>
      <c r="F596" s="26"/>
      <c r="G596" s="26"/>
      <c r="H596" s="26"/>
      <c r="I596" s="26"/>
      <c r="J596" s="26"/>
      <c r="K596" s="55"/>
      <c r="L596" s="21"/>
      <c r="M596" s="26"/>
      <c r="N596" s="55"/>
      <c r="O596" s="26"/>
      <c r="P596"/>
      <c r="Q596" s="1"/>
    </row>
    <row r="597" spans="1:17">
      <c r="A597"/>
      <c r="B597" s="26"/>
      <c r="C597" s="162"/>
      <c r="D597" s="26"/>
      <c r="E597" s="26"/>
      <c r="F597" s="26"/>
      <c r="G597" s="26"/>
      <c r="H597" s="26"/>
      <c r="I597" s="26"/>
      <c r="J597" s="26"/>
      <c r="K597" s="55"/>
      <c r="L597" s="21"/>
      <c r="M597" s="26"/>
      <c r="N597" s="55"/>
      <c r="O597" s="26"/>
      <c r="P597"/>
      <c r="Q597" s="1"/>
    </row>
    <row r="598" spans="1:17">
      <c r="A598"/>
      <c r="B598" s="26"/>
      <c r="C598" s="162"/>
      <c r="D598" s="26"/>
      <c r="E598" s="26"/>
      <c r="F598" s="26"/>
      <c r="G598" s="26"/>
      <c r="H598" s="26"/>
      <c r="I598" s="26"/>
      <c r="J598" s="26"/>
      <c r="K598" s="55"/>
      <c r="L598" s="21"/>
      <c r="M598" s="26"/>
      <c r="N598" s="55"/>
      <c r="O598" s="26"/>
      <c r="P598"/>
      <c r="Q598" s="1"/>
    </row>
    <row r="599" spans="1:17">
      <c r="A599"/>
      <c r="B599" s="26"/>
      <c r="C599" s="162"/>
      <c r="D599" s="26"/>
      <c r="E599" s="26"/>
      <c r="F599" s="26"/>
      <c r="G599" s="26"/>
      <c r="H599" s="26"/>
      <c r="I599" s="26"/>
      <c r="J599" s="26"/>
      <c r="K599" s="55"/>
      <c r="L599" s="21"/>
      <c r="M599" s="26"/>
      <c r="N599" s="55"/>
      <c r="O599" s="26"/>
      <c r="P599"/>
      <c r="Q599" s="1"/>
    </row>
    <row r="600" spans="1:17">
      <c r="A600"/>
      <c r="B600" s="26"/>
      <c r="C600" s="162"/>
      <c r="D600" s="26"/>
      <c r="E600" s="26"/>
      <c r="F600" s="26"/>
      <c r="G600" s="26"/>
      <c r="H600" s="26"/>
      <c r="I600" s="26"/>
      <c r="J600" s="26"/>
      <c r="K600" s="55"/>
      <c r="L600" s="21"/>
      <c r="M600" s="26"/>
      <c r="N600" s="55"/>
      <c r="O600" s="26"/>
      <c r="P600"/>
      <c r="Q600" s="1"/>
    </row>
    <row r="601" spans="1:17">
      <c r="A601"/>
      <c r="B601" s="26"/>
      <c r="C601" s="162"/>
      <c r="D601" s="26"/>
      <c r="E601" s="26"/>
      <c r="F601" s="26"/>
      <c r="G601" s="26"/>
      <c r="H601" s="26"/>
      <c r="I601" s="26"/>
      <c r="J601" s="26"/>
      <c r="K601" s="55"/>
      <c r="L601" s="21"/>
      <c r="M601" s="26"/>
      <c r="N601" s="55"/>
      <c r="O601" s="26"/>
      <c r="P601"/>
      <c r="Q601" s="1"/>
    </row>
    <row r="602" spans="1:17">
      <c r="A602"/>
      <c r="B602" s="26"/>
      <c r="C602" s="162"/>
      <c r="D602" s="26"/>
      <c r="E602" s="26"/>
      <c r="F602" s="26"/>
      <c r="G602" s="26"/>
      <c r="H602" s="26"/>
      <c r="I602" s="26"/>
      <c r="J602" s="26"/>
      <c r="K602" s="55"/>
      <c r="L602" s="21"/>
      <c r="M602" s="26"/>
      <c r="N602" s="55"/>
      <c r="O602" s="26"/>
      <c r="P602"/>
      <c r="Q602" s="1"/>
    </row>
    <row r="603" spans="1:17">
      <c r="A603"/>
      <c r="B603" s="26"/>
      <c r="C603" s="162"/>
      <c r="D603" s="26"/>
      <c r="E603" s="26"/>
      <c r="F603" s="26"/>
      <c r="G603" s="26"/>
      <c r="H603" s="26"/>
      <c r="I603" s="26"/>
      <c r="J603" s="26"/>
      <c r="K603" s="55"/>
      <c r="L603" s="21"/>
      <c r="M603" s="26"/>
      <c r="N603" s="55"/>
      <c r="O603" s="26"/>
      <c r="P603"/>
      <c r="Q603" s="1"/>
    </row>
    <row r="604" spans="1:17">
      <c r="A604"/>
      <c r="B604" s="26"/>
      <c r="C604" s="162"/>
      <c r="D604" s="26"/>
      <c r="E604" s="26"/>
      <c r="F604" s="26"/>
      <c r="G604" s="26"/>
      <c r="H604" s="26"/>
      <c r="I604" s="26"/>
      <c r="J604" s="26"/>
      <c r="K604" s="55"/>
      <c r="L604" s="21"/>
      <c r="M604" s="26"/>
      <c r="N604" s="55"/>
      <c r="O604" s="26"/>
      <c r="P604"/>
      <c r="Q604" s="1"/>
    </row>
    <row r="605" spans="1:17">
      <c r="A605"/>
      <c r="B605" s="26"/>
      <c r="C605" s="162"/>
      <c r="D605" s="26"/>
      <c r="E605" s="26"/>
      <c r="F605" s="26"/>
      <c r="G605" s="26"/>
      <c r="H605" s="26"/>
      <c r="I605" s="26"/>
      <c r="J605" s="26"/>
      <c r="K605" s="55"/>
      <c r="L605" s="21"/>
      <c r="M605" s="26"/>
      <c r="N605" s="55"/>
      <c r="O605" s="26"/>
      <c r="P605"/>
      <c r="Q605" s="1"/>
    </row>
    <row r="606" spans="1:17">
      <c r="A606"/>
      <c r="B606" s="26"/>
      <c r="C606" s="162"/>
      <c r="D606" s="26"/>
      <c r="E606" s="26"/>
      <c r="F606" s="26"/>
      <c r="G606" s="26"/>
      <c r="H606" s="26"/>
      <c r="I606" s="26"/>
      <c r="J606" s="26"/>
      <c r="K606" s="55"/>
      <c r="L606" s="21"/>
      <c r="M606" s="26"/>
      <c r="N606" s="55"/>
      <c r="O606" s="26"/>
      <c r="P606"/>
      <c r="Q606" s="1"/>
    </row>
    <row r="607" spans="1:17">
      <c r="A607"/>
      <c r="B607" s="26"/>
      <c r="C607" s="162"/>
      <c r="D607" s="26"/>
      <c r="E607" s="26"/>
      <c r="F607" s="26"/>
      <c r="G607" s="26"/>
      <c r="H607" s="26"/>
      <c r="I607" s="26"/>
      <c r="J607" s="26"/>
      <c r="K607" s="55"/>
      <c r="L607" s="21"/>
      <c r="M607" s="26"/>
      <c r="N607" s="55"/>
      <c r="O607" s="26"/>
      <c r="P607"/>
      <c r="Q607" s="1"/>
    </row>
    <row r="608" spans="1:17" ht="5.25" customHeight="1">
      <c r="A608" s="1"/>
      <c r="B608" s="1"/>
      <c r="C608" s="177"/>
      <c r="D608" s="1"/>
      <c r="E608" s="1"/>
      <c r="F608" s="1"/>
      <c r="G608" s="1"/>
      <c r="H608" s="1"/>
      <c r="I608" s="1"/>
      <c r="J608" s="1"/>
      <c r="K608" s="1"/>
      <c r="L608" s="193"/>
      <c r="M608" s="1"/>
      <c r="N608" s="1"/>
      <c r="O608" s="1"/>
      <c r="P608" s="1"/>
      <c r="Q608" s="1"/>
    </row>
  </sheetData>
  <dataConsolidate/>
  <mergeCells count="9">
    <mergeCell ref="J5:O5"/>
    <mergeCell ref="J6:O6"/>
    <mergeCell ref="D6:E6"/>
    <mergeCell ref="D7:E7"/>
    <mergeCell ref="H5:I5"/>
    <mergeCell ref="H6:I6"/>
    <mergeCell ref="H7:I7"/>
    <mergeCell ref="J7:O7"/>
    <mergeCell ref="D5:E5"/>
  </mergeCells>
  <conditionalFormatting sqref="M46:N1001 N45">
    <cfRule type="expression" dxfId="15" priority="13">
      <formula>$L45=TRUE</formula>
    </cfRule>
    <cfRule type="expression" dxfId="14" priority="14">
      <formula>L45=FALSE</formula>
    </cfRule>
  </conditionalFormatting>
  <conditionalFormatting sqref="M19:N44">
    <cfRule type="expression" dxfId="13" priority="5">
      <formula>$L19=TRUE</formula>
    </cfRule>
    <cfRule type="expression" dxfId="12" priority="6">
      <formula>L19=FALSE</formula>
    </cfRule>
  </conditionalFormatting>
  <conditionalFormatting sqref="N11:N18">
    <cfRule type="expression" dxfId="3" priority="1">
      <formula>$L11=TRUE</formula>
    </cfRule>
    <cfRule type="expression" dxfId="2" priority="2">
      <formula>M11=FALSE</formula>
    </cfRule>
  </conditionalFormatting>
  <dataValidations count="4">
    <dataValidation type="custom" allowBlank="1" showInputMessage="1" showErrorMessage="1" errorTitle="ERROR !!!" error="No se permite ingresar Hora, debe deshabilitar horario libre_x000a_" sqref="M46:M110 M19:M44">
      <formula1>$L19=FALSE</formula1>
    </dataValidation>
    <dataValidation type="list" allowBlank="1" showInputMessage="1" showErrorMessage="1" sqref="D5:E5">
      <formula1>inmobiliaria</formula1>
    </dataValidation>
    <dataValidation type="list" allowBlank="1" showInputMessage="1" showErrorMessage="1" sqref="D7:E7">
      <formula1>SupervisorCons</formula1>
    </dataValidation>
    <dataValidation type="list" allowBlank="1" showInputMessage="1" showErrorMessage="1" sqref="J5:O5">
      <formula1>SupervisorInm</formula1>
    </dataValidation>
  </dataValidations>
  <pageMargins left="0.31496062992125984" right="0.11811023622047245" top="0.74803149606299213" bottom="0.74803149606299213" header="0.31496062992125984" footer="0.31496062992125984"/>
  <pageSetup scale="73" fitToHeight="2" orientation="portrait" r:id="rId1"/>
  <drawing r:id="rId2"/>
  <legacyDrawing r:id="rId3"/>
  <controls>
    <mc:AlternateContent xmlns:mc="http://schemas.openxmlformats.org/markup-compatibility/2006">
      <mc:Choice Requires="x14">
        <control shapeId="1354" r:id="rId4" name="CheckBox100">
          <controlPr defaultSize="0" autoLine="0" r:id="rId5">
            <anchor moveWithCells="1">
              <from>
                <xdr:col>10</xdr:col>
                <xdr:colOff>104775</xdr:colOff>
                <xdr:row>109</xdr:row>
                <xdr:rowOff>104775</xdr:rowOff>
              </from>
              <to>
                <xdr:col>10</xdr:col>
                <xdr:colOff>704850</xdr:colOff>
                <xdr:row>109</xdr:row>
                <xdr:rowOff>533400</xdr:rowOff>
              </to>
            </anchor>
          </controlPr>
        </control>
      </mc:Choice>
      <mc:Fallback>
        <control shapeId="1354" r:id="rId4" name="CheckBox100"/>
      </mc:Fallback>
    </mc:AlternateContent>
    <mc:AlternateContent xmlns:mc="http://schemas.openxmlformats.org/markup-compatibility/2006">
      <mc:Choice Requires="x14">
        <control shapeId="1353" r:id="rId6" name="CheckBox99">
          <controlPr defaultSize="0" autoLine="0" r:id="rId7">
            <anchor moveWithCells="1">
              <from>
                <xdr:col>10</xdr:col>
                <xdr:colOff>104775</xdr:colOff>
                <xdr:row>108</xdr:row>
                <xdr:rowOff>104775</xdr:rowOff>
              </from>
              <to>
                <xdr:col>10</xdr:col>
                <xdr:colOff>704850</xdr:colOff>
                <xdr:row>108</xdr:row>
                <xdr:rowOff>533400</xdr:rowOff>
              </to>
            </anchor>
          </controlPr>
        </control>
      </mc:Choice>
      <mc:Fallback>
        <control shapeId="1353" r:id="rId6" name="CheckBox99"/>
      </mc:Fallback>
    </mc:AlternateContent>
    <mc:AlternateContent xmlns:mc="http://schemas.openxmlformats.org/markup-compatibility/2006">
      <mc:Choice Requires="x14">
        <control shapeId="1352" r:id="rId8" name="CheckBox98">
          <controlPr defaultSize="0" autoLine="0" r:id="rId7">
            <anchor moveWithCells="1">
              <from>
                <xdr:col>10</xdr:col>
                <xdr:colOff>104775</xdr:colOff>
                <xdr:row>107</xdr:row>
                <xdr:rowOff>104775</xdr:rowOff>
              </from>
              <to>
                <xdr:col>10</xdr:col>
                <xdr:colOff>704850</xdr:colOff>
                <xdr:row>107</xdr:row>
                <xdr:rowOff>533400</xdr:rowOff>
              </to>
            </anchor>
          </controlPr>
        </control>
      </mc:Choice>
      <mc:Fallback>
        <control shapeId="1352" r:id="rId8" name="CheckBox98"/>
      </mc:Fallback>
    </mc:AlternateContent>
    <mc:AlternateContent xmlns:mc="http://schemas.openxmlformats.org/markup-compatibility/2006">
      <mc:Choice Requires="x14">
        <control shapeId="1351" r:id="rId9" name="CheckBox97">
          <controlPr defaultSize="0" autoLine="0" r:id="rId7">
            <anchor moveWithCells="1">
              <from>
                <xdr:col>10</xdr:col>
                <xdr:colOff>104775</xdr:colOff>
                <xdr:row>106</xdr:row>
                <xdr:rowOff>104775</xdr:rowOff>
              </from>
              <to>
                <xdr:col>10</xdr:col>
                <xdr:colOff>704850</xdr:colOff>
                <xdr:row>106</xdr:row>
                <xdr:rowOff>533400</xdr:rowOff>
              </to>
            </anchor>
          </controlPr>
        </control>
      </mc:Choice>
      <mc:Fallback>
        <control shapeId="1351" r:id="rId9" name="CheckBox97"/>
      </mc:Fallback>
    </mc:AlternateContent>
    <mc:AlternateContent xmlns:mc="http://schemas.openxmlformats.org/markup-compatibility/2006">
      <mc:Choice Requires="x14">
        <control shapeId="1350" r:id="rId10" name="CheckBox96">
          <controlPr defaultSize="0" autoLine="0" r:id="rId7">
            <anchor moveWithCells="1">
              <from>
                <xdr:col>10</xdr:col>
                <xdr:colOff>104775</xdr:colOff>
                <xdr:row>105</xdr:row>
                <xdr:rowOff>104775</xdr:rowOff>
              </from>
              <to>
                <xdr:col>10</xdr:col>
                <xdr:colOff>704850</xdr:colOff>
                <xdr:row>105</xdr:row>
                <xdr:rowOff>533400</xdr:rowOff>
              </to>
            </anchor>
          </controlPr>
        </control>
      </mc:Choice>
      <mc:Fallback>
        <control shapeId="1350" r:id="rId10" name="CheckBox96"/>
      </mc:Fallback>
    </mc:AlternateContent>
    <mc:AlternateContent xmlns:mc="http://schemas.openxmlformats.org/markup-compatibility/2006">
      <mc:Choice Requires="x14">
        <control shapeId="1349" r:id="rId11" name="CheckBox95">
          <controlPr defaultSize="0" autoLine="0" r:id="rId7">
            <anchor moveWithCells="1">
              <from>
                <xdr:col>10</xdr:col>
                <xdr:colOff>104775</xdr:colOff>
                <xdr:row>104</xdr:row>
                <xdr:rowOff>104775</xdr:rowOff>
              </from>
              <to>
                <xdr:col>10</xdr:col>
                <xdr:colOff>704850</xdr:colOff>
                <xdr:row>104</xdr:row>
                <xdr:rowOff>533400</xdr:rowOff>
              </to>
            </anchor>
          </controlPr>
        </control>
      </mc:Choice>
      <mc:Fallback>
        <control shapeId="1349" r:id="rId11" name="CheckBox95"/>
      </mc:Fallback>
    </mc:AlternateContent>
    <mc:AlternateContent xmlns:mc="http://schemas.openxmlformats.org/markup-compatibility/2006">
      <mc:Choice Requires="x14">
        <control shapeId="1348" r:id="rId12" name="CheckBox94">
          <controlPr defaultSize="0" autoLine="0" r:id="rId7">
            <anchor moveWithCells="1">
              <from>
                <xdr:col>10</xdr:col>
                <xdr:colOff>104775</xdr:colOff>
                <xdr:row>103</xdr:row>
                <xdr:rowOff>104775</xdr:rowOff>
              </from>
              <to>
                <xdr:col>10</xdr:col>
                <xdr:colOff>704850</xdr:colOff>
                <xdr:row>103</xdr:row>
                <xdr:rowOff>533400</xdr:rowOff>
              </to>
            </anchor>
          </controlPr>
        </control>
      </mc:Choice>
      <mc:Fallback>
        <control shapeId="1348" r:id="rId12" name="CheckBox94"/>
      </mc:Fallback>
    </mc:AlternateContent>
    <mc:AlternateContent xmlns:mc="http://schemas.openxmlformats.org/markup-compatibility/2006">
      <mc:Choice Requires="x14">
        <control shapeId="1347" r:id="rId13" name="CheckBox93">
          <controlPr defaultSize="0" autoLine="0" r:id="rId7">
            <anchor moveWithCells="1">
              <from>
                <xdr:col>10</xdr:col>
                <xdr:colOff>104775</xdr:colOff>
                <xdr:row>102</xdr:row>
                <xdr:rowOff>104775</xdr:rowOff>
              </from>
              <to>
                <xdr:col>10</xdr:col>
                <xdr:colOff>704850</xdr:colOff>
                <xdr:row>102</xdr:row>
                <xdr:rowOff>533400</xdr:rowOff>
              </to>
            </anchor>
          </controlPr>
        </control>
      </mc:Choice>
      <mc:Fallback>
        <control shapeId="1347" r:id="rId13" name="CheckBox93"/>
      </mc:Fallback>
    </mc:AlternateContent>
    <mc:AlternateContent xmlns:mc="http://schemas.openxmlformats.org/markup-compatibility/2006">
      <mc:Choice Requires="x14">
        <control shapeId="1346" r:id="rId14" name="CheckBox92">
          <controlPr defaultSize="0" autoLine="0" r:id="rId7">
            <anchor moveWithCells="1">
              <from>
                <xdr:col>10</xdr:col>
                <xdr:colOff>104775</xdr:colOff>
                <xdr:row>101</xdr:row>
                <xdr:rowOff>104775</xdr:rowOff>
              </from>
              <to>
                <xdr:col>10</xdr:col>
                <xdr:colOff>704850</xdr:colOff>
                <xdr:row>101</xdr:row>
                <xdr:rowOff>533400</xdr:rowOff>
              </to>
            </anchor>
          </controlPr>
        </control>
      </mc:Choice>
      <mc:Fallback>
        <control shapeId="1346" r:id="rId14" name="CheckBox92"/>
      </mc:Fallback>
    </mc:AlternateContent>
    <mc:AlternateContent xmlns:mc="http://schemas.openxmlformats.org/markup-compatibility/2006">
      <mc:Choice Requires="x14">
        <control shapeId="1345" r:id="rId15" name="CheckBox91">
          <controlPr defaultSize="0" autoLine="0" r:id="rId7">
            <anchor moveWithCells="1">
              <from>
                <xdr:col>10</xdr:col>
                <xdr:colOff>123825</xdr:colOff>
                <xdr:row>100</xdr:row>
                <xdr:rowOff>123825</xdr:rowOff>
              </from>
              <to>
                <xdr:col>10</xdr:col>
                <xdr:colOff>723900</xdr:colOff>
                <xdr:row>100</xdr:row>
                <xdr:rowOff>552450</xdr:rowOff>
              </to>
            </anchor>
          </controlPr>
        </control>
      </mc:Choice>
      <mc:Fallback>
        <control shapeId="1345" r:id="rId15" name="CheckBox91"/>
      </mc:Fallback>
    </mc:AlternateContent>
    <mc:AlternateContent xmlns:mc="http://schemas.openxmlformats.org/markup-compatibility/2006">
      <mc:Choice Requires="x14">
        <control shapeId="1344" r:id="rId16" name="CheckBox90">
          <controlPr defaultSize="0" autoLine="0" r:id="rId7">
            <anchor moveWithCells="1">
              <from>
                <xdr:col>10</xdr:col>
                <xdr:colOff>104775</xdr:colOff>
                <xdr:row>99</xdr:row>
                <xdr:rowOff>104775</xdr:rowOff>
              </from>
              <to>
                <xdr:col>10</xdr:col>
                <xdr:colOff>704850</xdr:colOff>
                <xdr:row>99</xdr:row>
                <xdr:rowOff>533400</xdr:rowOff>
              </to>
            </anchor>
          </controlPr>
        </control>
      </mc:Choice>
      <mc:Fallback>
        <control shapeId="1344" r:id="rId16" name="CheckBox90"/>
      </mc:Fallback>
    </mc:AlternateContent>
    <mc:AlternateContent xmlns:mc="http://schemas.openxmlformats.org/markup-compatibility/2006">
      <mc:Choice Requires="x14">
        <control shapeId="1343" r:id="rId17" name="CheckBox89">
          <controlPr defaultSize="0" autoLine="0" r:id="rId7">
            <anchor moveWithCells="1">
              <from>
                <xdr:col>10</xdr:col>
                <xdr:colOff>104775</xdr:colOff>
                <xdr:row>98</xdr:row>
                <xdr:rowOff>104775</xdr:rowOff>
              </from>
              <to>
                <xdr:col>10</xdr:col>
                <xdr:colOff>704850</xdr:colOff>
                <xdr:row>98</xdr:row>
                <xdr:rowOff>533400</xdr:rowOff>
              </to>
            </anchor>
          </controlPr>
        </control>
      </mc:Choice>
      <mc:Fallback>
        <control shapeId="1343" r:id="rId17" name="CheckBox89"/>
      </mc:Fallback>
    </mc:AlternateContent>
    <mc:AlternateContent xmlns:mc="http://schemas.openxmlformats.org/markup-compatibility/2006">
      <mc:Choice Requires="x14">
        <control shapeId="1342" r:id="rId18" name="CheckBox88">
          <controlPr defaultSize="0" autoLine="0" r:id="rId7">
            <anchor moveWithCells="1">
              <from>
                <xdr:col>10</xdr:col>
                <xdr:colOff>104775</xdr:colOff>
                <xdr:row>97</xdr:row>
                <xdr:rowOff>104775</xdr:rowOff>
              </from>
              <to>
                <xdr:col>10</xdr:col>
                <xdr:colOff>704850</xdr:colOff>
                <xdr:row>97</xdr:row>
                <xdr:rowOff>533400</xdr:rowOff>
              </to>
            </anchor>
          </controlPr>
        </control>
      </mc:Choice>
      <mc:Fallback>
        <control shapeId="1342" r:id="rId18" name="CheckBox88"/>
      </mc:Fallback>
    </mc:AlternateContent>
    <mc:AlternateContent xmlns:mc="http://schemas.openxmlformats.org/markup-compatibility/2006">
      <mc:Choice Requires="x14">
        <control shapeId="1341" r:id="rId19" name="CheckBox87">
          <controlPr defaultSize="0" autoLine="0" r:id="rId7">
            <anchor moveWithCells="1">
              <from>
                <xdr:col>10</xdr:col>
                <xdr:colOff>104775</xdr:colOff>
                <xdr:row>96</xdr:row>
                <xdr:rowOff>104775</xdr:rowOff>
              </from>
              <to>
                <xdr:col>10</xdr:col>
                <xdr:colOff>704850</xdr:colOff>
                <xdr:row>96</xdr:row>
                <xdr:rowOff>533400</xdr:rowOff>
              </to>
            </anchor>
          </controlPr>
        </control>
      </mc:Choice>
      <mc:Fallback>
        <control shapeId="1341" r:id="rId19" name="CheckBox87"/>
      </mc:Fallback>
    </mc:AlternateContent>
    <mc:AlternateContent xmlns:mc="http://schemas.openxmlformats.org/markup-compatibility/2006">
      <mc:Choice Requires="x14">
        <control shapeId="1340" r:id="rId20" name="CheckBox86">
          <controlPr defaultSize="0" autoLine="0" r:id="rId7">
            <anchor moveWithCells="1">
              <from>
                <xdr:col>10</xdr:col>
                <xdr:colOff>104775</xdr:colOff>
                <xdr:row>95</xdr:row>
                <xdr:rowOff>104775</xdr:rowOff>
              </from>
              <to>
                <xdr:col>10</xdr:col>
                <xdr:colOff>704850</xdr:colOff>
                <xdr:row>95</xdr:row>
                <xdr:rowOff>533400</xdr:rowOff>
              </to>
            </anchor>
          </controlPr>
        </control>
      </mc:Choice>
      <mc:Fallback>
        <control shapeId="1340" r:id="rId20" name="CheckBox86"/>
      </mc:Fallback>
    </mc:AlternateContent>
    <mc:AlternateContent xmlns:mc="http://schemas.openxmlformats.org/markup-compatibility/2006">
      <mc:Choice Requires="x14">
        <control shapeId="1339" r:id="rId21" name="CheckBox85">
          <controlPr defaultSize="0" autoLine="0" r:id="rId7">
            <anchor moveWithCells="1">
              <from>
                <xdr:col>10</xdr:col>
                <xdr:colOff>104775</xdr:colOff>
                <xdr:row>94</xdr:row>
                <xdr:rowOff>104775</xdr:rowOff>
              </from>
              <to>
                <xdr:col>10</xdr:col>
                <xdr:colOff>704850</xdr:colOff>
                <xdr:row>94</xdr:row>
                <xdr:rowOff>533400</xdr:rowOff>
              </to>
            </anchor>
          </controlPr>
        </control>
      </mc:Choice>
      <mc:Fallback>
        <control shapeId="1339" r:id="rId21" name="CheckBox85"/>
      </mc:Fallback>
    </mc:AlternateContent>
    <mc:AlternateContent xmlns:mc="http://schemas.openxmlformats.org/markup-compatibility/2006">
      <mc:Choice Requires="x14">
        <control shapeId="1338" r:id="rId22" name="CheckBox84">
          <controlPr defaultSize="0" autoLine="0" r:id="rId7">
            <anchor moveWithCells="1">
              <from>
                <xdr:col>10</xdr:col>
                <xdr:colOff>104775</xdr:colOff>
                <xdr:row>93</xdr:row>
                <xdr:rowOff>104775</xdr:rowOff>
              </from>
              <to>
                <xdr:col>10</xdr:col>
                <xdr:colOff>704850</xdr:colOff>
                <xdr:row>93</xdr:row>
                <xdr:rowOff>533400</xdr:rowOff>
              </to>
            </anchor>
          </controlPr>
        </control>
      </mc:Choice>
      <mc:Fallback>
        <control shapeId="1338" r:id="rId22" name="CheckBox84"/>
      </mc:Fallback>
    </mc:AlternateContent>
    <mc:AlternateContent xmlns:mc="http://schemas.openxmlformats.org/markup-compatibility/2006">
      <mc:Choice Requires="x14">
        <control shapeId="1337" r:id="rId23" name="CheckBox83">
          <controlPr defaultSize="0" autoLine="0" r:id="rId7">
            <anchor moveWithCells="1">
              <from>
                <xdr:col>10</xdr:col>
                <xdr:colOff>104775</xdr:colOff>
                <xdr:row>92</xdr:row>
                <xdr:rowOff>104775</xdr:rowOff>
              </from>
              <to>
                <xdr:col>10</xdr:col>
                <xdr:colOff>704850</xdr:colOff>
                <xdr:row>92</xdr:row>
                <xdr:rowOff>533400</xdr:rowOff>
              </to>
            </anchor>
          </controlPr>
        </control>
      </mc:Choice>
      <mc:Fallback>
        <control shapeId="1337" r:id="rId23" name="CheckBox83"/>
      </mc:Fallback>
    </mc:AlternateContent>
    <mc:AlternateContent xmlns:mc="http://schemas.openxmlformats.org/markup-compatibility/2006">
      <mc:Choice Requires="x14">
        <control shapeId="1336" r:id="rId24" name="CheckBox82">
          <controlPr defaultSize="0" autoLine="0" r:id="rId7">
            <anchor moveWithCells="1">
              <from>
                <xdr:col>10</xdr:col>
                <xdr:colOff>104775</xdr:colOff>
                <xdr:row>91</xdr:row>
                <xdr:rowOff>104775</xdr:rowOff>
              </from>
              <to>
                <xdr:col>10</xdr:col>
                <xdr:colOff>704850</xdr:colOff>
                <xdr:row>91</xdr:row>
                <xdr:rowOff>533400</xdr:rowOff>
              </to>
            </anchor>
          </controlPr>
        </control>
      </mc:Choice>
      <mc:Fallback>
        <control shapeId="1336" r:id="rId24" name="CheckBox82"/>
      </mc:Fallback>
    </mc:AlternateContent>
    <mc:AlternateContent xmlns:mc="http://schemas.openxmlformats.org/markup-compatibility/2006">
      <mc:Choice Requires="x14">
        <control shapeId="1335" r:id="rId25" name="CheckBox81">
          <controlPr defaultSize="0" autoLine="0" r:id="rId7">
            <anchor moveWithCells="1">
              <from>
                <xdr:col>10</xdr:col>
                <xdr:colOff>104775</xdr:colOff>
                <xdr:row>90</xdr:row>
                <xdr:rowOff>104775</xdr:rowOff>
              </from>
              <to>
                <xdr:col>10</xdr:col>
                <xdr:colOff>704850</xdr:colOff>
                <xdr:row>90</xdr:row>
                <xdr:rowOff>533400</xdr:rowOff>
              </to>
            </anchor>
          </controlPr>
        </control>
      </mc:Choice>
      <mc:Fallback>
        <control shapeId="1335" r:id="rId25" name="CheckBox81"/>
      </mc:Fallback>
    </mc:AlternateContent>
    <mc:AlternateContent xmlns:mc="http://schemas.openxmlformats.org/markup-compatibility/2006">
      <mc:Choice Requires="x14">
        <control shapeId="1334" r:id="rId26" name="CheckBox80">
          <controlPr defaultSize="0" autoLine="0" r:id="rId7">
            <anchor moveWithCells="1">
              <from>
                <xdr:col>10</xdr:col>
                <xdr:colOff>104775</xdr:colOff>
                <xdr:row>89</xdr:row>
                <xdr:rowOff>104775</xdr:rowOff>
              </from>
              <to>
                <xdr:col>10</xdr:col>
                <xdr:colOff>704850</xdr:colOff>
                <xdr:row>89</xdr:row>
                <xdr:rowOff>533400</xdr:rowOff>
              </to>
            </anchor>
          </controlPr>
        </control>
      </mc:Choice>
      <mc:Fallback>
        <control shapeId="1334" r:id="rId26" name="CheckBox80"/>
      </mc:Fallback>
    </mc:AlternateContent>
    <mc:AlternateContent xmlns:mc="http://schemas.openxmlformats.org/markup-compatibility/2006">
      <mc:Choice Requires="x14">
        <control shapeId="1333" r:id="rId27" name="CheckBox79">
          <controlPr defaultSize="0" autoLine="0" r:id="rId7">
            <anchor moveWithCells="1">
              <from>
                <xdr:col>10</xdr:col>
                <xdr:colOff>104775</xdr:colOff>
                <xdr:row>88</xdr:row>
                <xdr:rowOff>104775</xdr:rowOff>
              </from>
              <to>
                <xdr:col>10</xdr:col>
                <xdr:colOff>704850</xdr:colOff>
                <xdr:row>88</xdr:row>
                <xdr:rowOff>533400</xdr:rowOff>
              </to>
            </anchor>
          </controlPr>
        </control>
      </mc:Choice>
      <mc:Fallback>
        <control shapeId="1333" r:id="rId27" name="CheckBox79"/>
      </mc:Fallback>
    </mc:AlternateContent>
    <mc:AlternateContent xmlns:mc="http://schemas.openxmlformats.org/markup-compatibility/2006">
      <mc:Choice Requires="x14">
        <control shapeId="1332" r:id="rId28" name="CheckBox78">
          <controlPr defaultSize="0" autoLine="0" r:id="rId7">
            <anchor moveWithCells="1">
              <from>
                <xdr:col>10</xdr:col>
                <xdr:colOff>104775</xdr:colOff>
                <xdr:row>87</xdr:row>
                <xdr:rowOff>104775</xdr:rowOff>
              </from>
              <to>
                <xdr:col>10</xdr:col>
                <xdr:colOff>704850</xdr:colOff>
                <xdr:row>87</xdr:row>
                <xdr:rowOff>533400</xdr:rowOff>
              </to>
            </anchor>
          </controlPr>
        </control>
      </mc:Choice>
      <mc:Fallback>
        <control shapeId="1332" r:id="rId28" name="CheckBox78"/>
      </mc:Fallback>
    </mc:AlternateContent>
    <mc:AlternateContent xmlns:mc="http://schemas.openxmlformats.org/markup-compatibility/2006">
      <mc:Choice Requires="x14">
        <control shapeId="1331" r:id="rId29" name="CheckBox77">
          <controlPr defaultSize="0" autoLine="0" r:id="rId7">
            <anchor moveWithCells="1">
              <from>
                <xdr:col>10</xdr:col>
                <xdr:colOff>104775</xdr:colOff>
                <xdr:row>86</xdr:row>
                <xdr:rowOff>104775</xdr:rowOff>
              </from>
              <to>
                <xdr:col>10</xdr:col>
                <xdr:colOff>704850</xdr:colOff>
                <xdr:row>86</xdr:row>
                <xdr:rowOff>533400</xdr:rowOff>
              </to>
            </anchor>
          </controlPr>
        </control>
      </mc:Choice>
      <mc:Fallback>
        <control shapeId="1331" r:id="rId29" name="CheckBox77"/>
      </mc:Fallback>
    </mc:AlternateContent>
    <mc:AlternateContent xmlns:mc="http://schemas.openxmlformats.org/markup-compatibility/2006">
      <mc:Choice Requires="x14">
        <control shapeId="1330" r:id="rId30" name="CheckBox76">
          <controlPr defaultSize="0" autoLine="0" r:id="rId7">
            <anchor moveWithCells="1">
              <from>
                <xdr:col>10</xdr:col>
                <xdr:colOff>104775</xdr:colOff>
                <xdr:row>85</xdr:row>
                <xdr:rowOff>104775</xdr:rowOff>
              </from>
              <to>
                <xdr:col>10</xdr:col>
                <xdr:colOff>704850</xdr:colOff>
                <xdr:row>85</xdr:row>
                <xdr:rowOff>533400</xdr:rowOff>
              </to>
            </anchor>
          </controlPr>
        </control>
      </mc:Choice>
      <mc:Fallback>
        <control shapeId="1330" r:id="rId30" name="CheckBox76"/>
      </mc:Fallback>
    </mc:AlternateContent>
    <mc:AlternateContent xmlns:mc="http://schemas.openxmlformats.org/markup-compatibility/2006">
      <mc:Choice Requires="x14">
        <control shapeId="1329" r:id="rId31" name="CheckBox75">
          <controlPr defaultSize="0" autoLine="0" r:id="rId7">
            <anchor moveWithCells="1">
              <from>
                <xdr:col>10</xdr:col>
                <xdr:colOff>104775</xdr:colOff>
                <xdr:row>84</xdr:row>
                <xdr:rowOff>104775</xdr:rowOff>
              </from>
              <to>
                <xdr:col>10</xdr:col>
                <xdr:colOff>704850</xdr:colOff>
                <xdr:row>84</xdr:row>
                <xdr:rowOff>533400</xdr:rowOff>
              </to>
            </anchor>
          </controlPr>
        </control>
      </mc:Choice>
      <mc:Fallback>
        <control shapeId="1329" r:id="rId31" name="CheckBox75"/>
      </mc:Fallback>
    </mc:AlternateContent>
    <mc:AlternateContent xmlns:mc="http://schemas.openxmlformats.org/markup-compatibility/2006">
      <mc:Choice Requires="x14">
        <control shapeId="1328" r:id="rId32" name="CheckBox74">
          <controlPr defaultSize="0" autoLine="0" r:id="rId7">
            <anchor moveWithCells="1">
              <from>
                <xdr:col>10</xdr:col>
                <xdr:colOff>104775</xdr:colOff>
                <xdr:row>83</xdr:row>
                <xdr:rowOff>104775</xdr:rowOff>
              </from>
              <to>
                <xdr:col>10</xdr:col>
                <xdr:colOff>704850</xdr:colOff>
                <xdr:row>83</xdr:row>
                <xdr:rowOff>533400</xdr:rowOff>
              </to>
            </anchor>
          </controlPr>
        </control>
      </mc:Choice>
      <mc:Fallback>
        <control shapeId="1328" r:id="rId32" name="CheckBox74"/>
      </mc:Fallback>
    </mc:AlternateContent>
    <mc:AlternateContent xmlns:mc="http://schemas.openxmlformats.org/markup-compatibility/2006">
      <mc:Choice Requires="x14">
        <control shapeId="1327" r:id="rId33" name="CheckBox73">
          <controlPr defaultSize="0" autoLine="0" r:id="rId7">
            <anchor moveWithCells="1">
              <from>
                <xdr:col>10</xdr:col>
                <xdr:colOff>104775</xdr:colOff>
                <xdr:row>82</xdr:row>
                <xdr:rowOff>104775</xdr:rowOff>
              </from>
              <to>
                <xdr:col>10</xdr:col>
                <xdr:colOff>704850</xdr:colOff>
                <xdr:row>82</xdr:row>
                <xdr:rowOff>533400</xdr:rowOff>
              </to>
            </anchor>
          </controlPr>
        </control>
      </mc:Choice>
      <mc:Fallback>
        <control shapeId="1327" r:id="rId33" name="CheckBox73"/>
      </mc:Fallback>
    </mc:AlternateContent>
    <mc:AlternateContent xmlns:mc="http://schemas.openxmlformats.org/markup-compatibility/2006">
      <mc:Choice Requires="x14">
        <control shapeId="1326" r:id="rId34" name="CheckBox72">
          <controlPr defaultSize="0" autoLine="0" r:id="rId7">
            <anchor moveWithCells="1">
              <from>
                <xdr:col>10</xdr:col>
                <xdr:colOff>104775</xdr:colOff>
                <xdr:row>81</xdr:row>
                <xdr:rowOff>104775</xdr:rowOff>
              </from>
              <to>
                <xdr:col>10</xdr:col>
                <xdr:colOff>704850</xdr:colOff>
                <xdr:row>81</xdr:row>
                <xdr:rowOff>533400</xdr:rowOff>
              </to>
            </anchor>
          </controlPr>
        </control>
      </mc:Choice>
      <mc:Fallback>
        <control shapeId="1326" r:id="rId34" name="CheckBox72"/>
      </mc:Fallback>
    </mc:AlternateContent>
    <mc:AlternateContent xmlns:mc="http://schemas.openxmlformats.org/markup-compatibility/2006">
      <mc:Choice Requires="x14">
        <control shapeId="1325" r:id="rId35" name="CheckBox71">
          <controlPr defaultSize="0" autoLine="0" r:id="rId7">
            <anchor moveWithCells="1">
              <from>
                <xdr:col>10</xdr:col>
                <xdr:colOff>104775</xdr:colOff>
                <xdr:row>80</xdr:row>
                <xdr:rowOff>104775</xdr:rowOff>
              </from>
              <to>
                <xdr:col>10</xdr:col>
                <xdr:colOff>704850</xdr:colOff>
                <xdr:row>80</xdr:row>
                <xdr:rowOff>533400</xdr:rowOff>
              </to>
            </anchor>
          </controlPr>
        </control>
      </mc:Choice>
      <mc:Fallback>
        <control shapeId="1325" r:id="rId35" name="CheckBox71"/>
      </mc:Fallback>
    </mc:AlternateContent>
    <mc:AlternateContent xmlns:mc="http://schemas.openxmlformats.org/markup-compatibility/2006">
      <mc:Choice Requires="x14">
        <control shapeId="1324" r:id="rId36" name="CheckBox70">
          <controlPr defaultSize="0" autoLine="0" r:id="rId7">
            <anchor moveWithCells="1">
              <from>
                <xdr:col>10</xdr:col>
                <xdr:colOff>104775</xdr:colOff>
                <xdr:row>79</xdr:row>
                <xdr:rowOff>104775</xdr:rowOff>
              </from>
              <to>
                <xdr:col>10</xdr:col>
                <xdr:colOff>704850</xdr:colOff>
                <xdr:row>79</xdr:row>
                <xdr:rowOff>533400</xdr:rowOff>
              </to>
            </anchor>
          </controlPr>
        </control>
      </mc:Choice>
      <mc:Fallback>
        <control shapeId="1324" r:id="rId36" name="CheckBox70"/>
      </mc:Fallback>
    </mc:AlternateContent>
    <mc:AlternateContent xmlns:mc="http://schemas.openxmlformats.org/markup-compatibility/2006">
      <mc:Choice Requires="x14">
        <control shapeId="1323" r:id="rId37" name="CheckBox69">
          <controlPr defaultSize="0" autoLine="0" r:id="rId7">
            <anchor moveWithCells="1">
              <from>
                <xdr:col>10</xdr:col>
                <xdr:colOff>104775</xdr:colOff>
                <xdr:row>78</xdr:row>
                <xdr:rowOff>104775</xdr:rowOff>
              </from>
              <to>
                <xdr:col>10</xdr:col>
                <xdr:colOff>704850</xdr:colOff>
                <xdr:row>78</xdr:row>
                <xdr:rowOff>533400</xdr:rowOff>
              </to>
            </anchor>
          </controlPr>
        </control>
      </mc:Choice>
      <mc:Fallback>
        <control shapeId="1323" r:id="rId37" name="CheckBox69"/>
      </mc:Fallback>
    </mc:AlternateContent>
    <mc:AlternateContent xmlns:mc="http://schemas.openxmlformats.org/markup-compatibility/2006">
      <mc:Choice Requires="x14">
        <control shapeId="1322" r:id="rId38" name="CheckBox68">
          <controlPr defaultSize="0" autoLine="0" r:id="rId7">
            <anchor moveWithCells="1">
              <from>
                <xdr:col>10</xdr:col>
                <xdr:colOff>104775</xdr:colOff>
                <xdr:row>77</xdr:row>
                <xdr:rowOff>104775</xdr:rowOff>
              </from>
              <to>
                <xdr:col>10</xdr:col>
                <xdr:colOff>704850</xdr:colOff>
                <xdr:row>77</xdr:row>
                <xdr:rowOff>533400</xdr:rowOff>
              </to>
            </anchor>
          </controlPr>
        </control>
      </mc:Choice>
      <mc:Fallback>
        <control shapeId="1322" r:id="rId38" name="CheckBox68"/>
      </mc:Fallback>
    </mc:AlternateContent>
    <mc:AlternateContent xmlns:mc="http://schemas.openxmlformats.org/markup-compatibility/2006">
      <mc:Choice Requires="x14">
        <control shapeId="1321" r:id="rId39" name="CheckBox67">
          <controlPr defaultSize="0" autoLine="0" r:id="rId7">
            <anchor moveWithCells="1">
              <from>
                <xdr:col>10</xdr:col>
                <xdr:colOff>104775</xdr:colOff>
                <xdr:row>76</xdr:row>
                <xdr:rowOff>104775</xdr:rowOff>
              </from>
              <to>
                <xdr:col>10</xdr:col>
                <xdr:colOff>704850</xdr:colOff>
                <xdr:row>76</xdr:row>
                <xdr:rowOff>533400</xdr:rowOff>
              </to>
            </anchor>
          </controlPr>
        </control>
      </mc:Choice>
      <mc:Fallback>
        <control shapeId="1321" r:id="rId39" name="CheckBox67"/>
      </mc:Fallback>
    </mc:AlternateContent>
    <mc:AlternateContent xmlns:mc="http://schemas.openxmlformats.org/markup-compatibility/2006">
      <mc:Choice Requires="x14">
        <control shapeId="1320" r:id="rId40" name="CheckBox66">
          <controlPr defaultSize="0" autoLine="0" r:id="rId7">
            <anchor moveWithCells="1">
              <from>
                <xdr:col>10</xdr:col>
                <xdr:colOff>104775</xdr:colOff>
                <xdr:row>75</xdr:row>
                <xdr:rowOff>104775</xdr:rowOff>
              </from>
              <to>
                <xdr:col>10</xdr:col>
                <xdr:colOff>704850</xdr:colOff>
                <xdr:row>75</xdr:row>
                <xdr:rowOff>533400</xdr:rowOff>
              </to>
            </anchor>
          </controlPr>
        </control>
      </mc:Choice>
      <mc:Fallback>
        <control shapeId="1320" r:id="rId40" name="CheckBox66"/>
      </mc:Fallback>
    </mc:AlternateContent>
    <mc:AlternateContent xmlns:mc="http://schemas.openxmlformats.org/markup-compatibility/2006">
      <mc:Choice Requires="x14">
        <control shapeId="1319" r:id="rId41" name="CheckBox65">
          <controlPr defaultSize="0" autoLine="0" r:id="rId7">
            <anchor moveWithCells="1">
              <from>
                <xdr:col>10</xdr:col>
                <xdr:colOff>104775</xdr:colOff>
                <xdr:row>74</xdr:row>
                <xdr:rowOff>104775</xdr:rowOff>
              </from>
              <to>
                <xdr:col>10</xdr:col>
                <xdr:colOff>704850</xdr:colOff>
                <xdr:row>74</xdr:row>
                <xdr:rowOff>533400</xdr:rowOff>
              </to>
            </anchor>
          </controlPr>
        </control>
      </mc:Choice>
      <mc:Fallback>
        <control shapeId="1319" r:id="rId41" name="CheckBox65"/>
      </mc:Fallback>
    </mc:AlternateContent>
    <mc:AlternateContent xmlns:mc="http://schemas.openxmlformats.org/markup-compatibility/2006">
      <mc:Choice Requires="x14">
        <control shapeId="1318" r:id="rId42" name="CheckBox64">
          <controlPr defaultSize="0" autoLine="0" r:id="rId7">
            <anchor moveWithCells="1">
              <from>
                <xdr:col>10</xdr:col>
                <xdr:colOff>104775</xdr:colOff>
                <xdr:row>73</xdr:row>
                <xdr:rowOff>104775</xdr:rowOff>
              </from>
              <to>
                <xdr:col>10</xdr:col>
                <xdr:colOff>704850</xdr:colOff>
                <xdr:row>73</xdr:row>
                <xdr:rowOff>533400</xdr:rowOff>
              </to>
            </anchor>
          </controlPr>
        </control>
      </mc:Choice>
      <mc:Fallback>
        <control shapeId="1318" r:id="rId42" name="CheckBox64"/>
      </mc:Fallback>
    </mc:AlternateContent>
    <mc:AlternateContent xmlns:mc="http://schemas.openxmlformats.org/markup-compatibility/2006">
      <mc:Choice Requires="x14">
        <control shapeId="1317" r:id="rId43" name="CheckBox63">
          <controlPr defaultSize="0" autoLine="0" r:id="rId7">
            <anchor moveWithCells="1">
              <from>
                <xdr:col>10</xdr:col>
                <xdr:colOff>104775</xdr:colOff>
                <xdr:row>72</xdr:row>
                <xdr:rowOff>104775</xdr:rowOff>
              </from>
              <to>
                <xdr:col>10</xdr:col>
                <xdr:colOff>704850</xdr:colOff>
                <xdr:row>72</xdr:row>
                <xdr:rowOff>533400</xdr:rowOff>
              </to>
            </anchor>
          </controlPr>
        </control>
      </mc:Choice>
      <mc:Fallback>
        <control shapeId="1317" r:id="rId43" name="CheckBox63"/>
      </mc:Fallback>
    </mc:AlternateContent>
    <mc:AlternateContent xmlns:mc="http://schemas.openxmlformats.org/markup-compatibility/2006">
      <mc:Choice Requires="x14">
        <control shapeId="1316" r:id="rId44" name="CheckBox62">
          <controlPr defaultSize="0" autoLine="0" r:id="rId7">
            <anchor moveWithCells="1">
              <from>
                <xdr:col>10</xdr:col>
                <xdr:colOff>104775</xdr:colOff>
                <xdr:row>71</xdr:row>
                <xdr:rowOff>104775</xdr:rowOff>
              </from>
              <to>
                <xdr:col>10</xdr:col>
                <xdr:colOff>704850</xdr:colOff>
                <xdr:row>71</xdr:row>
                <xdr:rowOff>533400</xdr:rowOff>
              </to>
            </anchor>
          </controlPr>
        </control>
      </mc:Choice>
      <mc:Fallback>
        <control shapeId="1316" r:id="rId44" name="CheckBox62"/>
      </mc:Fallback>
    </mc:AlternateContent>
    <mc:AlternateContent xmlns:mc="http://schemas.openxmlformats.org/markup-compatibility/2006">
      <mc:Choice Requires="x14">
        <control shapeId="1315" r:id="rId45" name="CheckBox61">
          <controlPr defaultSize="0" autoLine="0" r:id="rId7">
            <anchor moveWithCells="1">
              <from>
                <xdr:col>10</xdr:col>
                <xdr:colOff>104775</xdr:colOff>
                <xdr:row>70</xdr:row>
                <xdr:rowOff>104775</xdr:rowOff>
              </from>
              <to>
                <xdr:col>10</xdr:col>
                <xdr:colOff>704850</xdr:colOff>
                <xdr:row>70</xdr:row>
                <xdr:rowOff>533400</xdr:rowOff>
              </to>
            </anchor>
          </controlPr>
        </control>
      </mc:Choice>
      <mc:Fallback>
        <control shapeId="1315" r:id="rId45" name="CheckBox61"/>
      </mc:Fallback>
    </mc:AlternateContent>
    <mc:AlternateContent xmlns:mc="http://schemas.openxmlformats.org/markup-compatibility/2006">
      <mc:Choice Requires="x14">
        <control shapeId="1314" r:id="rId46" name="CheckBox60">
          <controlPr defaultSize="0" autoLine="0" r:id="rId7">
            <anchor moveWithCells="1">
              <from>
                <xdr:col>10</xdr:col>
                <xdr:colOff>104775</xdr:colOff>
                <xdr:row>69</xdr:row>
                <xdr:rowOff>104775</xdr:rowOff>
              </from>
              <to>
                <xdr:col>10</xdr:col>
                <xdr:colOff>704850</xdr:colOff>
                <xdr:row>69</xdr:row>
                <xdr:rowOff>533400</xdr:rowOff>
              </to>
            </anchor>
          </controlPr>
        </control>
      </mc:Choice>
      <mc:Fallback>
        <control shapeId="1314" r:id="rId46" name="CheckBox60"/>
      </mc:Fallback>
    </mc:AlternateContent>
    <mc:AlternateContent xmlns:mc="http://schemas.openxmlformats.org/markup-compatibility/2006">
      <mc:Choice Requires="x14">
        <control shapeId="1313" r:id="rId47" name="CheckBox59">
          <controlPr defaultSize="0" autoLine="0" r:id="rId7">
            <anchor moveWithCells="1">
              <from>
                <xdr:col>10</xdr:col>
                <xdr:colOff>104775</xdr:colOff>
                <xdr:row>68</xdr:row>
                <xdr:rowOff>104775</xdr:rowOff>
              </from>
              <to>
                <xdr:col>10</xdr:col>
                <xdr:colOff>704850</xdr:colOff>
                <xdr:row>68</xdr:row>
                <xdr:rowOff>533400</xdr:rowOff>
              </to>
            </anchor>
          </controlPr>
        </control>
      </mc:Choice>
      <mc:Fallback>
        <control shapeId="1313" r:id="rId47" name="CheckBox59"/>
      </mc:Fallback>
    </mc:AlternateContent>
    <mc:AlternateContent xmlns:mc="http://schemas.openxmlformats.org/markup-compatibility/2006">
      <mc:Choice Requires="x14">
        <control shapeId="1312" r:id="rId48" name="CheckBox58">
          <controlPr defaultSize="0" autoLine="0" r:id="rId7">
            <anchor moveWithCells="1">
              <from>
                <xdr:col>10</xdr:col>
                <xdr:colOff>104775</xdr:colOff>
                <xdr:row>67</xdr:row>
                <xdr:rowOff>104775</xdr:rowOff>
              </from>
              <to>
                <xdr:col>10</xdr:col>
                <xdr:colOff>704850</xdr:colOff>
                <xdr:row>67</xdr:row>
                <xdr:rowOff>533400</xdr:rowOff>
              </to>
            </anchor>
          </controlPr>
        </control>
      </mc:Choice>
      <mc:Fallback>
        <control shapeId="1312" r:id="rId48" name="CheckBox58"/>
      </mc:Fallback>
    </mc:AlternateContent>
    <mc:AlternateContent xmlns:mc="http://schemas.openxmlformats.org/markup-compatibility/2006">
      <mc:Choice Requires="x14">
        <control shapeId="1311" r:id="rId49" name="CheckBox57">
          <controlPr defaultSize="0" autoLine="0" r:id="rId7">
            <anchor moveWithCells="1">
              <from>
                <xdr:col>10</xdr:col>
                <xdr:colOff>104775</xdr:colOff>
                <xdr:row>66</xdr:row>
                <xdr:rowOff>104775</xdr:rowOff>
              </from>
              <to>
                <xdr:col>10</xdr:col>
                <xdr:colOff>704850</xdr:colOff>
                <xdr:row>66</xdr:row>
                <xdr:rowOff>533400</xdr:rowOff>
              </to>
            </anchor>
          </controlPr>
        </control>
      </mc:Choice>
      <mc:Fallback>
        <control shapeId="1311" r:id="rId49" name="CheckBox57"/>
      </mc:Fallback>
    </mc:AlternateContent>
    <mc:AlternateContent xmlns:mc="http://schemas.openxmlformats.org/markup-compatibility/2006">
      <mc:Choice Requires="x14">
        <control shapeId="1310" r:id="rId50" name="CheckBox56">
          <controlPr defaultSize="0" autoLine="0" r:id="rId7">
            <anchor moveWithCells="1">
              <from>
                <xdr:col>10</xdr:col>
                <xdr:colOff>104775</xdr:colOff>
                <xdr:row>65</xdr:row>
                <xdr:rowOff>104775</xdr:rowOff>
              </from>
              <to>
                <xdr:col>10</xdr:col>
                <xdr:colOff>704850</xdr:colOff>
                <xdr:row>65</xdr:row>
                <xdr:rowOff>533400</xdr:rowOff>
              </to>
            </anchor>
          </controlPr>
        </control>
      </mc:Choice>
      <mc:Fallback>
        <control shapeId="1310" r:id="rId50" name="CheckBox56"/>
      </mc:Fallback>
    </mc:AlternateContent>
    <mc:AlternateContent xmlns:mc="http://schemas.openxmlformats.org/markup-compatibility/2006">
      <mc:Choice Requires="x14">
        <control shapeId="1309" r:id="rId51" name="CheckBox55">
          <controlPr defaultSize="0" autoLine="0" r:id="rId7">
            <anchor moveWithCells="1">
              <from>
                <xdr:col>10</xdr:col>
                <xdr:colOff>104775</xdr:colOff>
                <xdr:row>64</xdr:row>
                <xdr:rowOff>104775</xdr:rowOff>
              </from>
              <to>
                <xdr:col>10</xdr:col>
                <xdr:colOff>704850</xdr:colOff>
                <xdr:row>64</xdr:row>
                <xdr:rowOff>533400</xdr:rowOff>
              </to>
            </anchor>
          </controlPr>
        </control>
      </mc:Choice>
      <mc:Fallback>
        <control shapeId="1309" r:id="rId51" name="CheckBox55"/>
      </mc:Fallback>
    </mc:AlternateContent>
    <mc:AlternateContent xmlns:mc="http://schemas.openxmlformats.org/markup-compatibility/2006">
      <mc:Choice Requires="x14">
        <control shapeId="1308" r:id="rId52" name="CheckBox54">
          <controlPr defaultSize="0" autoLine="0" r:id="rId7">
            <anchor moveWithCells="1">
              <from>
                <xdr:col>10</xdr:col>
                <xdr:colOff>104775</xdr:colOff>
                <xdr:row>63</xdr:row>
                <xdr:rowOff>104775</xdr:rowOff>
              </from>
              <to>
                <xdr:col>10</xdr:col>
                <xdr:colOff>704850</xdr:colOff>
                <xdr:row>63</xdr:row>
                <xdr:rowOff>533400</xdr:rowOff>
              </to>
            </anchor>
          </controlPr>
        </control>
      </mc:Choice>
      <mc:Fallback>
        <control shapeId="1308" r:id="rId52" name="CheckBox54"/>
      </mc:Fallback>
    </mc:AlternateContent>
    <mc:AlternateContent xmlns:mc="http://schemas.openxmlformats.org/markup-compatibility/2006">
      <mc:Choice Requires="x14">
        <control shapeId="1307" r:id="rId53" name="CheckBox53">
          <controlPr defaultSize="0" autoLine="0" r:id="rId7">
            <anchor moveWithCells="1">
              <from>
                <xdr:col>10</xdr:col>
                <xdr:colOff>104775</xdr:colOff>
                <xdr:row>62</xdr:row>
                <xdr:rowOff>104775</xdr:rowOff>
              </from>
              <to>
                <xdr:col>10</xdr:col>
                <xdr:colOff>704850</xdr:colOff>
                <xdr:row>62</xdr:row>
                <xdr:rowOff>533400</xdr:rowOff>
              </to>
            </anchor>
          </controlPr>
        </control>
      </mc:Choice>
      <mc:Fallback>
        <control shapeId="1307" r:id="rId53" name="CheckBox53"/>
      </mc:Fallback>
    </mc:AlternateContent>
    <mc:AlternateContent xmlns:mc="http://schemas.openxmlformats.org/markup-compatibility/2006">
      <mc:Choice Requires="x14">
        <control shapeId="1306" r:id="rId54" name="CheckBox52">
          <controlPr defaultSize="0" autoLine="0" r:id="rId5">
            <anchor moveWithCells="1">
              <from>
                <xdr:col>10</xdr:col>
                <xdr:colOff>104775</xdr:colOff>
                <xdr:row>61</xdr:row>
                <xdr:rowOff>104775</xdr:rowOff>
              </from>
              <to>
                <xdr:col>10</xdr:col>
                <xdr:colOff>704850</xdr:colOff>
                <xdr:row>61</xdr:row>
                <xdr:rowOff>533400</xdr:rowOff>
              </to>
            </anchor>
          </controlPr>
        </control>
      </mc:Choice>
      <mc:Fallback>
        <control shapeId="1306" r:id="rId54" name="CheckBox52"/>
      </mc:Fallback>
    </mc:AlternateContent>
    <mc:AlternateContent xmlns:mc="http://schemas.openxmlformats.org/markup-compatibility/2006">
      <mc:Choice Requires="x14">
        <control shapeId="1305" r:id="rId55" name="CheckBox51">
          <controlPr defaultSize="0" autoLine="0" r:id="rId7">
            <anchor moveWithCells="1">
              <from>
                <xdr:col>10</xdr:col>
                <xdr:colOff>104775</xdr:colOff>
                <xdr:row>60</xdr:row>
                <xdr:rowOff>104775</xdr:rowOff>
              </from>
              <to>
                <xdr:col>10</xdr:col>
                <xdr:colOff>704850</xdr:colOff>
                <xdr:row>60</xdr:row>
                <xdr:rowOff>533400</xdr:rowOff>
              </to>
            </anchor>
          </controlPr>
        </control>
      </mc:Choice>
      <mc:Fallback>
        <control shapeId="1305" r:id="rId55" name="CheckBox51"/>
      </mc:Fallback>
    </mc:AlternateContent>
    <mc:AlternateContent xmlns:mc="http://schemas.openxmlformats.org/markup-compatibility/2006">
      <mc:Choice Requires="x14">
        <control shapeId="1304" r:id="rId56" name="CheckBox50">
          <controlPr defaultSize="0" autoLine="0" r:id="rId7">
            <anchor moveWithCells="1">
              <from>
                <xdr:col>10</xdr:col>
                <xdr:colOff>104775</xdr:colOff>
                <xdr:row>59</xdr:row>
                <xdr:rowOff>104775</xdr:rowOff>
              </from>
              <to>
                <xdr:col>10</xdr:col>
                <xdr:colOff>704850</xdr:colOff>
                <xdr:row>59</xdr:row>
                <xdr:rowOff>533400</xdr:rowOff>
              </to>
            </anchor>
          </controlPr>
        </control>
      </mc:Choice>
      <mc:Fallback>
        <control shapeId="1304" r:id="rId56" name="CheckBox50"/>
      </mc:Fallback>
    </mc:AlternateContent>
    <mc:AlternateContent xmlns:mc="http://schemas.openxmlformats.org/markup-compatibility/2006">
      <mc:Choice Requires="x14">
        <control shapeId="1303" r:id="rId57" name="CheckBox49">
          <controlPr defaultSize="0" autoLine="0" r:id="rId7">
            <anchor moveWithCells="1">
              <from>
                <xdr:col>10</xdr:col>
                <xdr:colOff>104775</xdr:colOff>
                <xdr:row>58</xdr:row>
                <xdr:rowOff>104775</xdr:rowOff>
              </from>
              <to>
                <xdr:col>10</xdr:col>
                <xdr:colOff>704850</xdr:colOff>
                <xdr:row>58</xdr:row>
                <xdr:rowOff>533400</xdr:rowOff>
              </to>
            </anchor>
          </controlPr>
        </control>
      </mc:Choice>
      <mc:Fallback>
        <control shapeId="1303" r:id="rId57" name="CheckBox49"/>
      </mc:Fallback>
    </mc:AlternateContent>
    <mc:AlternateContent xmlns:mc="http://schemas.openxmlformats.org/markup-compatibility/2006">
      <mc:Choice Requires="x14">
        <control shapeId="1302" r:id="rId58" name="CheckBox48">
          <controlPr defaultSize="0" autoLine="0" r:id="rId7">
            <anchor moveWithCells="1">
              <from>
                <xdr:col>10</xdr:col>
                <xdr:colOff>104775</xdr:colOff>
                <xdr:row>57</xdr:row>
                <xdr:rowOff>104775</xdr:rowOff>
              </from>
              <to>
                <xdr:col>10</xdr:col>
                <xdr:colOff>704850</xdr:colOff>
                <xdr:row>57</xdr:row>
                <xdr:rowOff>533400</xdr:rowOff>
              </to>
            </anchor>
          </controlPr>
        </control>
      </mc:Choice>
      <mc:Fallback>
        <control shapeId="1302" r:id="rId58" name="CheckBox48"/>
      </mc:Fallback>
    </mc:AlternateContent>
    <mc:AlternateContent xmlns:mc="http://schemas.openxmlformats.org/markup-compatibility/2006">
      <mc:Choice Requires="x14">
        <control shapeId="1301" r:id="rId59" name="CheckBox47">
          <controlPr defaultSize="0" autoLine="0" r:id="rId7">
            <anchor moveWithCells="1">
              <from>
                <xdr:col>10</xdr:col>
                <xdr:colOff>104775</xdr:colOff>
                <xdr:row>56</xdr:row>
                <xdr:rowOff>104775</xdr:rowOff>
              </from>
              <to>
                <xdr:col>10</xdr:col>
                <xdr:colOff>704850</xdr:colOff>
                <xdr:row>56</xdr:row>
                <xdr:rowOff>533400</xdr:rowOff>
              </to>
            </anchor>
          </controlPr>
        </control>
      </mc:Choice>
      <mc:Fallback>
        <control shapeId="1301" r:id="rId59" name="CheckBox47"/>
      </mc:Fallback>
    </mc:AlternateContent>
    <mc:AlternateContent xmlns:mc="http://schemas.openxmlformats.org/markup-compatibility/2006">
      <mc:Choice Requires="x14">
        <control shapeId="1300" r:id="rId60" name="CheckBox46">
          <controlPr defaultSize="0" autoLine="0" r:id="rId7">
            <anchor moveWithCells="1">
              <from>
                <xdr:col>10</xdr:col>
                <xdr:colOff>104775</xdr:colOff>
                <xdr:row>55</xdr:row>
                <xdr:rowOff>104775</xdr:rowOff>
              </from>
              <to>
                <xdr:col>10</xdr:col>
                <xdr:colOff>704850</xdr:colOff>
                <xdr:row>55</xdr:row>
                <xdr:rowOff>533400</xdr:rowOff>
              </to>
            </anchor>
          </controlPr>
        </control>
      </mc:Choice>
      <mc:Fallback>
        <control shapeId="1300" r:id="rId60" name="CheckBox46"/>
      </mc:Fallback>
    </mc:AlternateContent>
    <mc:AlternateContent xmlns:mc="http://schemas.openxmlformats.org/markup-compatibility/2006">
      <mc:Choice Requires="x14">
        <control shapeId="1299" r:id="rId61" name="CheckBox45">
          <controlPr defaultSize="0" autoLine="0" r:id="rId7">
            <anchor moveWithCells="1">
              <from>
                <xdr:col>10</xdr:col>
                <xdr:colOff>104775</xdr:colOff>
                <xdr:row>54</xdr:row>
                <xdr:rowOff>104775</xdr:rowOff>
              </from>
              <to>
                <xdr:col>10</xdr:col>
                <xdr:colOff>704850</xdr:colOff>
                <xdr:row>54</xdr:row>
                <xdr:rowOff>533400</xdr:rowOff>
              </to>
            </anchor>
          </controlPr>
        </control>
      </mc:Choice>
      <mc:Fallback>
        <control shapeId="1299" r:id="rId61" name="CheckBox45"/>
      </mc:Fallback>
    </mc:AlternateContent>
    <mc:AlternateContent xmlns:mc="http://schemas.openxmlformats.org/markup-compatibility/2006">
      <mc:Choice Requires="x14">
        <control shapeId="1298" r:id="rId62" name="CheckBox44">
          <controlPr defaultSize="0" autoLine="0" r:id="rId7">
            <anchor moveWithCells="1">
              <from>
                <xdr:col>10</xdr:col>
                <xdr:colOff>104775</xdr:colOff>
                <xdr:row>53</xdr:row>
                <xdr:rowOff>104775</xdr:rowOff>
              </from>
              <to>
                <xdr:col>10</xdr:col>
                <xdr:colOff>704850</xdr:colOff>
                <xdr:row>53</xdr:row>
                <xdr:rowOff>533400</xdr:rowOff>
              </to>
            </anchor>
          </controlPr>
        </control>
      </mc:Choice>
      <mc:Fallback>
        <control shapeId="1298" r:id="rId62" name="CheckBox44"/>
      </mc:Fallback>
    </mc:AlternateContent>
    <mc:AlternateContent xmlns:mc="http://schemas.openxmlformats.org/markup-compatibility/2006">
      <mc:Choice Requires="x14">
        <control shapeId="1297" r:id="rId63" name="CheckBox43">
          <controlPr defaultSize="0" autoLine="0" r:id="rId7">
            <anchor moveWithCells="1">
              <from>
                <xdr:col>10</xdr:col>
                <xdr:colOff>104775</xdr:colOff>
                <xdr:row>52</xdr:row>
                <xdr:rowOff>104775</xdr:rowOff>
              </from>
              <to>
                <xdr:col>10</xdr:col>
                <xdr:colOff>704850</xdr:colOff>
                <xdr:row>52</xdr:row>
                <xdr:rowOff>533400</xdr:rowOff>
              </to>
            </anchor>
          </controlPr>
        </control>
      </mc:Choice>
      <mc:Fallback>
        <control shapeId="1297" r:id="rId63" name="CheckBox43"/>
      </mc:Fallback>
    </mc:AlternateContent>
    <mc:AlternateContent xmlns:mc="http://schemas.openxmlformats.org/markup-compatibility/2006">
      <mc:Choice Requires="x14">
        <control shapeId="1296" r:id="rId64" name="CheckBox42">
          <controlPr defaultSize="0" autoLine="0" r:id="rId7">
            <anchor moveWithCells="1">
              <from>
                <xdr:col>10</xdr:col>
                <xdr:colOff>104775</xdr:colOff>
                <xdr:row>51</xdr:row>
                <xdr:rowOff>104775</xdr:rowOff>
              </from>
              <to>
                <xdr:col>10</xdr:col>
                <xdr:colOff>704850</xdr:colOff>
                <xdr:row>51</xdr:row>
                <xdr:rowOff>533400</xdr:rowOff>
              </to>
            </anchor>
          </controlPr>
        </control>
      </mc:Choice>
      <mc:Fallback>
        <control shapeId="1296" r:id="rId64" name="CheckBox42"/>
      </mc:Fallback>
    </mc:AlternateContent>
    <mc:AlternateContent xmlns:mc="http://schemas.openxmlformats.org/markup-compatibility/2006">
      <mc:Choice Requires="x14">
        <control shapeId="1295" r:id="rId65" name="CheckBox41">
          <controlPr defaultSize="0" autoLine="0" r:id="rId7">
            <anchor moveWithCells="1">
              <from>
                <xdr:col>10</xdr:col>
                <xdr:colOff>104775</xdr:colOff>
                <xdr:row>50</xdr:row>
                <xdr:rowOff>104775</xdr:rowOff>
              </from>
              <to>
                <xdr:col>10</xdr:col>
                <xdr:colOff>704850</xdr:colOff>
                <xdr:row>50</xdr:row>
                <xdr:rowOff>533400</xdr:rowOff>
              </to>
            </anchor>
          </controlPr>
        </control>
      </mc:Choice>
      <mc:Fallback>
        <control shapeId="1295" r:id="rId65" name="CheckBox41"/>
      </mc:Fallback>
    </mc:AlternateContent>
    <mc:AlternateContent xmlns:mc="http://schemas.openxmlformats.org/markup-compatibility/2006">
      <mc:Choice Requires="x14">
        <control shapeId="1294" r:id="rId66" name="CheckBox40">
          <controlPr defaultSize="0" autoLine="0" r:id="rId7">
            <anchor moveWithCells="1">
              <from>
                <xdr:col>10</xdr:col>
                <xdr:colOff>104775</xdr:colOff>
                <xdr:row>49</xdr:row>
                <xdr:rowOff>104775</xdr:rowOff>
              </from>
              <to>
                <xdr:col>10</xdr:col>
                <xdr:colOff>704850</xdr:colOff>
                <xdr:row>49</xdr:row>
                <xdr:rowOff>533400</xdr:rowOff>
              </to>
            </anchor>
          </controlPr>
        </control>
      </mc:Choice>
      <mc:Fallback>
        <control shapeId="1294" r:id="rId66" name="CheckBox40"/>
      </mc:Fallback>
    </mc:AlternateContent>
    <mc:AlternateContent xmlns:mc="http://schemas.openxmlformats.org/markup-compatibility/2006">
      <mc:Choice Requires="x14">
        <control shapeId="1293" r:id="rId67" name="CheckBox39">
          <controlPr defaultSize="0" autoLine="0" r:id="rId7">
            <anchor moveWithCells="1">
              <from>
                <xdr:col>10</xdr:col>
                <xdr:colOff>104775</xdr:colOff>
                <xdr:row>48</xdr:row>
                <xdr:rowOff>104775</xdr:rowOff>
              </from>
              <to>
                <xdr:col>10</xdr:col>
                <xdr:colOff>704850</xdr:colOff>
                <xdr:row>48</xdr:row>
                <xdr:rowOff>533400</xdr:rowOff>
              </to>
            </anchor>
          </controlPr>
        </control>
      </mc:Choice>
      <mc:Fallback>
        <control shapeId="1293" r:id="rId67" name="CheckBox39"/>
      </mc:Fallback>
    </mc:AlternateContent>
    <mc:AlternateContent xmlns:mc="http://schemas.openxmlformats.org/markup-compatibility/2006">
      <mc:Choice Requires="x14">
        <control shapeId="1292" r:id="rId68" name="CheckBox38">
          <controlPr defaultSize="0" autoLine="0" r:id="rId7">
            <anchor moveWithCells="1">
              <from>
                <xdr:col>10</xdr:col>
                <xdr:colOff>104775</xdr:colOff>
                <xdr:row>47</xdr:row>
                <xdr:rowOff>104775</xdr:rowOff>
              </from>
              <to>
                <xdr:col>10</xdr:col>
                <xdr:colOff>704850</xdr:colOff>
                <xdr:row>47</xdr:row>
                <xdr:rowOff>533400</xdr:rowOff>
              </to>
            </anchor>
          </controlPr>
        </control>
      </mc:Choice>
      <mc:Fallback>
        <control shapeId="1292" r:id="rId68" name="CheckBox38"/>
      </mc:Fallback>
    </mc:AlternateContent>
    <mc:AlternateContent xmlns:mc="http://schemas.openxmlformats.org/markup-compatibility/2006">
      <mc:Choice Requires="x14">
        <control shapeId="1291" r:id="rId69" name="CheckBox37">
          <controlPr defaultSize="0" autoLine="0" r:id="rId7">
            <anchor moveWithCells="1">
              <from>
                <xdr:col>10</xdr:col>
                <xdr:colOff>104775</xdr:colOff>
                <xdr:row>46</xdr:row>
                <xdr:rowOff>104775</xdr:rowOff>
              </from>
              <to>
                <xdr:col>10</xdr:col>
                <xdr:colOff>704850</xdr:colOff>
                <xdr:row>46</xdr:row>
                <xdr:rowOff>533400</xdr:rowOff>
              </to>
            </anchor>
          </controlPr>
        </control>
      </mc:Choice>
      <mc:Fallback>
        <control shapeId="1291" r:id="rId69" name="CheckBox37"/>
      </mc:Fallback>
    </mc:AlternateContent>
    <mc:AlternateContent xmlns:mc="http://schemas.openxmlformats.org/markup-compatibility/2006">
      <mc:Choice Requires="x14">
        <control shapeId="1290" r:id="rId70" name="CheckBox36">
          <controlPr defaultSize="0" autoLine="0" r:id="rId7">
            <anchor moveWithCells="1">
              <from>
                <xdr:col>10</xdr:col>
                <xdr:colOff>104775</xdr:colOff>
                <xdr:row>45</xdr:row>
                <xdr:rowOff>104775</xdr:rowOff>
              </from>
              <to>
                <xdr:col>10</xdr:col>
                <xdr:colOff>704850</xdr:colOff>
                <xdr:row>45</xdr:row>
                <xdr:rowOff>533400</xdr:rowOff>
              </to>
            </anchor>
          </controlPr>
        </control>
      </mc:Choice>
      <mc:Fallback>
        <control shapeId="1290" r:id="rId70" name="CheckBox36"/>
      </mc:Fallback>
    </mc:AlternateContent>
    <mc:AlternateContent xmlns:mc="http://schemas.openxmlformats.org/markup-compatibility/2006">
      <mc:Choice Requires="x14">
        <control shapeId="1289" r:id="rId71" name="CheckBox35">
          <controlPr defaultSize="0" autoLine="0" r:id="rId7">
            <anchor moveWithCells="1">
              <from>
                <xdr:col>10</xdr:col>
                <xdr:colOff>104775</xdr:colOff>
                <xdr:row>44</xdr:row>
                <xdr:rowOff>104775</xdr:rowOff>
              </from>
              <to>
                <xdr:col>10</xdr:col>
                <xdr:colOff>704850</xdr:colOff>
                <xdr:row>44</xdr:row>
                <xdr:rowOff>533400</xdr:rowOff>
              </to>
            </anchor>
          </controlPr>
        </control>
      </mc:Choice>
      <mc:Fallback>
        <control shapeId="1289" r:id="rId71" name="CheckBox35"/>
      </mc:Fallback>
    </mc:AlternateContent>
    <mc:AlternateContent xmlns:mc="http://schemas.openxmlformats.org/markup-compatibility/2006">
      <mc:Choice Requires="x14">
        <control shapeId="1288" r:id="rId72" name="CheckBox34">
          <controlPr defaultSize="0" autoLine="0" r:id="rId7">
            <anchor moveWithCells="1">
              <from>
                <xdr:col>10</xdr:col>
                <xdr:colOff>104775</xdr:colOff>
                <xdr:row>43</xdr:row>
                <xdr:rowOff>104775</xdr:rowOff>
              </from>
              <to>
                <xdr:col>10</xdr:col>
                <xdr:colOff>704850</xdr:colOff>
                <xdr:row>43</xdr:row>
                <xdr:rowOff>533400</xdr:rowOff>
              </to>
            </anchor>
          </controlPr>
        </control>
      </mc:Choice>
      <mc:Fallback>
        <control shapeId="1288" r:id="rId72" name="CheckBox34"/>
      </mc:Fallback>
    </mc:AlternateContent>
    <mc:AlternateContent xmlns:mc="http://schemas.openxmlformats.org/markup-compatibility/2006">
      <mc:Choice Requires="x14">
        <control shapeId="1287" r:id="rId73" name="CheckBox33">
          <controlPr defaultSize="0" autoLine="0" r:id="rId7">
            <anchor moveWithCells="1">
              <from>
                <xdr:col>10</xdr:col>
                <xdr:colOff>123825</xdr:colOff>
                <xdr:row>42</xdr:row>
                <xdr:rowOff>142875</xdr:rowOff>
              </from>
              <to>
                <xdr:col>10</xdr:col>
                <xdr:colOff>723900</xdr:colOff>
                <xdr:row>42</xdr:row>
                <xdr:rowOff>571500</xdr:rowOff>
              </to>
            </anchor>
          </controlPr>
        </control>
      </mc:Choice>
      <mc:Fallback>
        <control shapeId="1287" r:id="rId73" name="CheckBox33"/>
      </mc:Fallback>
    </mc:AlternateContent>
    <mc:AlternateContent xmlns:mc="http://schemas.openxmlformats.org/markup-compatibility/2006">
      <mc:Choice Requires="x14">
        <control shapeId="1286" r:id="rId74" name="CheckBox32">
          <controlPr defaultSize="0" autoLine="0" r:id="rId7">
            <anchor moveWithCells="1">
              <from>
                <xdr:col>10</xdr:col>
                <xdr:colOff>104775</xdr:colOff>
                <xdr:row>41</xdr:row>
                <xdr:rowOff>104775</xdr:rowOff>
              </from>
              <to>
                <xdr:col>10</xdr:col>
                <xdr:colOff>704850</xdr:colOff>
                <xdr:row>41</xdr:row>
                <xdr:rowOff>533400</xdr:rowOff>
              </to>
            </anchor>
          </controlPr>
        </control>
      </mc:Choice>
      <mc:Fallback>
        <control shapeId="1286" r:id="rId74" name="CheckBox32"/>
      </mc:Fallback>
    </mc:AlternateContent>
    <mc:AlternateContent xmlns:mc="http://schemas.openxmlformats.org/markup-compatibility/2006">
      <mc:Choice Requires="x14">
        <control shapeId="1285" r:id="rId75" name="CheckBox31">
          <controlPr defaultSize="0" autoLine="0" r:id="rId7">
            <anchor moveWithCells="1">
              <from>
                <xdr:col>10</xdr:col>
                <xdr:colOff>104775</xdr:colOff>
                <xdr:row>40</xdr:row>
                <xdr:rowOff>104775</xdr:rowOff>
              </from>
              <to>
                <xdr:col>10</xdr:col>
                <xdr:colOff>704850</xdr:colOff>
                <xdr:row>40</xdr:row>
                <xdr:rowOff>533400</xdr:rowOff>
              </to>
            </anchor>
          </controlPr>
        </control>
      </mc:Choice>
      <mc:Fallback>
        <control shapeId="1285" r:id="rId75" name="CheckBox31"/>
      </mc:Fallback>
    </mc:AlternateContent>
    <mc:AlternateContent xmlns:mc="http://schemas.openxmlformats.org/markup-compatibility/2006">
      <mc:Choice Requires="x14">
        <control shapeId="1284" r:id="rId76" name="CheckBox30">
          <controlPr defaultSize="0" autoLine="0" r:id="rId7">
            <anchor moveWithCells="1">
              <from>
                <xdr:col>10</xdr:col>
                <xdr:colOff>104775</xdr:colOff>
                <xdr:row>39</xdr:row>
                <xdr:rowOff>104775</xdr:rowOff>
              </from>
              <to>
                <xdr:col>10</xdr:col>
                <xdr:colOff>704850</xdr:colOff>
                <xdr:row>39</xdr:row>
                <xdr:rowOff>533400</xdr:rowOff>
              </to>
            </anchor>
          </controlPr>
        </control>
      </mc:Choice>
      <mc:Fallback>
        <control shapeId="1284" r:id="rId76" name="CheckBox30"/>
      </mc:Fallback>
    </mc:AlternateContent>
    <mc:AlternateContent xmlns:mc="http://schemas.openxmlformats.org/markup-compatibility/2006">
      <mc:Choice Requires="x14">
        <control shapeId="1283" r:id="rId77" name="CheckBox29">
          <controlPr defaultSize="0" autoLine="0" r:id="rId7">
            <anchor moveWithCells="1">
              <from>
                <xdr:col>10</xdr:col>
                <xdr:colOff>104775</xdr:colOff>
                <xdr:row>38</xdr:row>
                <xdr:rowOff>104775</xdr:rowOff>
              </from>
              <to>
                <xdr:col>10</xdr:col>
                <xdr:colOff>704850</xdr:colOff>
                <xdr:row>38</xdr:row>
                <xdr:rowOff>533400</xdr:rowOff>
              </to>
            </anchor>
          </controlPr>
        </control>
      </mc:Choice>
      <mc:Fallback>
        <control shapeId="1283" r:id="rId77" name="CheckBox29"/>
      </mc:Fallback>
    </mc:AlternateContent>
    <mc:AlternateContent xmlns:mc="http://schemas.openxmlformats.org/markup-compatibility/2006">
      <mc:Choice Requires="x14">
        <control shapeId="1282" r:id="rId78" name="CheckBox28">
          <controlPr defaultSize="0" autoLine="0" r:id="rId7">
            <anchor moveWithCells="1">
              <from>
                <xdr:col>10</xdr:col>
                <xdr:colOff>104775</xdr:colOff>
                <xdr:row>37</xdr:row>
                <xdr:rowOff>104775</xdr:rowOff>
              </from>
              <to>
                <xdr:col>10</xdr:col>
                <xdr:colOff>704850</xdr:colOff>
                <xdr:row>37</xdr:row>
                <xdr:rowOff>533400</xdr:rowOff>
              </to>
            </anchor>
          </controlPr>
        </control>
      </mc:Choice>
      <mc:Fallback>
        <control shapeId="1282" r:id="rId78" name="CheckBox28"/>
      </mc:Fallback>
    </mc:AlternateContent>
    <mc:AlternateContent xmlns:mc="http://schemas.openxmlformats.org/markup-compatibility/2006">
      <mc:Choice Requires="x14">
        <control shapeId="1281" r:id="rId79" name="CheckBox27">
          <controlPr defaultSize="0" autoLine="0" r:id="rId7">
            <anchor moveWithCells="1">
              <from>
                <xdr:col>10</xdr:col>
                <xdr:colOff>104775</xdr:colOff>
                <xdr:row>36</xdr:row>
                <xdr:rowOff>104775</xdr:rowOff>
              </from>
              <to>
                <xdr:col>10</xdr:col>
                <xdr:colOff>704850</xdr:colOff>
                <xdr:row>36</xdr:row>
                <xdr:rowOff>533400</xdr:rowOff>
              </to>
            </anchor>
          </controlPr>
        </control>
      </mc:Choice>
      <mc:Fallback>
        <control shapeId="1281" r:id="rId79" name="CheckBox27"/>
      </mc:Fallback>
    </mc:AlternateContent>
    <mc:AlternateContent xmlns:mc="http://schemas.openxmlformats.org/markup-compatibility/2006">
      <mc:Choice Requires="x14">
        <control shapeId="1280" r:id="rId80" name="CheckBox26">
          <controlPr defaultSize="0" autoLine="0" r:id="rId7">
            <anchor moveWithCells="1">
              <from>
                <xdr:col>10</xdr:col>
                <xdr:colOff>104775</xdr:colOff>
                <xdr:row>35</xdr:row>
                <xdr:rowOff>104775</xdr:rowOff>
              </from>
              <to>
                <xdr:col>10</xdr:col>
                <xdr:colOff>704850</xdr:colOff>
                <xdr:row>35</xdr:row>
                <xdr:rowOff>533400</xdr:rowOff>
              </to>
            </anchor>
          </controlPr>
        </control>
      </mc:Choice>
      <mc:Fallback>
        <control shapeId="1280" r:id="rId80" name="CheckBox26"/>
      </mc:Fallback>
    </mc:AlternateContent>
    <mc:AlternateContent xmlns:mc="http://schemas.openxmlformats.org/markup-compatibility/2006">
      <mc:Choice Requires="x14">
        <control shapeId="1279" r:id="rId81" name="CheckBox25">
          <controlPr defaultSize="0" autoLine="0" r:id="rId7">
            <anchor moveWithCells="1">
              <from>
                <xdr:col>10</xdr:col>
                <xdr:colOff>104775</xdr:colOff>
                <xdr:row>34</xdr:row>
                <xdr:rowOff>104775</xdr:rowOff>
              </from>
              <to>
                <xdr:col>10</xdr:col>
                <xdr:colOff>704850</xdr:colOff>
                <xdr:row>34</xdr:row>
                <xdr:rowOff>533400</xdr:rowOff>
              </to>
            </anchor>
          </controlPr>
        </control>
      </mc:Choice>
      <mc:Fallback>
        <control shapeId="1279" r:id="rId81" name="CheckBox25"/>
      </mc:Fallback>
    </mc:AlternateContent>
    <mc:AlternateContent xmlns:mc="http://schemas.openxmlformats.org/markup-compatibility/2006">
      <mc:Choice Requires="x14">
        <control shapeId="1278" r:id="rId82" name="CheckBox24">
          <controlPr defaultSize="0" autoLine="0" r:id="rId7">
            <anchor moveWithCells="1">
              <from>
                <xdr:col>10</xdr:col>
                <xdr:colOff>104775</xdr:colOff>
                <xdr:row>33</xdr:row>
                <xdr:rowOff>104775</xdr:rowOff>
              </from>
              <to>
                <xdr:col>10</xdr:col>
                <xdr:colOff>704850</xdr:colOff>
                <xdr:row>33</xdr:row>
                <xdr:rowOff>533400</xdr:rowOff>
              </to>
            </anchor>
          </controlPr>
        </control>
      </mc:Choice>
      <mc:Fallback>
        <control shapeId="1278" r:id="rId82" name="CheckBox24"/>
      </mc:Fallback>
    </mc:AlternateContent>
    <mc:AlternateContent xmlns:mc="http://schemas.openxmlformats.org/markup-compatibility/2006">
      <mc:Choice Requires="x14">
        <control shapeId="1277" r:id="rId83" name="CheckBox23">
          <controlPr defaultSize="0" autoLine="0" r:id="rId7">
            <anchor moveWithCells="1">
              <from>
                <xdr:col>10</xdr:col>
                <xdr:colOff>104775</xdr:colOff>
                <xdr:row>32</xdr:row>
                <xdr:rowOff>104775</xdr:rowOff>
              </from>
              <to>
                <xdr:col>10</xdr:col>
                <xdr:colOff>704850</xdr:colOff>
                <xdr:row>32</xdr:row>
                <xdr:rowOff>533400</xdr:rowOff>
              </to>
            </anchor>
          </controlPr>
        </control>
      </mc:Choice>
      <mc:Fallback>
        <control shapeId="1277" r:id="rId83" name="CheckBox23"/>
      </mc:Fallback>
    </mc:AlternateContent>
    <mc:AlternateContent xmlns:mc="http://schemas.openxmlformats.org/markup-compatibility/2006">
      <mc:Choice Requires="x14">
        <control shapeId="1276" r:id="rId84" name="CheckBox22">
          <controlPr defaultSize="0" autoLine="0" r:id="rId7">
            <anchor moveWithCells="1">
              <from>
                <xdr:col>10</xdr:col>
                <xdr:colOff>104775</xdr:colOff>
                <xdr:row>31</xdr:row>
                <xdr:rowOff>104775</xdr:rowOff>
              </from>
              <to>
                <xdr:col>10</xdr:col>
                <xdr:colOff>704850</xdr:colOff>
                <xdr:row>31</xdr:row>
                <xdr:rowOff>533400</xdr:rowOff>
              </to>
            </anchor>
          </controlPr>
        </control>
      </mc:Choice>
      <mc:Fallback>
        <control shapeId="1276" r:id="rId84" name="CheckBox22"/>
      </mc:Fallback>
    </mc:AlternateContent>
    <mc:AlternateContent xmlns:mc="http://schemas.openxmlformats.org/markup-compatibility/2006">
      <mc:Choice Requires="x14">
        <control shapeId="1275" r:id="rId85" name="CheckBox21">
          <controlPr defaultSize="0" autoLine="0" r:id="rId7">
            <anchor moveWithCells="1">
              <from>
                <xdr:col>10</xdr:col>
                <xdr:colOff>104775</xdr:colOff>
                <xdr:row>30</xdr:row>
                <xdr:rowOff>104775</xdr:rowOff>
              </from>
              <to>
                <xdr:col>10</xdr:col>
                <xdr:colOff>704850</xdr:colOff>
                <xdr:row>30</xdr:row>
                <xdr:rowOff>533400</xdr:rowOff>
              </to>
            </anchor>
          </controlPr>
        </control>
      </mc:Choice>
      <mc:Fallback>
        <control shapeId="1275" r:id="rId85" name="CheckBox21"/>
      </mc:Fallback>
    </mc:AlternateContent>
    <mc:AlternateContent xmlns:mc="http://schemas.openxmlformats.org/markup-compatibility/2006">
      <mc:Choice Requires="x14">
        <control shapeId="1274" r:id="rId86" name="CheckBox20">
          <controlPr defaultSize="0" autoLine="0" r:id="rId7">
            <anchor moveWithCells="1">
              <from>
                <xdr:col>10</xdr:col>
                <xdr:colOff>104775</xdr:colOff>
                <xdr:row>29</xdr:row>
                <xdr:rowOff>104775</xdr:rowOff>
              </from>
              <to>
                <xdr:col>10</xdr:col>
                <xdr:colOff>704850</xdr:colOff>
                <xdr:row>29</xdr:row>
                <xdr:rowOff>533400</xdr:rowOff>
              </to>
            </anchor>
          </controlPr>
        </control>
      </mc:Choice>
      <mc:Fallback>
        <control shapeId="1274" r:id="rId86" name="CheckBox20"/>
      </mc:Fallback>
    </mc:AlternateContent>
    <mc:AlternateContent xmlns:mc="http://schemas.openxmlformats.org/markup-compatibility/2006">
      <mc:Choice Requires="x14">
        <control shapeId="1273" r:id="rId87" name="CheckBox19">
          <controlPr defaultSize="0" autoLine="0" r:id="rId7">
            <anchor moveWithCells="1">
              <from>
                <xdr:col>10</xdr:col>
                <xdr:colOff>104775</xdr:colOff>
                <xdr:row>28</xdr:row>
                <xdr:rowOff>104775</xdr:rowOff>
              </from>
              <to>
                <xdr:col>10</xdr:col>
                <xdr:colOff>704850</xdr:colOff>
                <xdr:row>28</xdr:row>
                <xdr:rowOff>533400</xdr:rowOff>
              </to>
            </anchor>
          </controlPr>
        </control>
      </mc:Choice>
      <mc:Fallback>
        <control shapeId="1273" r:id="rId87" name="CheckBox19"/>
      </mc:Fallback>
    </mc:AlternateContent>
    <mc:AlternateContent xmlns:mc="http://schemas.openxmlformats.org/markup-compatibility/2006">
      <mc:Choice Requires="x14">
        <control shapeId="1272" r:id="rId88" name="CheckBox18">
          <controlPr defaultSize="0" autoLine="0" r:id="rId7">
            <anchor moveWithCells="1">
              <from>
                <xdr:col>10</xdr:col>
                <xdr:colOff>104775</xdr:colOff>
                <xdr:row>27</xdr:row>
                <xdr:rowOff>104775</xdr:rowOff>
              </from>
              <to>
                <xdr:col>10</xdr:col>
                <xdr:colOff>704850</xdr:colOff>
                <xdr:row>27</xdr:row>
                <xdr:rowOff>533400</xdr:rowOff>
              </to>
            </anchor>
          </controlPr>
        </control>
      </mc:Choice>
      <mc:Fallback>
        <control shapeId="1272" r:id="rId88" name="CheckBox18"/>
      </mc:Fallback>
    </mc:AlternateContent>
    <mc:AlternateContent xmlns:mc="http://schemas.openxmlformats.org/markup-compatibility/2006">
      <mc:Choice Requires="x14">
        <control shapeId="1271" r:id="rId89" name="CheckBox17">
          <controlPr defaultSize="0" autoLine="0" r:id="rId7">
            <anchor moveWithCells="1">
              <from>
                <xdr:col>10</xdr:col>
                <xdr:colOff>104775</xdr:colOff>
                <xdr:row>26</xdr:row>
                <xdr:rowOff>104775</xdr:rowOff>
              </from>
              <to>
                <xdr:col>10</xdr:col>
                <xdr:colOff>704850</xdr:colOff>
                <xdr:row>26</xdr:row>
                <xdr:rowOff>533400</xdr:rowOff>
              </to>
            </anchor>
          </controlPr>
        </control>
      </mc:Choice>
      <mc:Fallback>
        <control shapeId="1271" r:id="rId89" name="CheckBox17"/>
      </mc:Fallback>
    </mc:AlternateContent>
    <mc:AlternateContent xmlns:mc="http://schemas.openxmlformats.org/markup-compatibility/2006">
      <mc:Choice Requires="x14">
        <control shapeId="1270" r:id="rId90" name="CheckBox16">
          <controlPr defaultSize="0" autoLine="0" r:id="rId7">
            <anchor moveWithCells="1">
              <from>
                <xdr:col>10</xdr:col>
                <xdr:colOff>104775</xdr:colOff>
                <xdr:row>25</xdr:row>
                <xdr:rowOff>104775</xdr:rowOff>
              </from>
              <to>
                <xdr:col>10</xdr:col>
                <xdr:colOff>704850</xdr:colOff>
                <xdr:row>25</xdr:row>
                <xdr:rowOff>533400</xdr:rowOff>
              </to>
            </anchor>
          </controlPr>
        </control>
      </mc:Choice>
      <mc:Fallback>
        <control shapeId="1270" r:id="rId90" name="CheckBox16"/>
      </mc:Fallback>
    </mc:AlternateContent>
    <mc:AlternateContent xmlns:mc="http://schemas.openxmlformats.org/markup-compatibility/2006">
      <mc:Choice Requires="x14">
        <control shapeId="1269" r:id="rId91" name="CheckBox15">
          <controlPr defaultSize="0" autoLine="0" r:id="rId7">
            <anchor moveWithCells="1">
              <from>
                <xdr:col>10</xdr:col>
                <xdr:colOff>104775</xdr:colOff>
                <xdr:row>24</xdr:row>
                <xdr:rowOff>104775</xdr:rowOff>
              </from>
              <to>
                <xdr:col>10</xdr:col>
                <xdr:colOff>704850</xdr:colOff>
                <xdr:row>24</xdr:row>
                <xdr:rowOff>533400</xdr:rowOff>
              </to>
            </anchor>
          </controlPr>
        </control>
      </mc:Choice>
      <mc:Fallback>
        <control shapeId="1269" r:id="rId91" name="CheckBox15"/>
      </mc:Fallback>
    </mc:AlternateContent>
    <mc:AlternateContent xmlns:mc="http://schemas.openxmlformats.org/markup-compatibility/2006">
      <mc:Choice Requires="x14">
        <control shapeId="1268" r:id="rId92" name="CheckBox14">
          <controlPr defaultSize="0" autoLine="0" r:id="rId7">
            <anchor moveWithCells="1">
              <from>
                <xdr:col>10</xdr:col>
                <xdr:colOff>104775</xdr:colOff>
                <xdr:row>23</xdr:row>
                <xdr:rowOff>104775</xdr:rowOff>
              </from>
              <to>
                <xdr:col>10</xdr:col>
                <xdr:colOff>704850</xdr:colOff>
                <xdr:row>23</xdr:row>
                <xdr:rowOff>533400</xdr:rowOff>
              </to>
            </anchor>
          </controlPr>
        </control>
      </mc:Choice>
      <mc:Fallback>
        <control shapeId="1268" r:id="rId92" name="CheckBox14"/>
      </mc:Fallback>
    </mc:AlternateContent>
    <mc:AlternateContent xmlns:mc="http://schemas.openxmlformats.org/markup-compatibility/2006">
      <mc:Choice Requires="x14">
        <control shapeId="1267" r:id="rId93" name="CheckBox13">
          <controlPr defaultSize="0" autoLine="0" r:id="rId7">
            <anchor moveWithCells="1">
              <from>
                <xdr:col>10</xdr:col>
                <xdr:colOff>104775</xdr:colOff>
                <xdr:row>22</xdr:row>
                <xdr:rowOff>104775</xdr:rowOff>
              </from>
              <to>
                <xdr:col>10</xdr:col>
                <xdr:colOff>704850</xdr:colOff>
                <xdr:row>22</xdr:row>
                <xdr:rowOff>533400</xdr:rowOff>
              </to>
            </anchor>
          </controlPr>
        </control>
      </mc:Choice>
      <mc:Fallback>
        <control shapeId="1267" r:id="rId93" name="CheckBox13"/>
      </mc:Fallback>
    </mc:AlternateContent>
    <mc:AlternateContent xmlns:mc="http://schemas.openxmlformats.org/markup-compatibility/2006">
      <mc:Choice Requires="x14">
        <control shapeId="1266" r:id="rId94" name="CheckBox12">
          <controlPr defaultSize="0" autoLine="0" r:id="rId7">
            <anchor moveWithCells="1">
              <from>
                <xdr:col>10</xdr:col>
                <xdr:colOff>104775</xdr:colOff>
                <xdr:row>21</xdr:row>
                <xdr:rowOff>104775</xdr:rowOff>
              </from>
              <to>
                <xdr:col>10</xdr:col>
                <xdr:colOff>704850</xdr:colOff>
                <xdr:row>21</xdr:row>
                <xdr:rowOff>533400</xdr:rowOff>
              </to>
            </anchor>
          </controlPr>
        </control>
      </mc:Choice>
      <mc:Fallback>
        <control shapeId="1266" r:id="rId94" name="CheckBox12"/>
      </mc:Fallback>
    </mc:AlternateContent>
    <mc:AlternateContent xmlns:mc="http://schemas.openxmlformats.org/markup-compatibility/2006">
      <mc:Choice Requires="x14">
        <control shapeId="1265" r:id="rId95" name="CheckBox11">
          <controlPr defaultSize="0" autoLine="0" r:id="rId7">
            <anchor moveWithCells="1">
              <from>
                <xdr:col>10</xdr:col>
                <xdr:colOff>104775</xdr:colOff>
                <xdr:row>20</xdr:row>
                <xdr:rowOff>104775</xdr:rowOff>
              </from>
              <to>
                <xdr:col>10</xdr:col>
                <xdr:colOff>704850</xdr:colOff>
                <xdr:row>20</xdr:row>
                <xdr:rowOff>533400</xdr:rowOff>
              </to>
            </anchor>
          </controlPr>
        </control>
      </mc:Choice>
      <mc:Fallback>
        <control shapeId="1265" r:id="rId95" name="CheckBox11"/>
      </mc:Fallback>
    </mc:AlternateContent>
    <mc:AlternateContent xmlns:mc="http://schemas.openxmlformats.org/markup-compatibility/2006">
      <mc:Choice Requires="x14">
        <control shapeId="1264" r:id="rId96" name="CheckBox10">
          <controlPr defaultSize="0" autoLine="0" r:id="rId7">
            <anchor moveWithCells="1">
              <from>
                <xdr:col>10</xdr:col>
                <xdr:colOff>104775</xdr:colOff>
                <xdr:row>19</xdr:row>
                <xdr:rowOff>104775</xdr:rowOff>
              </from>
              <to>
                <xdr:col>10</xdr:col>
                <xdr:colOff>704850</xdr:colOff>
                <xdr:row>19</xdr:row>
                <xdr:rowOff>533400</xdr:rowOff>
              </to>
            </anchor>
          </controlPr>
        </control>
      </mc:Choice>
      <mc:Fallback>
        <control shapeId="1264" r:id="rId96" name="CheckBox10"/>
      </mc:Fallback>
    </mc:AlternateContent>
    <mc:AlternateContent xmlns:mc="http://schemas.openxmlformats.org/markup-compatibility/2006">
      <mc:Choice Requires="x14">
        <control shapeId="1263" r:id="rId97" name="CheckBox9">
          <controlPr defaultSize="0" autoLine="0" r:id="rId7">
            <anchor moveWithCells="1">
              <from>
                <xdr:col>10</xdr:col>
                <xdr:colOff>104775</xdr:colOff>
                <xdr:row>18</xdr:row>
                <xdr:rowOff>104775</xdr:rowOff>
              </from>
              <to>
                <xdr:col>10</xdr:col>
                <xdr:colOff>704850</xdr:colOff>
                <xdr:row>18</xdr:row>
                <xdr:rowOff>533400</xdr:rowOff>
              </to>
            </anchor>
          </controlPr>
        </control>
      </mc:Choice>
      <mc:Fallback>
        <control shapeId="1263" r:id="rId97" name="CheckBox9"/>
      </mc:Fallback>
    </mc:AlternateContent>
    <mc:AlternateContent xmlns:mc="http://schemas.openxmlformats.org/markup-compatibility/2006">
      <mc:Choice Requires="x14">
        <control shapeId="1262" r:id="rId98" name="CheckBox8">
          <controlPr defaultSize="0" autoLine="0" r:id="rId7">
            <anchor moveWithCells="1">
              <from>
                <xdr:col>10</xdr:col>
                <xdr:colOff>104775</xdr:colOff>
                <xdr:row>17</xdr:row>
                <xdr:rowOff>104775</xdr:rowOff>
              </from>
              <to>
                <xdr:col>10</xdr:col>
                <xdr:colOff>704850</xdr:colOff>
                <xdr:row>17</xdr:row>
                <xdr:rowOff>533400</xdr:rowOff>
              </to>
            </anchor>
          </controlPr>
        </control>
      </mc:Choice>
      <mc:Fallback>
        <control shapeId="1262" r:id="rId98" name="CheckBox8"/>
      </mc:Fallback>
    </mc:AlternateContent>
    <mc:AlternateContent xmlns:mc="http://schemas.openxmlformats.org/markup-compatibility/2006">
      <mc:Choice Requires="x14">
        <control shapeId="1261" r:id="rId99" name="CheckBox7">
          <controlPr defaultSize="0" autoLine="0" r:id="rId7">
            <anchor moveWithCells="1">
              <from>
                <xdr:col>10</xdr:col>
                <xdr:colOff>104775</xdr:colOff>
                <xdr:row>16</xdr:row>
                <xdr:rowOff>104775</xdr:rowOff>
              </from>
              <to>
                <xdr:col>10</xdr:col>
                <xdr:colOff>704850</xdr:colOff>
                <xdr:row>16</xdr:row>
                <xdr:rowOff>533400</xdr:rowOff>
              </to>
            </anchor>
          </controlPr>
        </control>
      </mc:Choice>
      <mc:Fallback>
        <control shapeId="1261" r:id="rId99" name="CheckBox7"/>
      </mc:Fallback>
    </mc:AlternateContent>
    <mc:AlternateContent xmlns:mc="http://schemas.openxmlformats.org/markup-compatibility/2006">
      <mc:Choice Requires="x14">
        <control shapeId="1260" r:id="rId100" name="CheckBox6">
          <controlPr defaultSize="0" autoLine="0" r:id="rId7">
            <anchor moveWithCells="1">
              <from>
                <xdr:col>10</xdr:col>
                <xdr:colOff>104775</xdr:colOff>
                <xdr:row>15</xdr:row>
                <xdr:rowOff>104775</xdr:rowOff>
              </from>
              <to>
                <xdr:col>10</xdr:col>
                <xdr:colOff>704850</xdr:colOff>
                <xdr:row>15</xdr:row>
                <xdr:rowOff>533400</xdr:rowOff>
              </to>
            </anchor>
          </controlPr>
        </control>
      </mc:Choice>
      <mc:Fallback>
        <control shapeId="1260" r:id="rId100" name="CheckBox6"/>
      </mc:Fallback>
    </mc:AlternateContent>
    <mc:AlternateContent xmlns:mc="http://schemas.openxmlformats.org/markup-compatibility/2006">
      <mc:Choice Requires="x14">
        <control shapeId="1259" r:id="rId101" name="CheckBox5">
          <controlPr defaultSize="0" autoLine="0" r:id="rId7">
            <anchor moveWithCells="1">
              <from>
                <xdr:col>10</xdr:col>
                <xdr:colOff>104775</xdr:colOff>
                <xdr:row>14</xdr:row>
                <xdr:rowOff>104775</xdr:rowOff>
              </from>
              <to>
                <xdr:col>10</xdr:col>
                <xdr:colOff>704850</xdr:colOff>
                <xdr:row>14</xdr:row>
                <xdr:rowOff>533400</xdr:rowOff>
              </to>
            </anchor>
          </controlPr>
        </control>
      </mc:Choice>
      <mc:Fallback>
        <control shapeId="1259" r:id="rId101" name="CheckBox5"/>
      </mc:Fallback>
    </mc:AlternateContent>
    <mc:AlternateContent xmlns:mc="http://schemas.openxmlformats.org/markup-compatibility/2006">
      <mc:Choice Requires="x14">
        <control shapeId="1258" r:id="rId102" name="CheckBox4">
          <controlPr defaultSize="0" autoLine="0" r:id="rId7">
            <anchor moveWithCells="1">
              <from>
                <xdr:col>10</xdr:col>
                <xdr:colOff>104775</xdr:colOff>
                <xdr:row>13</xdr:row>
                <xdr:rowOff>104775</xdr:rowOff>
              </from>
              <to>
                <xdr:col>10</xdr:col>
                <xdr:colOff>704850</xdr:colOff>
                <xdr:row>13</xdr:row>
                <xdr:rowOff>533400</xdr:rowOff>
              </to>
            </anchor>
          </controlPr>
        </control>
      </mc:Choice>
      <mc:Fallback>
        <control shapeId="1258" r:id="rId102" name="CheckBox4"/>
      </mc:Fallback>
    </mc:AlternateContent>
    <mc:AlternateContent xmlns:mc="http://schemas.openxmlformats.org/markup-compatibility/2006">
      <mc:Choice Requires="x14">
        <control shapeId="1253" r:id="rId103" name="CheckBox1">
          <controlPr defaultSize="0" autoLine="0" r:id="rId7">
            <anchor moveWithCells="1">
              <from>
                <xdr:col>10</xdr:col>
                <xdr:colOff>104775</xdr:colOff>
                <xdr:row>10</xdr:row>
                <xdr:rowOff>104775</xdr:rowOff>
              </from>
              <to>
                <xdr:col>10</xdr:col>
                <xdr:colOff>704850</xdr:colOff>
                <xdr:row>10</xdr:row>
                <xdr:rowOff>533400</xdr:rowOff>
              </to>
            </anchor>
          </controlPr>
        </control>
      </mc:Choice>
      <mc:Fallback>
        <control shapeId="1253" r:id="rId103" name="CheckBox1"/>
      </mc:Fallback>
    </mc:AlternateContent>
    <mc:AlternateContent xmlns:mc="http://schemas.openxmlformats.org/markup-compatibility/2006">
      <mc:Choice Requires="x14">
        <control shapeId="1254" r:id="rId104" name="CheckBox2">
          <controlPr defaultSize="0" autoLine="0" r:id="rId7">
            <anchor moveWithCells="1">
              <from>
                <xdr:col>10</xdr:col>
                <xdr:colOff>104775</xdr:colOff>
                <xdr:row>11</xdr:row>
                <xdr:rowOff>104775</xdr:rowOff>
              </from>
              <to>
                <xdr:col>10</xdr:col>
                <xdr:colOff>704850</xdr:colOff>
                <xdr:row>11</xdr:row>
                <xdr:rowOff>533400</xdr:rowOff>
              </to>
            </anchor>
          </controlPr>
        </control>
      </mc:Choice>
      <mc:Fallback>
        <control shapeId="1254" r:id="rId104" name="CheckBox2"/>
      </mc:Fallback>
    </mc:AlternateContent>
    <mc:AlternateContent xmlns:mc="http://schemas.openxmlformats.org/markup-compatibility/2006">
      <mc:Choice Requires="x14">
        <control shapeId="1255" r:id="rId105" name="CheckBox3">
          <controlPr defaultSize="0" autoLine="0" r:id="rId7">
            <anchor moveWithCells="1">
              <from>
                <xdr:col>10</xdr:col>
                <xdr:colOff>104775</xdr:colOff>
                <xdr:row>12</xdr:row>
                <xdr:rowOff>104775</xdr:rowOff>
              </from>
              <to>
                <xdr:col>10</xdr:col>
                <xdr:colOff>704850</xdr:colOff>
                <xdr:row>12</xdr:row>
                <xdr:rowOff>533400</xdr:rowOff>
              </to>
            </anchor>
          </controlPr>
        </control>
      </mc:Choice>
      <mc:Fallback>
        <control shapeId="1255" r:id="rId105" name="CheckBox3"/>
      </mc:Fallback>
    </mc:AlternateContent>
    <mc:AlternateContent xmlns:mc="http://schemas.openxmlformats.org/markup-compatibility/2006">
      <mc:Choice Requires="x14">
        <control shapeId="1252" r:id="rId106" name="Button 228">
          <controlPr defaultSize="0" print="0" autoFill="0" autoPict="0" macro="[0]!CargaTablas">
            <anchor moveWithCells="1" sizeWithCells="1">
              <from>
                <xdr:col>7</xdr:col>
                <xdr:colOff>952500</xdr:colOff>
                <xdr:row>1</xdr:row>
                <xdr:rowOff>28575</xdr:rowOff>
              </from>
              <to>
                <xdr:col>9</xdr:col>
                <xdr:colOff>38100</xdr:colOff>
                <xdr:row>2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'Registro de proyectos'!$A$3:$A$24</xm:f>
          </x14:formula1>
          <xm:sqref>D6</xm:sqref>
        </x14:dataValidation>
        <x14:dataValidation type="list" allowBlank="1" showInputMessage="1" showErrorMessage="1">
          <x14:formula1>
            <xm:f>Tablas!$I$2:$I$3</xm:f>
          </x14:formula1>
          <xm:sqref>J7:O7</xm:sqref>
        </x14:dataValidation>
        <x14:dataValidation type="list" allowBlank="1" showInputMessage="1" showErrorMessage="1">
          <x14:formula1>
            <xm:f>Tablas!$K$2:$K$3</xm:f>
          </x14:formula1>
          <xm:sqref>O11:O588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S1000"/>
  <sheetViews>
    <sheetView showGridLines="0" tabSelected="1" topLeftCell="G1" workbookViewId="0">
      <selection activeCell="Q2" sqref="Q2"/>
    </sheetView>
  </sheetViews>
  <sheetFormatPr baseColWidth="10" defaultRowHeight="12"/>
  <cols>
    <col min="1" max="3" width="11.42578125" style="141"/>
    <col min="4" max="4" width="17.5703125" style="141" customWidth="1"/>
    <col min="5" max="5" width="22.140625" style="141" customWidth="1"/>
    <col min="6" max="6" width="9.28515625" style="141" bestFit="1" customWidth="1"/>
    <col min="7" max="7" width="11.42578125" style="181" customWidth="1"/>
    <col min="8" max="8" width="46.140625" style="141" customWidth="1"/>
    <col min="9" max="9" width="17.28515625" style="141" customWidth="1"/>
    <col min="10" max="11" width="11.42578125" style="141"/>
    <col min="12" max="12" width="15.42578125" style="141" customWidth="1"/>
    <col min="13" max="13" width="9.28515625" style="141" customWidth="1"/>
    <col min="14" max="14" width="11.42578125" style="142"/>
    <col min="15" max="15" width="11.42578125" style="156"/>
    <col min="16" max="16" width="8.5703125" style="143" bestFit="1" customWidth="1"/>
    <col min="17" max="17" width="10.7109375" style="143" bestFit="1" customWidth="1"/>
    <col min="18" max="18" width="11.42578125" style="143"/>
    <col min="19" max="16384" width="11.42578125" style="141"/>
  </cols>
  <sheetData>
    <row r="2" spans="1:19" s="140" customFormat="1">
      <c r="A2" s="140" t="s">
        <v>135</v>
      </c>
      <c r="B2" s="137" t="str">
        <f>Formulario!B5</f>
        <v>Inmobiliaria</v>
      </c>
      <c r="C2" s="137" t="str">
        <f>Formulario!B6</f>
        <v>Proyecto</v>
      </c>
      <c r="D2" s="137" t="s">
        <v>74</v>
      </c>
      <c r="E2" s="137" t="str">
        <f>Formulario!H5</f>
        <v>Solicitante Supervisor Inmob.</v>
      </c>
      <c r="F2" s="137" t="str">
        <f>Formulario!H6</f>
        <v>Fecha</v>
      </c>
      <c r="G2" s="179" t="str">
        <f>Formulario!C10</f>
        <v>DEPTO</v>
      </c>
      <c r="H2" s="137" t="str">
        <f>Formulario!D10</f>
        <v>Observación</v>
      </c>
      <c r="I2" s="137" t="str">
        <f>Formulario!E10</f>
        <v>Propietario</v>
      </c>
      <c r="J2" s="137" t="str">
        <f>Formulario!F10</f>
        <v>Rut</v>
      </c>
      <c r="K2" s="137" t="str">
        <f>Formulario!G10</f>
        <v>Fecha Entrega</v>
      </c>
      <c r="L2" s="137" t="str">
        <f>Formulario!H10</f>
        <v>Residente</v>
      </c>
      <c r="M2" s="137" t="str">
        <f>Formulario!I10</f>
        <v>Teléfono</v>
      </c>
      <c r="N2" s="138" t="str">
        <f>Formulario!J10</f>
        <v>Fecha Coordinación</v>
      </c>
      <c r="O2" s="154" t="s">
        <v>75</v>
      </c>
      <c r="P2" s="139" t="str">
        <f>Formulario!M10</f>
        <v>Hora Inicio</v>
      </c>
      <c r="Q2" s="139" t="str">
        <f>Formulario!N10</f>
        <v>Hora Termino</v>
      </c>
      <c r="R2" s="139" t="str">
        <f>Formulario!O10</f>
        <v>Tipo Observacion</v>
      </c>
      <c r="S2" s="140" t="s">
        <v>130</v>
      </c>
    </row>
    <row r="3" spans="1:19">
      <c r="A3" s="141">
        <f>Formulario!B11</f>
        <v>1</v>
      </c>
      <c r="B3" s="144" t="str">
        <f>IF(G3="."," ",Formulario!D$5)</f>
        <v>PIO XI</v>
      </c>
      <c r="C3" s="144" t="str">
        <f>IF(G3=".","",Formulario!D$6)</f>
        <v>Post Venta CUPC</v>
      </c>
      <c r="D3" s="144" t="str">
        <f>IF(H3=".","",Formulario!D$7)</f>
        <v>Victoria Salgado</v>
      </c>
      <c r="E3" s="144" t="str">
        <f>IF(G3=".","",Formulario!J$5)</f>
        <v>Jasmine Sotomayor</v>
      </c>
      <c r="F3" s="145">
        <f>IF(G3=".","",Formulario!J$6)</f>
        <v>43787</v>
      </c>
      <c r="G3" s="180" t="str">
        <f>IF(Formulario!C11&lt;&gt;"",IF(Formulario!C11=" ","Falta Depto",IF(H3=".","Error En Descripción",Formulario!C11)),IF(H3=".",".","Falta Datos"))</f>
        <v>EE.CC</v>
      </c>
      <c r="H3" s="144" t="str">
        <f>IF(Formulario!D11&lt;&gt;"",IF(Formulario!D11=" ",".",Formulario!D11),".")</f>
        <v>REPARAR FILTRACION EN NICHO MEDIDORES PISO 6 NORTE. ( D 609)</v>
      </c>
      <c r="I3" s="144" t="str">
        <f>IF(Formulario!E11&lt;&gt;"",IF(Formulario!E11=" "," ",Formulario!E11),IF(G3=".",".",""))</f>
        <v/>
      </c>
      <c r="J3" s="144" t="str">
        <f>IF(Formulario!F11&lt;&gt;"",IF(Formulario!F11=" "," ",Formulario!F11)," ")</f>
        <v xml:space="preserve"> </v>
      </c>
      <c r="K3" s="144" t="str">
        <f>IF(Formulario!G11&lt;&gt;"",IF(Formulario!G11=" "," ",Formulario!G11)," ")</f>
        <v xml:space="preserve"> </v>
      </c>
      <c r="L3" s="144" t="str">
        <f>IF(Formulario!H11&lt;&gt;"",IF(Formulario!H11=" "," ",Formulario!H11)," ")</f>
        <v xml:space="preserve"> </v>
      </c>
      <c r="M3" s="144" t="str">
        <f>IF(Formulario!I11&lt;&gt;"",IF(Formulario!I11=" "," ",Formulario!I11)," ")</f>
        <v xml:space="preserve"> </v>
      </c>
      <c r="N3" s="145">
        <f>IF(Formulario!J11&lt;&gt;"",IF(Formulario!J11=" "," ",Formulario!J11),IF(G3=".",".","Falta Fecha"))</f>
        <v>43752</v>
      </c>
      <c r="O3" s="155">
        <f>Formulario!K11</f>
        <v>0</v>
      </c>
      <c r="P3" s="146">
        <f>IF(O3=1,"09:00",Formulario!M11)</f>
        <v>0.5</v>
      </c>
      <c r="Q3" s="146">
        <f>IF(O3=1,18:30,Formulario!N11)</f>
        <v>0.5625</v>
      </c>
      <c r="R3" s="146" t="str">
        <f>IF(Formulario!O11&lt;&gt;"",IF(Formulario!O11=" ",".",Formulario!O11),".")</f>
        <v xml:space="preserve">Entrega </v>
      </c>
      <c r="S3" s="141" t="s">
        <v>131</v>
      </c>
    </row>
    <row r="4" spans="1:19">
      <c r="A4" s="141">
        <f>Formulario!B12</f>
        <v>2</v>
      </c>
      <c r="B4" s="144" t="str">
        <f>IF(G4="."," ",Formulario!D$5)</f>
        <v>PIO XI</v>
      </c>
      <c r="C4" s="144" t="str">
        <f>IF(G4=".","",Formulario!D$6)</f>
        <v>Post Venta CUPC</v>
      </c>
      <c r="D4" s="144" t="str">
        <f>IF(H4=".","",Formulario!D$7)</f>
        <v>Victoria Salgado</v>
      </c>
      <c r="E4" s="144" t="str">
        <f>IF(G4=".","",Formulario!J$5)</f>
        <v>Jasmine Sotomayor</v>
      </c>
      <c r="F4" s="145">
        <f>IF(G4=".","",Formulario!J$6)</f>
        <v>43787</v>
      </c>
      <c r="G4" s="180" t="str">
        <f>IF(Formulario!C12&lt;&gt;"",IF(Formulario!C12=" ","Falta Depto",IF(H4=".","Error En Descripción",Formulario!C12)),IF(H4=".",".","Falta Datos"))</f>
        <v>EE.CC</v>
      </c>
      <c r="H4" s="144" t="str">
        <f>IF(Formulario!D12&lt;&gt;"",IF(Formulario!D12=" ",".",Formulario!D12),".")</f>
        <v>REPARAR FILTRACION EN NICHO MEDIDORES PISO 6 NORTE. ( D 609)</v>
      </c>
      <c r="I4" s="144" t="str">
        <f>IF(Formulario!E12&lt;&gt;"",IF(Formulario!E12=" "," ",Formulario!E12),IF(G4=".",".",""))</f>
        <v/>
      </c>
      <c r="J4" s="144" t="str">
        <f>IF(Formulario!F12&lt;&gt;"",IF(Formulario!F12=" "," ",Formulario!F12)," ")</f>
        <v xml:space="preserve"> </v>
      </c>
      <c r="K4" s="144" t="str">
        <f>IF(Formulario!G12&lt;&gt;"",IF(Formulario!G12=" "," ",Formulario!G12)," ")</f>
        <v xml:space="preserve"> </v>
      </c>
      <c r="L4" s="144" t="str">
        <f>IF(Formulario!H12&lt;&gt;"",IF(Formulario!H12=" "," ",Formulario!H12)," ")</f>
        <v xml:space="preserve"> </v>
      </c>
      <c r="M4" s="144" t="str">
        <f>IF(Formulario!I12&lt;&gt;"",IF(Formulario!I12=" "," ",Formulario!I12)," ")</f>
        <v xml:space="preserve"> </v>
      </c>
      <c r="N4" s="145">
        <f>IF(Formulario!J12&lt;&gt;"",IF(Formulario!J12=" "," ",Formulario!J12),IF(G4=".",".","Falta Fecha"))</f>
        <v>87509</v>
      </c>
      <c r="O4" s="155">
        <f>Formulario!L12</f>
        <v>0</v>
      </c>
      <c r="P4" s="146">
        <f>IF(O4=1,"09:00",Formulario!M12)</f>
        <v>0.5</v>
      </c>
      <c r="Q4" s="146">
        <f>IF(O4=1,"18:30",Formulario!N12)</f>
        <v>0.5625</v>
      </c>
      <c r="R4" s="146" t="str">
        <f>IF(Formulario!O12&lt;&gt;"",IF(Formulario!O12=" ",".",Formulario!O12),".")</f>
        <v>Post Venta</v>
      </c>
      <c r="S4" s="141" t="s">
        <v>131</v>
      </c>
    </row>
    <row r="5" spans="1:19">
      <c r="A5" s="141">
        <f>Formulario!B13</f>
        <v>3</v>
      </c>
      <c r="B5" s="144" t="str">
        <f>IF(G5="."," ",Formulario!D$5)</f>
        <v>PIO XI</v>
      </c>
      <c r="C5" s="144" t="str">
        <f>IF(G5=".","",Formulario!D$6)</f>
        <v>Post Venta CUPC</v>
      </c>
      <c r="D5" s="144" t="str">
        <f>IF(H5=".","",Formulario!D$7)</f>
        <v>Victoria Salgado</v>
      </c>
      <c r="E5" s="144" t="str">
        <f>IF(G5=".","",Formulario!J$5)</f>
        <v>Jasmine Sotomayor</v>
      </c>
      <c r="F5" s="145">
        <f>IF(G5=".","",Formulario!J$6)</f>
        <v>43787</v>
      </c>
      <c r="G5" s="180" t="str">
        <f>IF(Formulario!C13&lt;&gt;"",IF(Formulario!C13=" ","Falta Depto",IF(H5=".","Error En Descripción",Formulario!C13)),IF(H5=".",".","Falta Datos"))</f>
        <v>EE.CC</v>
      </c>
      <c r="H5" s="144" t="str">
        <f>IF(Formulario!D13&lt;&gt;"",IF(Formulario!D13=" ",".",Formulario!D13),".")</f>
        <v>REPARAR FILTRACION EN NICHO MEDIDORES PISO 6 NORTE. ( D 609)</v>
      </c>
      <c r="I5" s="144" t="str">
        <f>IF(Formulario!E13&lt;&gt;"",IF(Formulario!E13=" "," ",Formulario!E13),IF(G5=".",".",""))</f>
        <v/>
      </c>
      <c r="J5" s="144" t="str">
        <f>IF(Formulario!F13&lt;&gt;"",IF(Formulario!F13=" "," ",Formulario!F13)," ")</f>
        <v xml:space="preserve"> </v>
      </c>
      <c r="K5" s="144" t="str">
        <f>IF(Formulario!G13&lt;&gt;"",IF(Formulario!G13=" "," ",Formulario!G13)," ")</f>
        <v xml:space="preserve"> </v>
      </c>
      <c r="L5" s="144" t="str">
        <f>IF(Formulario!H13&lt;&gt;"",IF(Formulario!H13=" "," ",Formulario!H13)," ")</f>
        <v xml:space="preserve"> </v>
      </c>
      <c r="M5" s="144" t="str">
        <f>IF(Formulario!I13&lt;&gt;"",IF(Formulario!I13=" "," ",Formulario!I13)," ")</f>
        <v xml:space="preserve"> </v>
      </c>
      <c r="N5" s="145">
        <f>IF(Formulario!J13&lt;&gt;"",IF(Formulario!J13=" "," ",Formulario!J13),IF(G5=".",".","Falta Fecha"))</f>
        <v>43754</v>
      </c>
      <c r="O5" s="155">
        <f>Formulario!L13</f>
        <v>0</v>
      </c>
      <c r="P5" s="146">
        <f>IF(O5=1,"09:00",Formulario!M13)</f>
        <v>0.54166666666666663</v>
      </c>
      <c r="Q5" s="146">
        <f>IF(O5=1,"18:30",Formulario!N13)</f>
        <v>0.625</v>
      </c>
      <c r="R5" s="146" t="str">
        <f>IF(Formulario!O13&lt;&gt;"",IF(Formulario!O13=" ",".",Formulario!O13),".")</f>
        <v xml:space="preserve">Entrega </v>
      </c>
      <c r="S5" s="141" t="s">
        <v>131</v>
      </c>
    </row>
    <row r="6" spans="1:19">
      <c r="A6" s="141">
        <f>Formulario!B14</f>
        <v>4</v>
      </c>
      <c r="B6" s="144" t="str">
        <f>IF(G6="."," ",Formulario!D$5)</f>
        <v>PIO XI</v>
      </c>
      <c r="C6" s="144" t="str">
        <f>IF(G6=".","",Formulario!D$6)</f>
        <v>Post Venta CUPC</v>
      </c>
      <c r="D6" s="144" t="str">
        <f>IF(H6=".","",Formulario!D$7)</f>
        <v>Victoria Salgado</v>
      </c>
      <c r="E6" s="144" t="str">
        <f>IF(G6=".","",Formulario!J$5)</f>
        <v>Jasmine Sotomayor</v>
      </c>
      <c r="F6" s="145">
        <f>IF(G6=".","",Formulario!J$6)</f>
        <v>43787</v>
      </c>
      <c r="G6" s="180" t="str">
        <f>IF(Formulario!C14&lt;&gt;"",IF(Formulario!C14=" ","Falta Depto",IF(H6=".","Error En Descripción",Formulario!C14)),IF(H6=".",".","Falta Datos"))</f>
        <v>EE.CC</v>
      </c>
      <c r="H6" s="144" t="str">
        <f>IF(Formulario!D14&lt;&gt;"",IF(Formulario!D14=" ",".",Formulario!D14),".")</f>
        <v>REPARAR FILTRACION EN NICHO MEDIDORES PISO 6 NORTE. ( D 609)</v>
      </c>
      <c r="I6" s="144" t="str">
        <f>IF(Formulario!E14&lt;&gt;"",IF(Formulario!E14=" "," ",Formulario!E14),IF(G6=".",".",""))</f>
        <v/>
      </c>
      <c r="J6" s="144" t="str">
        <f>IF(Formulario!F14&lt;&gt;"",IF(Formulario!F14=" "," ",Formulario!F14)," ")</f>
        <v xml:space="preserve"> </v>
      </c>
      <c r="K6" s="144" t="str">
        <f>IF(Formulario!G14&lt;&gt;"",IF(Formulario!G14=" "," ",Formulario!G14)," ")</f>
        <v xml:space="preserve"> </v>
      </c>
      <c r="L6" s="144" t="str">
        <f>IF(Formulario!H14&lt;&gt;"",IF(Formulario!H14=" "," ",Formulario!H14)," ")</f>
        <v xml:space="preserve"> </v>
      </c>
      <c r="M6" s="144" t="str">
        <f>IF(Formulario!I14&lt;&gt;"",IF(Formulario!I14=" "," ",Formulario!I14)," ")</f>
        <v xml:space="preserve"> </v>
      </c>
      <c r="N6" s="145">
        <f>IF(Formulario!J14&lt;&gt;"",IF(Formulario!J14=" "," ",Formulario!J14),IF(G6=".",".","Falta Fecha"))</f>
        <v>43755</v>
      </c>
      <c r="O6" s="155">
        <f>Formulario!L14</f>
        <v>0</v>
      </c>
      <c r="P6" s="146">
        <f>IF(O6=1,"09:00",Formulario!M14)</f>
        <v>0.54166666666666663</v>
      </c>
      <c r="Q6" s="146">
        <f>IF(O6=1,"18:30",Formulario!N14)</f>
        <v>0.625</v>
      </c>
      <c r="R6" s="146" t="str">
        <f>IF(Formulario!O14&lt;&gt;"",IF(Formulario!O14=" ",".",Formulario!O14),".")</f>
        <v>Post Venta</v>
      </c>
      <c r="S6" s="141" t="s">
        <v>131</v>
      </c>
    </row>
    <row r="7" spans="1:19">
      <c r="A7" s="141">
        <f>Formulario!B15</f>
        <v>5</v>
      </c>
      <c r="B7" s="144" t="str">
        <f>IF(G7="."," ",Formulario!D$5)</f>
        <v>PIO XI</v>
      </c>
      <c r="C7" s="144" t="str">
        <f>IF(G7=".","",Formulario!D$6)</f>
        <v>Post Venta CUPC</v>
      </c>
      <c r="D7" s="144" t="str">
        <f>IF(H7=".","",Formulario!D$7)</f>
        <v>Victoria Salgado</v>
      </c>
      <c r="E7" s="144" t="str">
        <f>IF(G7=".","",Formulario!J$5)</f>
        <v>Jasmine Sotomayor</v>
      </c>
      <c r="F7" s="145">
        <f>IF(G7=".","",Formulario!J$6)</f>
        <v>43787</v>
      </c>
      <c r="G7" s="180" t="str">
        <f>IF(Formulario!C15&lt;&gt;"",IF(Formulario!C15=" ","Falta Depto",IF(H7=".","Error En Descripción",Formulario!C15)),IF(H7=".",".","Falta Datos"))</f>
        <v>EE.CC</v>
      </c>
      <c r="H7" s="144" t="str">
        <f>IF(Formulario!D15&lt;&gt;"",IF(Formulario!D15=" ",".",Formulario!D15),".")</f>
        <v>REPARAR FILTRACION EN NICHO MEDIDORES PISO 6 NORTE. ( D 609)</v>
      </c>
      <c r="I7" s="144" t="str">
        <f>IF(Formulario!E15&lt;&gt;"",IF(Formulario!E15=" "," ",Formulario!E15),IF(G7=".",".",""))</f>
        <v/>
      </c>
      <c r="J7" s="144" t="str">
        <f>IF(Formulario!F15&lt;&gt;"",IF(Formulario!F15=" "," ",Formulario!F15)," ")</f>
        <v xml:space="preserve"> </v>
      </c>
      <c r="K7" s="144" t="str">
        <f>IF(Formulario!G15&lt;&gt;"",IF(Formulario!G15=" "," ",Formulario!G15)," ")</f>
        <v xml:space="preserve"> </v>
      </c>
      <c r="L7" s="144" t="str">
        <f>IF(Formulario!H15&lt;&gt;"",IF(Formulario!H15=" "," ",Formulario!H15)," ")</f>
        <v xml:space="preserve"> </v>
      </c>
      <c r="M7" s="144" t="str">
        <f>IF(Formulario!I15&lt;&gt;"",IF(Formulario!I15=" "," ",Formulario!I15)," ")</f>
        <v xml:space="preserve"> </v>
      </c>
      <c r="N7" s="145">
        <f>IF(Formulario!J15&lt;&gt;"",IF(Formulario!J15=" "," ",Formulario!J15),IF(G7=".",".","Falta Fecha"))</f>
        <v>43756</v>
      </c>
      <c r="O7" s="155">
        <f>Formulario!L15</f>
        <v>0</v>
      </c>
      <c r="P7" s="146">
        <f>IF(O7=1,"09:00",Formulario!M15)</f>
        <v>0.54166666666666663</v>
      </c>
      <c r="Q7" s="146">
        <f>IF(O7=1,"18:30",Formulario!N15)</f>
        <v>0.625</v>
      </c>
      <c r="R7" s="146" t="str">
        <f>IF(Formulario!O15&lt;&gt;"",IF(Formulario!O15=" ",".",Formulario!O15),".")</f>
        <v xml:space="preserve">Entrega </v>
      </c>
      <c r="S7" s="141" t="s">
        <v>131</v>
      </c>
    </row>
    <row r="8" spans="1:19">
      <c r="A8" s="141">
        <f>Formulario!B16</f>
        <v>6</v>
      </c>
      <c r="B8" s="144" t="str">
        <f>IF(G8="."," ",Formulario!D$5)</f>
        <v>PIO XI</v>
      </c>
      <c r="C8" s="144" t="str">
        <f>IF(G8=".","",Formulario!D$6)</f>
        <v>Post Venta CUPC</v>
      </c>
      <c r="D8" s="144" t="str">
        <f>IF(H8=".","",Formulario!D$7)</f>
        <v>Victoria Salgado</v>
      </c>
      <c r="E8" s="144" t="str">
        <f>IF(G8=".","",Formulario!J$5)</f>
        <v>Jasmine Sotomayor</v>
      </c>
      <c r="F8" s="145">
        <f>IF(G8=".","",Formulario!J$6)</f>
        <v>43787</v>
      </c>
      <c r="G8" s="180">
        <f>IF(Formulario!C16&lt;&gt;"",IF(Formulario!C16=" ","Falta Depto",IF(H8=".","Error En Descripción",Formulario!C16)),IF(H8=".",".","Falta Datos"))</f>
        <v>201</v>
      </c>
      <c r="H8" s="144" t="str">
        <f>IF(Formulario!D16&lt;&gt;"",IF(Formulario!D16=" ",".",Formulario!D16),".")</f>
        <v>FILTRACION EN WC BAÑO 1 Y FILTRACION EN MUEBLE VANITORIO BAÑO 2</v>
      </c>
      <c r="I8" s="144" t="str">
        <f>IF(Formulario!E16&lt;&gt;"",IF(Formulario!E16=" "," ",Formulario!E16),IF(G8=".",".",""))</f>
        <v/>
      </c>
      <c r="J8" s="144" t="str">
        <f>IF(Formulario!F16&lt;&gt;"",IF(Formulario!F16=" "," ",Formulario!F16)," ")</f>
        <v xml:space="preserve"> </v>
      </c>
      <c r="K8" s="144" t="str">
        <f>IF(Formulario!G16&lt;&gt;"",IF(Formulario!G16=" "," ",Formulario!G16)," ")</f>
        <v xml:space="preserve"> </v>
      </c>
      <c r="L8" s="144" t="str">
        <f>IF(Formulario!H16&lt;&gt;"",IF(Formulario!H16=" "," ",Formulario!H16)," ")</f>
        <v xml:space="preserve"> </v>
      </c>
      <c r="M8" s="144" t="str">
        <f>IF(Formulario!I16&lt;&gt;"",IF(Formulario!I16=" "," ",Formulario!I16)," ")</f>
        <v xml:space="preserve"> </v>
      </c>
      <c r="N8" s="145">
        <f>IF(Formulario!J16&lt;&gt;"",IF(Formulario!J16=" "," ",Formulario!J16),IF(G8=".",".","Falta Fecha"))</f>
        <v>43753</v>
      </c>
      <c r="O8" s="155">
        <f>Formulario!L16</f>
        <v>0</v>
      </c>
      <c r="P8" s="146">
        <f>IF(O8=1,"09:00",Formulario!M16)</f>
        <v>0.54166666666666663</v>
      </c>
      <c r="Q8" s="146">
        <f>IF(O8=1,"18:30",Formulario!N16)</f>
        <v>0.625</v>
      </c>
      <c r="R8" s="146" t="str">
        <f>IF(Formulario!O16&lt;&gt;"",IF(Formulario!O16=" ",".",Formulario!O16),".")</f>
        <v>Post Venta</v>
      </c>
      <c r="S8" s="141" t="s">
        <v>131</v>
      </c>
    </row>
    <row r="9" spans="1:19">
      <c r="A9" s="141">
        <f>Formulario!B17</f>
        <v>7</v>
      </c>
      <c r="B9" s="144" t="str">
        <f>IF(G9="."," ",Formulario!D$5)</f>
        <v>PIO XI</v>
      </c>
      <c r="C9" s="144" t="str">
        <f>IF(G9=".","",Formulario!D$6)</f>
        <v>Post Venta CUPC</v>
      </c>
      <c r="D9" s="144" t="str">
        <f>IF(H9=".","",Formulario!D$7)</f>
        <v>Victoria Salgado</v>
      </c>
      <c r="E9" s="144" t="str">
        <f>IF(G9=".","",Formulario!J$5)</f>
        <v>Jasmine Sotomayor</v>
      </c>
      <c r="F9" s="145">
        <f>IF(G9=".","",Formulario!J$6)</f>
        <v>43787</v>
      </c>
      <c r="G9" s="180">
        <f>IF(Formulario!C17&lt;&gt;"",IF(Formulario!C17=" ","Falta Depto",IF(H9=".","Error En Descripción",Formulario!C17)),IF(H9=".",".","Falta Datos"))</f>
        <v>405</v>
      </c>
      <c r="H9" s="144" t="str">
        <f>IF(Formulario!D17&lt;&gt;"",IF(Formulario!D17=" ",".",Formulario!D17),".")</f>
        <v>BAÑO 2: VANITORIO DESNIVELADO Y LATERAL DAÑADO OOR CAIDA DE AGUA. ( REUNION PROPIETARIO)</v>
      </c>
      <c r="I9" s="144" t="str">
        <f>IF(Formulario!E17&lt;&gt;"",IF(Formulario!E17=" "," ",Formulario!E17),IF(G9=".",".",""))</f>
        <v/>
      </c>
      <c r="J9" s="144" t="str">
        <f>IF(Formulario!F17&lt;&gt;"",IF(Formulario!F17=" "," ",Formulario!F17)," ")</f>
        <v xml:space="preserve"> </v>
      </c>
      <c r="K9" s="144" t="str">
        <f>IF(Formulario!G17&lt;&gt;"",IF(Formulario!G17=" "," ",Formulario!G17)," ")</f>
        <v xml:space="preserve"> </v>
      </c>
      <c r="L9" s="144" t="str">
        <f>IF(Formulario!H17&lt;&gt;"",IF(Formulario!H17=" "," ",Formulario!H17)," ")</f>
        <v xml:space="preserve"> </v>
      </c>
      <c r="M9" s="144" t="str">
        <f>IF(Formulario!I17&lt;&gt;"",IF(Formulario!I17=" "," ",Formulario!I17)," ")</f>
        <v xml:space="preserve"> </v>
      </c>
      <c r="N9" s="145">
        <f>IF(Formulario!J17&lt;&gt;"",IF(Formulario!J17=" "," ",Formulario!J17),IF(G9=".",".","Falta Fecha"))</f>
        <v>43753</v>
      </c>
      <c r="O9" s="155">
        <f>Formulario!L17</f>
        <v>0</v>
      </c>
      <c r="P9" s="146">
        <f>IF(O9=1,"09:00",Formulario!M17)</f>
        <v>0.54166666666666663</v>
      </c>
      <c r="Q9" s="146">
        <f>IF(O9=1,"18:30",Formulario!N17)</f>
        <v>0.625</v>
      </c>
      <c r="R9" s="146" t="str">
        <f>IF(Formulario!O17&lt;&gt;"",IF(Formulario!O17=" ",".",Formulario!O17),".")</f>
        <v>Post Venta</v>
      </c>
      <c r="S9" s="141" t="s">
        <v>131</v>
      </c>
    </row>
    <row r="10" spans="1:19">
      <c r="A10" s="141">
        <f>Formulario!B18</f>
        <v>8</v>
      </c>
      <c r="B10" s="144" t="str">
        <f>IF(G10="."," ",Formulario!D$5)</f>
        <v>PIO XI</v>
      </c>
      <c r="C10" s="144" t="str">
        <f>IF(G10=".","",Formulario!D$6)</f>
        <v>Post Venta CUPC</v>
      </c>
      <c r="D10" s="161" t="str">
        <f>IF(H10=".","",Formulario!D$7)</f>
        <v>Victoria Salgado</v>
      </c>
      <c r="E10" s="144" t="str">
        <f>IF(G10=".","",Formulario!J$5)</f>
        <v>Jasmine Sotomayor</v>
      </c>
      <c r="F10" s="145">
        <f>IF(G10=".","",Formulario!J$6)</f>
        <v>43787</v>
      </c>
      <c r="G10" s="180">
        <f>IF(Formulario!C18&lt;&gt;"",IF(Formulario!C18=" ","Falta Depto",IF(H10=".","Error En Descripción",Formulario!C18)),IF(H10=".",".","Falta Datos"))</f>
        <v>409</v>
      </c>
      <c r="H10" s="144" t="str">
        <f>IF(Formulario!D18&lt;&gt;"",IF(Formulario!D18=" ",".",Formulario!D18),".")</f>
        <v>REUNION CON PROPIETARIO POR DAÑOS EN CIELOS DE BAÑO Y DORMITORIO DESDE DEPTO. 509.</v>
      </c>
      <c r="I10" s="144" t="str">
        <f>IF(Formulario!E18&lt;&gt;"",IF(Formulario!E18=" "," ",Formulario!E18),IF(G10=".",".",""))</f>
        <v/>
      </c>
      <c r="J10" s="144" t="str">
        <f>IF(Formulario!F18&lt;&gt;"",IF(Formulario!F18=" "," ",Formulario!F18)," ")</f>
        <v xml:space="preserve"> </v>
      </c>
      <c r="K10" s="144" t="str">
        <f>IF(Formulario!G18&lt;&gt;"",IF(Formulario!G18=" "," ",Formulario!G18)," ")</f>
        <v xml:space="preserve"> </v>
      </c>
      <c r="L10" s="144" t="str">
        <f>IF(Formulario!H18&lt;&gt;"",IF(Formulario!H18=" "," ",Formulario!H18)," ")</f>
        <v xml:space="preserve"> </v>
      </c>
      <c r="M10" s="144" t="str">
        <f>IF(Formulario!I18&lt;&gt;"",IF(Formulario!I18=" "," ",Formulario!I18)," ")</f>
        <v xml:space="preserve"> </v>
      </c>
      <c r="N10" s="145">
        <f>IF(Formulario!J18&lt;&gt;"",IF(Formulario!J18=" "," ",Formulario!J18),IF(G10=".",".","Falta Fecha"))</f>
        <v>43753</v>
      </c>
      <c r="O10" s="155">
        <f>Formulario!L18</f>
        <v>0</v>
      </c>
      <c r="P10" s="146">
        <f>IF(O10=1,"09:00",Formulario!M18)</f>
        <v>0.54166666666666663</v>
      </c>
      <c r="Q10" s="146">
        <f>IF(O10=1,"18:30",Formulario!N18)</f>
        <v>0.625</v>
      </c>
      <c r="R10" s="146" t="str">
        <f>IF(Formulario!O18&lt;&gt;"",IF(Formulario!O18=" ",".",Formulario!O18),".")</f>
        <v>Post Venta</v>
      </c>
      <c r="S10" s="141" t="s">
        <v>131</v>
      </c>
    </row>
    <row r="11" spans="1:19">
      <c r="A11" s="141" t="str">
        <f>Formulario!B19</f>
        <v/>
      </c>
      <c r="B11" s="144" t="str">
        <f>IF(G11="."," ",Formulario!D$5)</f>
        <v xml:space="preserve"> </v>
      </c>
      <c r="C11" s="144" t="str">
        <f>IF(G11=".","",Formulario!D$6)</f>
        <v/>
      </c>
      <c r="D11" s="144" t="str">
        <f>IF(H11=".","",Formulario!D$7)</f>
        <v/>
      </c>
      <c r="E11" s="144" t="str">
        <f>IF(G11=".","",Formulario!J$5)</f>
        <v/>
      </c>
      <c r="F11" s="145" t="str">
        <f>IF(G11=".","",Formulario!J$6)</f>
        <v/>
      </c>
      <c r="G11" s="180" t="str">
        <f>IF(Formulario!C19&lt;&gt;"",IF(Formulario!C19=" ","Falta Depto",IF(H11=".","Error En Descripción",Formulario!C19)),IF(H11=".",".","Falta Datos"))</f>
        <v>.</v>
      </c>
      <c r="H11" s="144" t="str">
        <f>IF(Formulario!D19&lt;&gt;"",IF(Formulario!D19=" ",".",Formulario!D19),".")</f>
        <v>.</v>
      </c>
      <c r="I11" s="144" t="str">
        <f>IF(Formulario!E19&lt;&gt;"",IF(Formulario!E19=" "," ",Formulario!E19),IF(G11=".",".",""))</f>
        <v>.</v>
      </c>
      <c r="J11" s="144" t="str">
        <f>IF(Formulario!F19&lt;&gt;"",IF(Formulario!F19=" "," ",Formulario!F19)," ")</f>
        <v xml:space="preserve"> </v>
      </c>
      <c r="K11" s="144" t="str">
        <f>IF(Formulario!G19&lt;&gt;"",IF(Formulario!G19=" "," ",Formulario!G19)," ")</f>
        <v xml:space="preserve"> </v>
      </c>
      <c r="L11" s="144" t="str">
        <f>IF(Formulario!H19&lt;&gt;"",IF(Formulario!H19=" "," ",Formulario!H19)," ")</f>
        <v xml:space="preserve"> </v>
      </c>
      <c r="M11" s="144" t="str">
        <f>IF(Formulario!I19&lt;&gt;"",IF(Formulario!I19=" "," ",Formulario!I19)," ")</f>
        <v xml:space="preserve"> </v>
      </c>
      <c r="N11" s="145" t="str">
        <f>IF(Formulario!J19&lt;&gt;"",IF(Formulario!J19=" "," ",Formulario!J19),IF(G11=".",".","Falta Fecha"))</f>
        <v>.</v>
      </c>
      <c r="O11" s="155">
        <f>Formulario!L19</f>
        <v>0</v>
      </c>
      <c r="P11" s="146">
        <f>IF(O11=1,"09:00",Formulario!M19)</f>
        <v>0</v>
      </c>
      <c r="Q11" s="146">
        <f>IF(O11=1,"18:30",Formulario!N19)</f>
        <v>0</v>
      </c>
      <c r="R11" s="146" t="str">
        <f>IF(Formulario!O19&lt;&gt;"",IF(Formulario!O19=" ",".",Formulario!O19),".")</f>
        <v>Post Venta</v>
      </c>
      <c r="S11" s="141" t="s">
        <v>131</v>
      </c>
    </row>
    <row r="12" spans="1:19">
      <c r="A12" s="141" t="str">
        <f>Formulario!B20</f>
        <v/>
      </c>
      <c r="B12" s="144" t="str">
        <f>IF(G12="."," ",Formulario!D$5)</f>
        <v xml:space="preserve"> </v>
      </c>
      <c r="C12" s="144" t="str">
        <f>IF(G12=".","",Formulario!D$6)</f>
        <v/>
      </c>
      <c r="D12" s="144" t="str">
        <f>IF(H12=".","",Formulario!D$7)</f>
        <v/>
      </c>
      <c r="E12" s="144" t="str">
        <f>IF(G12=".","",Formulario!J$5)</f>
        <v/>
      </c>
      <c r="F12" s="145" t="str">
        <f>IF(G12=".","",Formulario!J$6)</f>
        <v/>
      </c>
      <c r="G12" s="180" t="str">
        <f>IF(Formulario!C20&lt;&gt;"",IF(Formulario!C20=" ","Falta Depto",IF(H12=".","Error En Descripción",Formulario!C20)),IF(H12=".",".","Falta Datos"))</f>
        <v>.</v>
      </c>
      <c r="H12" s="144" t="str">
        <f>IF(Formulario!D20&lt;&gt;"",IF(Formulario!D20=" ",".",Formulario!D20),".")</f>
        <v>.</v>
      </c>
      <c r="I12" s="144" t="str">
        <f>IF(Formulario!E20&lt;&gt;"",IF(Formulario!E20=" "," ",Formulario!E20),IF(G12=".",".",""))</f>
        <v>.</v>
      </c>
      <c r="J12" s="144" t="str">
        <f>IF(Formulario!F20&lt;&gt;"",IF(Formulario!F20=" "," ",Formulario!F20)," ")</f>
        <v xml:space="preserve"> </v>
      </c>
      <c r="K12" s="144" t="str">
        <f>IF(Formulario!G20&lt;&gt;"",IF(Formulario!G20=" "," ",Formulario!G20)," ")</f>
        <v xml:space="preserve"> </v>
      </c>
      <c r="L12" s="144" t="str">
        <f>IF(Formulario!H20&lt;&gt;"",IF(Formulario!H20=" "," ",Formulario!H20)," ")</f>
        <v xml:space="preserve"> </v>
      </c>
      <c r="M12" s="144" t="str">
        <f>IF(Formulario!I20&lt;&gt;"",IF(Formulario!I20=" "," ",Formulario!I20)," ")</f>
        <v xml:space="preserve"> </v>
      </c>
      <c r="N12" s="145" t="str">
        <f>IF(Formulario!J20&lt;&gt;"",IF(Formulario!J20=" "," ",Formulario!J20),IF(G12=".",".","Falta Fecha"))</f>
        <v>.</v>
      </c>
      <c r="O12" s="155">
        <f>Formulario!L20</f>
        <v>0</v>
      </c>
      <c r="P12" s="146">
        <f>IF(O12=1,"09:00",Formulario!M20)</f>
        <v>0</v>
      </c>
      <c r="Q12" s="146">
        <f>IF(O12=1,"18:30",Formulario!N20)</f>
        <v>0</v>
      </c>
      <c r="R12" s="146" t="str">
        <f>IF(Formulario!O20&lt;&gt;"",IF(Formulario!O20=" ",".",Formulario!O20),".")</f>
        <v>Post Venta</v>
      </c>
      <c r="S12" s="141" t="s">
        <v>131</v>
      </c>
    </row>
    <row r="13" spans="1:19">
      <c r="A13" s="141" t="str">
        <f>Formulario!B21</f>
        <v/>
      </c>
      <c r="B13" s="144" t="str">
        <f>IF(G13="."," ",Formulario!D$5)</f>
        <v xml:space="preserve"> </v>
      </c>
      <c r="C13" s="144" t="str">
        <f>IF(G13=".","",Formulario!D$6)</f>
        <v/>
      </c>
      <c r="D13" s="144" t="str">
        <f>IF(H13=".","",Formulario!D$7)</f>
        <v/>
      </c>
      <c r="E13" s="144" t="str">
        <f>IF(G13=".","",Formulario!J$5)</f>
        <v/>
      </c>
      <c r="F13" s="145" t="str">
        <f>IF(G13=".","",Formulario!J$6)</f>
        <v/>
      </c>
      <c r="G13" s="180" t="str">
        <f>IF(Formulario!C21&lt;&gt;"",IF(Formulario!C21=" ","Falta Depto",IF(H13=".","Error En Descripción",Formulario!C21)),IF(H13=".",".","Falta Datos"))</f>
        <v>.</v>
      </c>
      <c r="H13" s="144" t="str">
        <f>IF(Formulario!D21&lt;&gt;"",IF(Formulario!D21=" ",".",Formulario!D21),".")</f>
        <v>.</v>
      </c>
      <c r="I13" s="144" t="str">
        <f>IF(Formulario!E21&lt;&gt;"",IF(Formulario!E21=" "," ",Formulario!E21),IF(G13=".",".",""))</f>
        <v>.</v>
      </c>
      <c r="J13" s="144" t="str">
        <f>IF(Formulario!F21&lt;&gt;"",IF(Formulario!F21=" "," ",Formulario!F21)," ")</f>
        <v xml:space="preserve"> </v>
      </c>
      <c r="K13" s="144" t="str">
        <f>IF(Formulario!G21&lt;&gt;"",IF(Formulario!G21=" "," ",Formulario!G21)," ")</f>
        <v xml:space="preserve"> </v>
      </c>
      <c r="L13" s="144" t="str">
        <f>IF(Formulario!H21&lt;&gt;"",IF(Formulario!H21=" "," ",Formulario!H21)," ")</f>
        <v xml:space="preserve"> </v>
      </c>
      <c r="M13" s="144" t="str">
        <f>IF(Formulario!I21&lt;&gt;"",IF(Formulario!I21=" "," ",Formulario!I21)," ")</f>
        <v xml:space="preserve"> </v>
      </c>
      <c r="N13" s="145" t="str">
        <f>IF(Formulario!J21&lt;&gt;"",IF(Formulario!J21=" "," ",Formulario!J21),IF(G13=".",".","Falta Fecha"))</f>
        <v>.</v>
      </c>
      <c r="O13" s="155">
        <f>Formulario!L21</f>
        <v>0</v>
      </c>
      <c r="P13" s="146">
        <f>IF(O13=1,"09:00",Formulario!M21)</f>
        <v>0</v>
      </c>
      <c r="Q13" s="146">
        <f>IF(O13=1,"18:30",Formulario!N21)</f>
        <v>0</v>
      </c>
      <c r="R13" s="146" t="str">
        <f>IF(Formulario!O21&lt;&gt;"",IF(Formulario!O21=" ",".",Formulario!O21),".")</f>
        <v>Post Venta</v>
      </c>
      <c r="S13" s="141" t="s">
        <v>131</v>
      </c>
    </row>
    <row r="14" spans="1:19">
      <c r="A14" s="141" t="str">
        <f>Formulario!B22</f>
        <v/>
      </c>
      <c r="B14" s="144" t="str">
        <f>IF(G14="."," ",Formulario!D$5)</f>
        <v xml:space="preserve"> </v>
      </c>
      <c r="C14" s="144" t="str">
        <f>IF(G14=".","",Formulario!D$6)</f>
        <v/>
      </c>
      <c r="D14" s="144" t="str">
        <f>IF(H14=".","",Formulario!D$7)</f>
        <v/>
      </c>
      <c r="E14" s="144" t="str">
        <f>IF(G14=".","",Formulario!J$5)</f>
        <v/>
      </c>
      <c r="F14" s="145" t="str">
        <f>IF(G14=".","",Formulario!J$6)</f>
        <v/>
      </c>
      <c r="G14" s="180" t="str">
        <f>IF(Formulario!C22&lt;&gt;"",IF(Formulario!C22=" ","Falta Depto",IF(H14=".","Error En Descripción",Formulario!C22)),IF(H14=".",".","Falta Datos"))</f>
        <v>.</v>
      </c>
      <c r="H14" s="144" t="str">
        <f>IF(Formulario!D22&lt;&gt;"",IF(Formulario!D22=" ",".",Formulario!D22),".")</f>
        <v>.</v>
      </c>
      <c r="I14" s="144" t="str">
        <f>IF(Formulario!E22&lt;&gt;"",IF(Formulario!E22=" "," ",Formulario!E22),IF(G14=".",".",""))</f>
        <v>.</v>
      </c>
      <c r="J14" s="144" t="str">
        <f>IF(Formulario!F22&lt;&gt;"",IF(Formulario!F22=" "," ",Formulario!F22)," ")</f>
        <v xml:space="preserve"> </v>
      </c>
      <c r="K14" s="144" t="str">
        <f>IF(Formulario!G22&lt;&gt;"",IF(Formulario!G22=" "," ",Formulario!G22)," ")</f>
        <v xml:space="preserve"> </v>
      </c>
      <c r="L14" s="144" t="str">
        <f>IF(Formulario!H22&lt;&gt;"",IF(Formulario!H22=" "," ",Formulario!H22)," ")</f>
        <v xml:space="preserve"> </v>
      </c>
      <c r="M14" s="144" t="str">
        <f>IF(Formulario!I22&lt;&gt;"",IF(Formulario!I22=" "," ",Formulario!I22)," ")</f>
        <v xml:space="preserve"> </v>
      </c>
      <c r="N14" s="145" t="str">
        <f>IF(Formulario!J22&lt;&gt;"",IF(Formulario!J22=" "," ",Formulario!J22),IF(G14=".",".","Falta Fecha"))</f>
        <v>.</v>
      </c>
      <c r="O14" s="155">
        <f>Formulario!L22</f>
        <v>0</v>
      </c>
      <c r="P14" s="146">
        <f>IF(O14=1,"09:00",Formulario!M22)</f>
        <v>0</v>
      </c>
      <c r="Q14" s="146">
        <f>IF(O14=1,"18:30",Formulario!N22)</f>
        <v>0</v>
      </c>
      <c r="R14" s="146" t="str">
        <f>IF(Formulario!O22&lt;&gt;"",IF(Formulario!O22=" ",".",Formulario!O22),".")</f>
        <v>Post Venta</v>
      </c>
      <c r="S14" s="141" t="s">
        <v>131</v>
      </c>
    </row>
    <row r="15" spans="1:19">
      <c r="A15" s="141" t="str">
        <f>Formulario!B23</f>
        <v/>
      </c>
      <c r="B15" s="144" t="str">
        <f>IF(G15="."," ",Formulario!D$5)</f>
        <v xml:space="preserve"> </v>
      </c>
      <c r="C15" s="144" t="str">
        <f>IF(G15=".","",Formulario!D$6)</f>
        <v/>
      </c>
      <c r="D15" s="144" t="str">
        <f>IF(H15=".","",Formulario!D$7)</f>
        <v/>
      </c>
      <c r="E15" s="144" t="str">
        <f>IF(G15=".","",Formulario!J$5)</f>
        <v/>
      </c>
      <c r="F15" s="145" t="str">
        <f>IF(G15=".","",Formulario!J$6)</f>
        <v/>
      </c>
      <c r="G15" s="180" t="str">
        <f>IF(Formulario!C23&lt;&gt;"",IF(Formulario!C23=" ","Falta Depto",IF(H15=".","Error En Descripción",Formulario!C23)),IF(H15=".",".","Falta Datos"))</f>
        <v>.</v>
      </c>
      <c r="H15" s="144" t="str">
        <f>IF(Formulario!D23&lt;&gt;"",IF(Formulario!D23=" ",".",Formulario!D23),".")</f>
        <v>.</v>
      </c>
      <c r="I15" s="144" t="str">
        <f>IF(Formulario!E23&lt;&gt;"",IF(Formulario!E23=" "," ",Formulario!E23),IF(G15=".",".","Falta Propietario"))</f>
        <v>.</v>
      </c>
      <c r="J15" s="144" t="str">
        <f>IF(Formulario!F23&lt;&gt;"",IF(Formulario!F23=" "," ",Formulario!F23)," ")</f>
        <v xml:space="preserve"> </v>
      </c>
      <c r="K15" s="144" t="str">
        <f>IF(Formulario!G23&lt;&gt;"",IF(Formulario!G23=" "," ",Formulario!G23)," ")</f>
        <v xml:space="preserve"> </v>
      </c>
      <c r="L15" s="144" t="str">
        <f>IF(Formulario!H23&lt;&gt;"",IF(Formulario!H23=" "," ",Formulario!H23)," ")</f>
        <v xml:space="preserve"> </v>
      </c>
      <c r="M15" s="144" t="str">
        <f>IF(Formulario!I23&lt;&gt;"",IF(Formulario!I23=" "," ",Formulario!I23)," ")</f>
        <v xml:space="preserve"> </v>
      </c>
      <c r="N15" s="145" t="str">
        <f>IF(Formulario!J23&lt;&gt;"",IF(Formulario!J23=" "," ",Formulario!J23),IF(G15=".",".","Falta Fecha"))</f>
        <v>.</v>
      </c>
      <c r="O15" s="155">
        <f>Formulario!L23</f>
        <v>0</v>
      </c>
      <c r="P15" s="146">
        <f>IF(O15=1,"09:00",Formulario!M23)</f>
        <v>0</v>
      </c>
      <c r="Q15" s="146">
        <f>IF(O15=1,"18:30",Formulario!N23)</f>
        <v>0</v>
      </c>
      <c r="R15" s="146" t="str">
        <f>IF(Formulario!O23&lt;&gt;"",IF(Formulario!O23=" ",".",Formulario!O23),".")</f>
        <v>Post Venta</v>
      </c>
      <c r="S15" s="141" t="s">
        <v>131</v>
      </c>
    </row>
    <row r="16" spans="1:19">
      <c r="A16" s="141" t="str">
        <f>Formulario!B24</f>
        <v/>
      </c>
      <c r="B16" s="144" t="str">
        <f>IF(G16="."," ",Formulario!D$5)</f>
        <v xml:space="preserve"> </v>
      </c>
      <c r="C16" s="144" t="str">
        <f>IF(G16=".","",Formulario!D$6)</f>
        <v/>
      </c>
      <c r="D16" s="144" t="str">
        <f>IF(H16=".","",Formulario!D$7)</f>
        <v/>
      </c>
      <c r="E16" s="144" t="str">
        <f>IF(G16=".","",Formulario!J$5)</f>
        <v/>
      </c>
      <c r="F16" s="145" t="str">
        <f>IF(G16=".","",Formulario!J$6)</f>
        <v/>
      </c>
      <c r="G16" s="180" t="str">
        <f>IF(Formulario!C24&lt;&gt;"",IF(Formulario!C24=" ","Falta Depto",IF(H16=".","Error En Descripción",Formulario!C24)),IF(H16=".",".","Falta Datos"))</f>
        <v>.</v>
      </c>
      <c r="H16" s="144" t="str">
        <f>IF(Formulario!D24&lt;&gt;"",IF(Formulario!D24=" ",".",Formulario!D24),".")</f>
        <v>.</v>
      </c>
      <c r="I16" s="144" t="str">
        <f>IF(Formulario!E24&lt;&gt;"",IF(Formulario!E24=" "," ",Formulario!E24),IF(G16=".",".","Falta Propietario"))</f>
        <v>.</v>
      </c>
      <c r="J16" s="144" t="str">
        <f>IF(Formulario!F24&lt;&gt;"",IF(Formulario!F24=" "," ",Formulario!F24),IF(H16=".","."," "))</f>
        <v>.</v>
      </c>
      <c r="K16" s="144" t="str">
        <f>IF(Formulario!G24&lt;&gt;"",IF(Formulario!G24=" "," ",Formulario!G24),IF(I16=".","."," "))</f>
        <v>.</v>
      </c>
      <c r="L16" s="144" t="str">
        <f>IF(Formulario!H24&lt;&gt;"",IF(Formulario!H24=" "," ",Formulario!H24),IF(J16=".","."," "))</f>
        <v>.</v>
      </c>
      <c r="M16" s="144" t="str">
        <f>IF(Formulario!I24&lt;&gt;"",IF(Formulario!I24=" "," ",Formulario!I24),IF(K16=".","."," "))</f>
        <v>.</v>
      </c>
      <c r="N16" s="145" t="str">
        <f>IF(Formulario!J24&lt;&gt;"",IF(Formulario!J24=" "," ",Formulario!J24),IF(G16=".",".","Falta Fecha"))</f>
        <v>.</v>
      </c>
      <c r="O16" s="155">
        <f>Formulario!L24</f>
        <v>0</v>
      </c>
      <c r="P16" s="146">
        <f>IF(O16=1,"09:00",Formulario!M24)</f>
        <v>0</v>
      </c>
      <c r="Q16" s="146">
        <f>IF(O16=1,"18:30",Formulario!N24)</f>
        <v>0</v>
      </c>
      <c r="R16" s="146" t="str">
        <f>IF(Formulario!O24&lt;&gt;"",IF(Formulario!O24=" ",".",Formulario!O24),".")</f>
        <v>Post Venta</v>
      </c>
      <c r="S16" s="141" t="s">
        <v>131</v>
      </c>
    </row>
    <row r="17" spans="1:19">
      <c r="A17" s="141" t="str">
        <f>Formulario!B25</f>
        <v/>
      </c>
      <c r="B17" s="144" t="str">
        <f>IF(G17="."," ",Formulario!D$5)</f>
        <v xml:space="preserve"> </v>
      </c>
      <c r="C17" s="144" t="str">
        <f>IF(G17=".","",Formulario!D$6)</f>
        <v/>
      </c>
      <c r="D17" s="144" t="str">
        <f>IF(H17=".","",Formulario!D$7)</f>
        <v/>
      </c>
      <c r="E17" s="144" t="str">
        <f>IF(G17=".","",Formulario!J$5)</f>
        <v/>
      </c>
      <c r="F17" s="145" t="str">
        <f>IF(G17=".","",Formulario!J$6)</f>
        <v/>
      </c>
      <c r="G17" s="180" t="str">
        <f>IF(Formulario!C25&lt;&gt;"",IF(Formulario!C25=" ","Falta Depto",IF(H17=".","Error En Descripción",Formulario!C25)),IF(H17=".",".","Falta Datos"))</f>
        <v>.</v>
      </c>
      <c r="H17" s="144" t="str">
        <f>IF(Formulario!D25&lt;&gt;"",IF(Formulario!D25=" ",".",Formulario!D25),".")</f>
        <v>.</v>
      </c>
      <c r="I17" s="144" t="str">
        <f>IF(Formulario!E25&lt;&gt;"",IF(Formulario!E25=" "," ",Formulario!E25),IF(G17=".",".","Falta Propietario"))</f>
        <v>.</v>
      </c>
      <c r="J17" s="144" t="str">
        <f>IF(Formulario!F25&lt;&gt;"",IF(Formulario!F25=" "," ",Formulario!F25)," ")</f>
        <v xml:space="preserve"> </v>
      </c>
      <c r="K17" s="144" t="str">
        <f>IF(Formulario!G25&lt;&gt;"",IF(Formulario!G25=" "," ",Formulario!G25)," ")</f>
        <v xml:space="preserve"> </v>
      </c>
      <c r="L17" s="144" t="str">
        <f>IF(Formulario!H25&lt;&gt;"",IF(Formulario!H25=" "," ",Formulario!H25)," ")</f>
        <v xml:space="preserve"> </v>
      </c>
      <c r="M17" s="144" t="str">
        <f>IF(Formulario!I25&lt;&gt;"",IF(Formulario!I25=" "," ",Formulario!I25)," ")</f>
        <v xml:space="preserve"> </v>
      </c>
      <c r="N17" s="145" t="str">
        <f>IF(Formulario!J25&lt;&gt;"",IF(Formulario!J25=" "," ",Formulario!J25),IF(G17=".",".","Falta Fecha"))</f>
        <v>.</v>
      </c>
      <c r="O17" s="155">
        <f>Formulario!L25</f>
        <v>0</v>
      </c>
      <c r="P17" s="146">
        <f>IF(O17=1,"09:00",Formulario!M25)</f>
        <v>0</v>
      </c>
      <c r="Q17" s="146">
        <f>IF(O17=1,"18:30",Formulario!N25)</f>
        <v>0</v>
      </c>
      <c r="R17" s="146" t="str">
        <f>IF(Formulario!O25&lt;&gt;"",IF(Formulario!O25=" ",".",Formulario!O25),".")</f>
        <v>Post Venta</v>
      </c>
      <c r="S17" s="141" t="s">
        <v>131</v>
      </c>
    </row>
    <row r="18" spans="1:19">
      <c r="A18" s="141" t="str">
        <f>Formulario!B26</f>
        <v/>
      </c>
      <c r="B18" s="144" t="str">
        <f>IF(G18="."," ",Formulario!D$5)</f>
        <v xml:space="preserve"> </v>
      </c>
      <c r="C18" s="144" t="str">
        <f>IF(G18=".","",Formulario!D$6)</f>
        <v/>
      </c>
      <c r="D18" s="144" t="str">
        <f>IF(H18=".","",Formulario!D$7)</f>
        <v/>
      </c>
      <c r="E18" s="144" t="str">
        <f>IF(G18=".","",Formulario!J$5)</f>
        <v/>
      </c>
      <c r="F18" s="145" t="str">
        <f>IF(G18=".","",Formulario!J$6)</f>
        <v/>
      </c>
      <c r="G18" s="180" t="str">
        <f>IF(Formulario!C26&lt;&gt;"",IF(Formulario!C26=" ","Falta Depto",IF(H18=".","Error En Descripción",Formulario!C26)),IF(H18=".",".","Falta Datos"))</f>
        <v>.</v>
      </c>
      <c r="H18" s="144" t="str">
        <f>IF(Formulario!D26&lt;&gt;"",IF(Formulario!D26=" ",".",Formulario!D26),".")</f>
        <v>.</v>
      </c>
      <c r="I18" s="144" t="str">
        <f>IF(Formulario!E26&lt;&gt;"",IF(Formulario!E26=" "," ",Formulario!E26),IF(G18=".",".","Falta Propietario"))</f>
        <v>.</v>
      </c>
      <c r="J18" s="144" t="str">
        <f>IF(Formulario!F26&lt;&gt;"",IF(Formulario!F26=" "," ",Formulario!F26)," ")</f>
        <v xml:space="preserve"> </v>
      </c>
      <c r="K18" s="144" t="str">
        <f>IF(Formulario!G26&lt;&gt;"",IF(Formulario!G26=" "," ",Formulario!G26)," ")</f>
        <v xml:space="preserve"> </v>
      </c>
      <c r="L18" s="144" t="str">
        <f>IF(Formulario!H26&lt;&gt;"",IF(Formulario!H26=" "," ",Formulario!H26)," ")</f>
        <v xml:space="preserve"> </v>
      </c>
      <c r="M18" s="144" t="str">
        <f>IF(Formulario!I26&lt;&gt;"",IF(Formulario!I26=" "," ",Formulario!I26)," ")</f>
        <v xml:space="preserve"> </v>
      </c>
      <c r="N18" s="145" t="str">
        <f>IF(Formulario!J26&lt;&gt;"",IF(Formulario!J26=" "," ",Formulario!J26),IF(G18=".",".","Falta Fecha"))</f>
        <v>.</v>
      </c>
      <c r="O18" s="155">
        <f>Formulario!L26</f>
        <v>0</v>
      </c>
      <c r="P18" s="146">
        <f>IF(O18=1,"09:00",Formulario!M26)</f>
        <v>0</v>
      </c>
      <c r="Q18" s="146">
        <f>IF(O18=1,"18:30",Formulario!N26)</f>
        <v>0</v>
      </c>
      <c r="R18" s="146" t="str">
        <f>IF(Formulario!O26&lt;&gt;"",IF(Formulario!O26=" ",".",Formulario!O26),".")</f>
        <v>Post Venta</v>
      </c>
      <c r="S18" s="141" t="s">
        <v>131</v>
      </c>
    </row>
    <row r="19" spans="1:19">
      <c r="A19" s="141" t="str">
        <f>Formulario!B27</f>
        <v/>
      </c>
      <c r="B19" s="144" t="str">
        <f>IF(G19="."," ",Formulario!D$5)</f>
        <v xml:space="preserve"> </v>
      </c>
      <c r="C19" s="144" t="str">
        <f>IF(G19=".","",Formulario!D$6)</f>
        <v/>
      </c>
      <c r="D19" s="144" t="str">
        <f>IF(H19=".","",Formulario!D$7)</f>
        <v/>
      </c>
      <c r="E19" s="144" t="str">
        <f>IF(G19=".","",Formulario!J$5)</f>
        <v/>
      </c>
      <c r="F19" s="145" t="str">
        <f>IF(G19=".","",Formulario!J$6)</f>
        <v/>
      </c>
      <c r="G19" s="180" t="str">
        <f>IF(Formulario!C27&lt;&gt;"",IF(Formulario!C27=" ","Falta Depto",IF(H19=".","Error En Descripción",Formulario!C27)),IF(H19=".",".","Falta Datos"))</f>
        <v>.</v>
      </c>
      <c r="H19" s="144" t="str">
        <f>IF(Formulario!D27&lt;&gt;"",IF(Formulario!D27=" ",".",Formulario!D27),".")</f>
        <v>.</v>
      </c>
      <c r="I19" s="144" t="str">
        <f>IF(Formulario!E27&lt;&gt;"",IF(Formulario!E27=" "," ",Formulario!E27),IF(G19=".",".","Falta Propietario"))</f>
        <v>.</v>
      </c>
      <c r="J19" s="144" t="str">
        <f>IF(Formulario!F27&lt;&gt;"",IF(Formulario!F27=" "," ",Formulario!F27)," ")</f>
        <v xml:space="preserve"> </v>
      </c>
      <c r="K19" s="144" t="str">
        <f>IF(Formulario!G27&lt;&gt;"",IF(Formulario!G27=" "," ",Formulario!G27)," ")</f>
        <v xml:space="preserve"> </v>
      </c>
      <c r="L19" s="144" t="str">
        <f>IF(Formulario!H27&lt;&gt;"",IF(Formulario!H27=" "," ",Formulario!H27)," ")</f>
        <v xml:space="preserve"> </v>
      </c>
      <c r="M19" s="144" t="str">
        <f>IF(Formulario!I27&lt;&gt;"",IF(Formulario!I27=" "," ",Formulario!I27)," ")</f>
        <v xml:space="preserve"> </v>
      </c>
      <c r="N19" s="145" t="str">
        <f>IF(Formulario!J27&lt;&gt;"",IF(Formulario!J27=" "," ",Formulario!J27),IF(G19=".",".","Falta Fecha"))</f>
        <v>.</v>
      </c>
      <c r="O19" s="155">
        <f>Formulario!L27</f>
        <v>0</v>
      </c>
      <c r="P19" s="146">
        <f>IF(O19=1,"09:00",Formulario!M27)</f>
        <v>0</v>
      </c>
      <c r="Q19" s="146">
        <f>IF(O19=1,"18:30",Formulario!N27)</f>
        <v>0</v>
      </c>
      <c r="R19" s="146" t="str">
        <f>IF(Formulario!O27&lt;&gt;"",IF(Formulario!O27=" ",".",Formulario!O27),".")</f>
        <v>Post Venta</v>
      </c>
      <c r="S19" s="141" t="s">
        <v>131</v>
      </c>
    </row>
    <row r="20" spans="1:19">
      <c r="A20" s="141" t="str">
        <f>Formulario!B28</f>
        <v/>
      </c>
      <c r="B20" s="144" t="str">
        <f>IF(G20="."," ",Formulario!D$5)</f>
        <v xml:space="preserve"> </v>
      </c>
      <c r="C20" s="144" t="str">
        <f>IF(G20=".","",Formulario!D$6)</f>
        <v/>
      </c>
      <c r="D20" s="144" t="str">
        <f>IF(H20=".","",Formulario!D$7)</f>
        <v/>
      </c>
      <c r="E20" s="144" t="str">
        <f>IF(G20=".","",Formulario!J$5)</f>
        <v/>
      </c>
      <c r="F20" s="145" t="str">
        <f>IF(G20=".","",Formulario!J$6)</f>
        <v/>
      </c>
      <c r="G20" s="180" t="str">
        <f>IF(Formulario!C28&lt;&gt;"",IF(Formulario!C28=" ","Falta Depto",IF(H20=".","Error En Descripción",Formulario!C28)),IF(H20=".",".","Falta Datos"))</f>
        <v>.</v>
      </c>
      <c r="H20" s="144" t="str">
        <f>IF(Formulario!D28&lt;&gt;"",IF(Formulario!D28=" ",".",Formulario!D28),".")</f>
        <v>.</v>
      </c>
      <c r="I20" s="144" t="str">
        <f>IF(Formulario!E28&lt;&gt;"",IF(Formulario!E28=" "," ",Formulario!E28),IF(G20=".",".","Falta Propietario"))</f>
        <v>.</v>
      </c>
      <c r="J20" s="144" t="str">
        <f>IF(Formulario!F28&lt;&gt;"",IF(Formulario!F28=" "," ",Formulario!F28)," ")</f>
        <v xml:space="preserve"> </v>
      </c>
      <c r="K20" s="144" t="str">
        <f>IF(Formulario!G28&lt;&gt;"",IF(Formulario!G28=" "," ",Formulario!G28)," ")</f>
        <v xml:space="preserve"> </v>
      </c>
      <c r="L20" s="144" t="str">
        <f>IF(Formulario!H28&lt;&gt;"",IF(Formulario!H28=" "," ",Formulario!H28)," ")</f>
        <v xml:space="preserve"> </v>
      </c>
      <c r="M20" s="144" t="str">
        <f>IF(Formulario!I28&lt;&gt;"",IF(Formulario!I28=" "," ",Formulario!I28)," ")</f>
        <v xml:space="preserve"> </v>
      </c>
      <c r="N20" s="145" t="str">
        <f>IF(Formulario!J28&lt;&gt;"",IF(Formulario!J28=" "," ",Formulario!J28),IF(G20=".",".","Falta Fecha"))</f>
        <v>.</v>
      </c>
      <c r="O20" s="155">
        <f>Formulario!L28</f>
        <v>0</v>
      </c>
      <c r="P20" s="146">
        <f>IF(O20=1,"09:00",Formulario!M28)</f>
        <v>0</v>
      </c>
      <c r="Q20" s="146">
        <f>IF(O20=1,"18:30",Formulario!N28)</f>
        <v>0</v>
      </c>
      <c r="R20" s="146" t="str">
        <f>IF(Formulario!O28&lt;&gt;"",IF(Formulario!O28=" ",".",Formulario!O28),".")</f>
        <v>Post Venta</v>
      </c>
      <c r="S20" s="141" t="s">
        <v>131</v>
      </c>
    </row>
    <row r="21" spans="1:19">
      <c r="A21" s="141" t="str">
        <f>Formulario!B29</f>
        <v/>
      </c>
      <c r="B21" s="144" t="str">
        <f>IF(G21="."," ",Formulario!D$5)</f>
        <v xml:space="preserve"> </v>
      </c>
      <c r="C21" s="144" t="str">
        <f>IF(G21=".","",Formulario!D$6)</f>
        <v/>
      </c>
      <c r="D21" s="144" t="str">
        <f>IF(H21=".","",Formulario!D$7)</f>
        <v/>
      </c>
      <c r="E21" s="144" t="str">
        <f>IF(G21=".","",Formulario!J$5)</f>
        <v/>
      </c>
      <c r="F21" s="145" t="str">
        <f>IF(G21=".","",Formulario!J$6)</f>
        <v/>
      </c>
      <c r="G21" s="180" t="str">
        <f>IF(Formulario!C29&lt;&gt;"",IF(Formulario!C29=" ","Falta Depto",IF(H21=".","Error En Descripción",Formulario!C29)),IF(H21=".",".","Falta Datos"))</f>
        <v>.</v>
      </c>
      <c r="H21" s="144" t="str">
        <f>IF(Formulario!D29&lt;&gt;"",IF(Formulario!D29=" ",".",Formulario!D29),".")</f>
        <v>.</v>
      </c>
      <c r="I21" s="144" t="str">
        <f>IF(Formulario!E29&lt;&gt;"",IF(Formulario!E29=" "," ",Formulario!E29),IF(G21=".",".","Falta Propietario"))</f>
        <v>.</v>
      </c>
      <c r="J21" s="144" t="str">
        <f>IF(Formulario!F29&lt;&gt;"",IF(Formulario!F29=" "," ",Formulario!F29)," ")</f>
        <v xml:space="preserve"> </v>
      </c>
      <c r="K21" s="144" t="str">
        <f>IF(Formulario!G29&lt;&gt;"",IF(Formulario!G29=" "," ",Formulario!G29)," ")</f>
        <v xml:space="preserve"> </v>
      </c>
      <c r="L21" s="144" t="str">
        <f>IF(Formulario!H29&lt;&gt;"",IF(Formulario!H29=" "," ",Formulario!H29)," ")</f>
        <v xml:space="preserve"> </v>
      </c>
      <c r="M21" s="144" t="str">
        <f>IF(Formulario!I29&lt;&gt;"",IF(Formulario!I29=" "," ",Formulario!I29)," ")</f>
        <v xml:space="preserve"> </v>
      </c>
      <c r="N21" s="145" t="str">
        <f>IF(Formulario!J29&lt;&gt;"",IF(Formulario!J29=" "," ",Formulario!J29),IF(G21=".",".","Falta Fecha"))</f>
        <v>.</v>
      </c>
      <c r="O21" s="155">
        <f>Formulario!L29</f>
        <v>0</v>
      </c>
      <c r="P21" s="146">
        <f>IF(O21=1,"09:00",Formulario!M29)</f>
        <v>0</v>
      </c>
      <c r="Q21" s="146">
        <f>IF(O21=1,"18:30",Formulario!N29)</f>
        <v>0</v>
      </c>
      <c r="R21" s="146" t="str">
        <f>IF(Formulario!O29&lt;&gt;"",IF(Formulario!O29=" ",".",Formulario!O29),".")</f>
        <v>Post Venta</v>
      </c>
      <c r="S21" s="141" t="s">
        <v>131</v>
      </c>
    </row>
    <row r="22" spans="1:19">
      <c r="A22" s="141" t="str">
        <f>Formulario!B30</f>
        <v/>
      </c>
      <c r="B22" s="144" t="str">
        <f>IF(G22="."," ",Formulario!D$5)</f>
        <v xml:space="preserve"> </v>
      </c>
      <c r="C22" s="144" t="str">
        <f>IF(G22=".","",Formulario!D$6)</f>
        <v/>
      </c>
      <c r="D22" s="144" t="str">
        <f>IF(H22=".","",Formulario!D$7)</f>
        <v/>
      </c>
      <c r="E22" s="144" t="str">
        <f>IF(G22=".","",Formulario!J$5)</f>
        <v/>
      </c>
      <c r="F22" s="145" t="str">
        <f>IF(G22=".","",Formulario!J$6)</f>
        <v/>
      </c>
      <c r="G22" s="180" t="str">
        <f>IF(Formulario!C30&lt;&gt;"",IF(Formulario!C30=" ","Falta Depto",IF(H22=".","Error En Descripción",Formulario!C30)),IF(H22=".",".","Falta Datos"))</f>
        <v>.</v>
      </c>
      <c r="H22" s="144" t="str">
        <f>IF(Formulario!D30&lt;&gt;"",IF(Formulario!D30=" ",".",Formulario!D30),".")</f>
        <v>.</v>
      </c>
      <c r="I22" s="144" t="str">
        <f>IF(Formulario!E30&lt;&gt;"",IF(Formulario!E30=" "," ",Formulario!E30),IF(G22=".",".","Falta Propietario"))</f>
        <v>.</v>
      </c>
      <c r="J22" s="144" t="str">
        <f>IF(Formulario!F30&lt;&gt;"",IF(Formulario!F30=" "," ",Formulario!F30)," ")</f>
        <v xml:space="preserve"> </v>
      </c>
      <c r="K22" s="144" t="str">
        <f>IF(Formulario!G30&lt;&gt;"",IF(Formulario!G30=" "," ",Formulario!G30)," ")</f>
        <v xml:space="preserve"> </v>
      </c>
      <c r="L22" s="144" t="str">
        <f>IF(Formulario!H30&lt;&gt;"",IF(Formulario!H30=" "," ",Formulario!H30)," ")</f>
        <v xml:space="preserve"> </v>
      </c>
      <c r="M22" s="144" t="str">
        <f>IF(Formulario!I30&lt;&gt;"",IF(Formulario!I30=" "," ",Formulario!I30)," ")</f>
        <v xml:space="preserve"> </v>
      </c>
      <c r="N22" s="145" t="str">
        <f>IF(Formulario!J30&lt;&gt;"",IF(Formulario!J30=" "," ",Formulario!J30),IF(G22=".",".","Falta Fecha"))</f>
        <v>.</v>
      </c>
      <c r="O22" s="155">
        <f>Formulario!L30</f>
        <v>0</v>
      </c>
      <c r="P22" s="146">
        <f>IF(O22=1,"09:00",Formulario!M30)</f>
        <v>0</v>
      </c>
      <c r="Q22" s="146">
        <f>IF(O22=1,"18:30",Formulario!N30)</f>
        <v>0</v>
      </c>
      <c r="R22" s="146" t="str">
        <f>IF(Formulario!O30&lt;&gt;"",IF(Formulario!O30=" ",".",Formulario!O30),".")</f>
        <v>Post Venta</v>
      </c>
      <c r="S22" s="141" t="s">
        <v>131</v>
      </c>
    </row>
    <row r="23" spans="1:19">
      <c r="A23" s="141" t="str">
        <f>Formulario!B31</f>
        <v/>
      </c>
      <c r="B23" s="144" t="str">
        <f>IF(G23="."," ",Formulario!D$5)</f>
        <v xml:space="preserve"> </v>
      </c>
      <c r="C23" s="144" t="str">
        <f>IF(G23=".","",Formulario!D$6)</f>
        <v/>
      </c>
      <c r="D23" s="144" t="str">
        <f>IF(H23=".","",Formulario!D$7)</f>
        <v/>
      </c>
      <c r="E23" s="144" t="str">
        <f>IF(G23=".","",Formulario!J$5)</f>
        <v/>
      </c>
      <c r="F23" s="145" t="str">
        <f>IF(G23=".","",Formulario!J$6)</f>
        <v/>
      </c>
      <c r="G23" s="180" t="str">
        <f>IF(Formulario!C31&lt;&gt;"",IF(Formulario!C31=" ","Falta Depto",IF(H23=".","Error En Descripción",Formulario!C31)),IF(H23=".",".","Falta Datos"))</f>
        <v>.</v>
      </c>
      <c r="H23" s="144" t="str">
        <f>IF(Formulario!D31&lt;&gt;"",IF(Formulario!D31=" ",".",Formulario!D31),".")</f>
        <v>.</v>
      </c>
      <c r="I23" s="144" t="str">
        <f>IF(Formulario!E31&lt;&gt;"",IF(Formulario!E31=" "," ",Formulario!E31),IF(G23=".",".","Falta Propietario"))</f>
        <v>.</v>
      </c>
      <c r="J23" s="144" t="str">
        <f>IF(Formulario!F31&lt;&gt;"",IF(Formulario!F31=" "," ",Formulario!F31)," ")</f>
        <v xml:space="preserve"> </v>
      </c>
      <c r="K23" s="144" t="str">
        <f>IF(Formulario!G31&lt;&gt;"",IF(Formulario!G31=" "," ",Formulario!G31)," ")</f>
        <v xml:space="preserve"> </v>
      </c>
      <c r="L23" s="144" t="str">
        <f>IF(Formulario!H31&lt;&gt;"",IF(Formulario!H31=" "," ",Formulario!H31)," ")</f>
        <v xml:space="preserve"> </v>
      </c>
      <c r="M23" s="144" t="str">
        <f>IF(Formulario!I31&lt;&gt;"",IF(Formulario!I31=" "," ",Formulario!I31)," ")</f>
        <v xml:space="preserve"> </v>
      </c>
      <c r="N23" s="145" t="str">
        <f>IF(Formulario!J31&lt;&gt;"",IF(Formulario!J31=" "," ",Formulario!J31),IF(G23=".",".","Falta Fecha"))</f>
        <v>.</v>
      </c>
      <c r="O23" s="155">
        <f>Formulario!L31</f>
        <v>0</v>
      </c>
      <c r="P23" s="146">
        <f>IF(O23=1,"09:00",Formulario!M31)</f>
        <v>0</v>
      </c>
      <c r="Q23" s="146">
        <f>IF(O23=1,"18:30",Formulario!N31)</f>
        <v>0</v>
      </c>
      <c r="R23" s="146" t="str">
        <f>IF(Formulario!O31&lt;&gt;"",IF(Formulario!O31=" ",".",Formulario!O31),".")</f>
        <v>Post Venta</v>
      </c>
      <c r="S23" s="141" t="s">
        <v>131</v>
      </c>
    </row>
    <row r="24" spans="1:19">
      <c r="A24" s="141" t="str">
        <f>Formulario!B32</f>
        <v/>
      </c>
      <c r="B24" s="144" t="str">
        <f>IF(G24="."," ",Formulario!D$5)</f>
        <v xml:space="preserve"> </v>
      </c>
      <c r="C24" s="144" t="str">
        <f>IF(G24=".","",Formulario!D$6)</f>
        <v/>
      </c>
      <c r="D24" s="144" t="str">
        <f>IF(H24=".","",Formulario!D$7)</f>
        <v/>
      </c>
      <c r="E24" s="144" t="str">
        <f>IF(G24=".","",Formulario!J$5)</f>
        <v/>
      </c>
      <c r="F24" s="145" t="str">
        <f>IF(G24=".","",Formulario!J$6)</f>
        <v/>
      </c>
      <c r="G24" s="180" t="str">
        <f>IF(Formulario!C32&lt;&gt;"",IF(Formulario!C32=" ","Falta Depto",IF(H24=".","Error En Descripción",Formulario!C32)),IF(H24=".",".","Falta Datos"))</f>
        <v>.</v>
      </c>
      <c r="H24" s="144" t="str">
        <f>IF(Formulario!D32&lt;&gt;"",IF(Formulario!D32=" ",".",Formulario!D32),".")</f>
        <v>.</v>
      </c>
      <c r="I24" s="144" t="str">
        <f>IF(Formulario!E32&lt;&gt;"",IF(Formulario!E32=" "," ",Formulario!E32),IF(G24=".",".","Falta Propietario"))</f>
        <v>.</v>
      </c>
      <c r="J24" s="144" t="str">
        <f>IF(Formulario!F32&lt;&gt;"",IF(Formulario!F32=" "," ",Formulario!F32)," ")</f>
        <v xml:space="preserve"> </v>
      </c>
      <c r="K24" s="144" t="str">
        <f>IF(Formulario!G32&lt;&gt;"",IF(Formulario!G32=" "," ",Formulario!G32)," ")</f>
        <v xml:space="preserve"> </v>
      </c>
      <c r="L24" s="144" t="str">
        <f>IF(Formulario!H32&lt;&gt;"",IF(Formulario!H32=" "," ",Formulario!H32)," ")</f>
        <v xml:space="preserve"> </v>
      </c>
      <c r="M24" s="144" t="str">
        <f>IF(Formulario!I32&lt;&gt;"",IF(Formulario!I32=" "," ",Formulario!I32)," ")</f>
        <v xml:space="preserve"> </v>
      </c>
      <c r="N24" s="145" t="str">
        <f>IF(Formulario!J32&lt;&gt;"",IF(Formulario!J32=" "," ",Formulario!J32),IF(G24=".",".","Falta Fecha"))</f>
        <v>.</v>
      </c>
      <c r="O24" s="155">
        <f>Formulario!L32</f>
        <v>0</v>
      </c>
      <c r="P24" s="146">
        <f>IF(O24=1,"09:00",Formulario!M32)</f>
        <v>0</v>
      </c>
      <c r="Q24" s="146">
        <f>IF(O24=1,"18:30",Formulario!N32)</f>
        <v>0</v>
      </c>
      <c r="R24" s="146" t="str">
        <f>IF(Formulario!O32&lt;&gt;"",IF(Formulario!O32=" ",".",Formulario!O32),".")</f>
        <v>Post Venta</v>
      </c>
      <c r="S24" s="141" t="s">
        <v>131</v>
      </c>
    </row>
    <row r="25" spans="1:19">
      <c r="A25" s="141" t="str">
        <f>Formulario!B33</f>
        <v/>
      </c>
      <c r="B25" s="144" t="str">
        <f>IF(G25="."," ",Formulario!D$5)</f>
        <v xml:space="preserve"> </v>
      </c>
      <c r="C25" s="144" t="str">
        <f>IF(G25=".","",Formulario!D$6)</f>
        <v/>
      </c>
      <c r="D25" s="144" t="str">
        <f>IF(H25=".","",Formulario!D$7)</f>
        <v/>
      </c>
      <c r="E25" s="144" t="str">
        <f>IF(G25=".","",Formulario!J$5)</f>
        <v/>
      </c>
      <c r="F25" s="145" t="str">
        <f>IF(G25=".","",Formulario!J$6)</f>
        <v/>
      </c>
      <c r="G25" s="180" t="str">
        <f>IF(Formulario!C33&lt;&gt;"",IF(Formulario!C33=" ","Falta Depto",IF(H25=".","Error En Descripción",Formulario!C33)),IF(H25=".",".","Falta Datos"))</f>
        <v>.</v>
      </c>
      <c r="H25" s="144" t="str">
        <f>IF(Formulario!D33&lt;&gt;"",IF(Formulario!D33=" ",".",Formulario!D33),".")</f>
        <v>.</v>
      </c>
      <c r="I25" s="144" t="str">
        <f>IF(Formulario!E33&lt;&gt;"",IF(Formulario!E33=" "," ",Formulario!E33),IF(G25=".",".","Falta Propietario"))</f>
        <v>.</v>
      </c>
      <c r="J25" s="144" t="str">
        <f>IF(Formulario!F33&lt;&gt;"",IF(Formulario!F33=" "," ",Formulario!F33)," ")</f>
        <v xml:space="preserve"> </v>
      </c>
      <c r="K25" s="144" t="str">
        <f>IF(Formulario!G33&lt;&gt;"",IF(Formulario!G33=" "," ",Formulario!G33)," ")</f>
        <v xml:space="preserve"> </v>
      </c>
      <c r="L25" s="144" t="str">
        <f>IF(Formulario!H33&lt;&gt;"",IF(Formulario!H33=" "," ",Formulario!H33)," ")</f>
        <v xml:space="preserve"> </v>
      </c>
      <c r="M25" s="144" t="str">
        <f>IF(Formulario!I33&lt;&gt;"",IF(Formulario!I33=" "," ",Formulario!I33)," ")</f>
        <v xml:space="preserve"> </v>
      </c>
      <c r="N25" s="145" t="str">
        <f>IF(Formulario!J33&lt;&gt;"",IF(Formulario!J33=" "," ",Formulario!J33),IF(G25=".",".","Falta Fecha"))</f>
        <v>.</v>
      </c>
      <c r="O25" s="155">
        <f>Formulario!L33</f>
        <v>0</v>
      </c>
      <c r="P25" s="146">
        <f>IF(O25=1,"09:00",Formulario!M33)</f>
        <v>0</v>
      </c>
      <c r="Q25" s="146">
        <f>IF(O25=1,"18:30",Formulario!N33)</f>
        <v>0</v>
      </c>
      <c r="R25" s="146" t="str">
        <f>IF(Formulario!O33&lt;&gt;"",IF(Formulario!O33=" ",".",Formulario!O33),".")</f>
        <v>Post Venta</v>
      </c>
      <c r="S25" s="141" t="s">
        <v>131</v>
      </c>
    </row>
    <row r="26" spans="1:19">
      <c r="A26" s="141" t="str">
        <f>Formulario!B34</f>
        <v/>
      </c>
      <c r="B26" s="144" t="str">
        <f>IF(G26="."," ",Formulario!D$5)</f>
        <v xml:space="preserve"> </v>
      </c>
      <c r="C26" s="144" t="str">
        <f>IF(G26=".","",Formulario!D$6)</f>
        <v/>
      </c>
      <c r="D26" s="144" t="str">
        <f>IF(H26=".","",Formulario!D$7)</f>
        <v/>
      </c>
      <c r="E26" s="144" t="str">
        <f>IF(G26=".","",Formulario!J$5)</f>
        <v/>
      </c>
      <c r="F26" s="145" t="str">
        <f>IF(G26=".","",Formulario!J$6)</f>
        <v/>
      </c>
      <c r="G26" s="180" t="str">
        <f>IF(Formulario!C34&lt;&gt;"",IF(Formulario!C34=" ","Falta Depto",IF(H26=".","Error En Descripción",Formulario!C34)),IF(H26=".",".","Falta Datos"))</f>
        <v>.</v>
      </c>
      <c r="H26" s="144" t="str">
        <f>IF(Formulario!D34&lt;&gt;"",IF(Formulario!D34=" ",".",Formulario!D34),".")</f>
        <v>.</v>
      </c>
      <c r="I26" s="144" t="str">
        <f>IF(Formulario!E34&lt;&gt;"",IF(Formulario!E34=" "," ",Formulario!E34),IF(G26=".",".","Falta Propietario"))</f>
        <v>.</v>
      </c>
      <c r="J26" s="144" t="str">
        <f>IF(Formulario!F34&lt;&gt;"",IF(Formulario!F34=" "," ",Formulario!F34)," ")</f>
        <v xml:space="preserve"> </v>
      </c>
      <c r="K26" s="144" t="str">
        <f>IF(Formulario!G34&lt;&gt;"",IF(Formulario!G34=" "," ",Formulario!G34)," ")</f>
        <v xml:space="preserve"> </v>
      </c>
      <c r="L26" s="144" t="str">
        <f>IF(Formulario!H34&lt;&gt;"",IF(Formulario!H34=" "," ",Formulario!H34)," ")</f>
        <v xml:space="preserve"> </v>
      </c>
      <c r="M26" s="144" t="str">
        <f>IF(Formulario!I34&lt;&gt;"",IF(Formulario!I34=" "," ",Formulario!I34)," ")</f>
        <v xml:space="preserve"> </v>
      </c>
      <c r="N26" s="145" t="str">
        <f>IF(Formulario!J34&lt;&gt;"",IF(Formulario!J34=" "," ",Formulario!J34),IF(G26=".",".","Falta Fecha"))</f>
        <v>.</v>
      </c>
      <c r="O26" s="155">
        <f>Formulario!L34</f>
        <v>0</v>
      </c>
      <c r="P26" s="146">
        <f>IF(O26=1,"09:00",Formulario!M34)</f>
        <v>0</v>
      </c>
      <c r="Q26" s="146">
        <f>IF(O26=1,"18:30",Formulario!N34)</f>
        <v>0</v>
      </c>
      <c r="R26" s="146" t="str">
        <f>IF(Formulario!O34&lt;&gt;"",IF(Formulario!O34=" ",".",Formulario!O34),".")</f>
        <v>Post Venta</v>
      </c>
      <c r="S26" s="141" t="s">
        <v>131</v>
      </c>
    </row>
    <row r="27" spans="1:19">
      <c r="A27" s="141" t="str">
        <f>Formulario!B35</f>
        <v/>
      </c>
      <c r="B27" s="144" t="str">
        <f>IF(G27="."," ",Formulario!D$5)</f>
        <v xml:space="preserve"> </v>
      </c>
      <c r="C27" s="144" t="str">
        <f>IF(G27=".","",Formulario!D$6)</f>
        <v/>
      </c>
      <c r="D27" s="144" t="str">
        <f>IF(H27=".","",Formulario!D$7)</f>
        <v/>
      </c>
      <c r="E27" s="144" t="str">
        <f>IF(G27=".","",Formulario!J$5)</f>
        <v/>
      </c>
      <c r="F27" s="145" t="str">
        <f>IF(G27=".","",Formulario!J$6)</f>
        <v/>
      </c>
      <c r="G27" s="180" t="str">
        <f>IF(Formulario!C35&lt;&gt;"",IF(Formulario!C35=" ","Falta Depto",IF(H27=".","Error En Descripción",Formulario!C35)),IF(H27=".",".","Falta Datos"))</f>
        <v>.</v>
      </c>
      <c r="H27" s="144" t="str">
        <f>IF(Formulario!D35&lt;&gt;"",IF(Formulario!D35=" ",".",Formulario!D35),".")</f>
        <v>.</v>
      </c>
      <c r="I27" s="144" t="str">
        <f>IF(Formulario!E35&lt;&gt;"",IF(Formulario!E35=" "," ",Formulario!E35),IF(G27=".",".","Falta Propietario"))</f>
        <v>.</v>
      </c>
      <c r="J27" s="144" t="str">
        <f>IF(Formulario!F35&lt;&gt;"",IF(Formulario!F35=" "," ",Formulario!F35)," ")</f>
        <v xml:space="preserve"> </v>
      </c>
      <c r="K27" s="144" t="str">
        <f>IF(Formulario!G35&lt;&gt;"",IF(Formulario!G35=" "," ",Formulario!G35)," ")</f>
        <v xml:space="preserve"> </v>
      </c>
      <c r="L27" s="144" t="str">
        <f>IF(Formulario!H35&lt;&gt;"",IF(Formulario!H35=" "," ",Formulario!H35)," ")</f>
        <v xml:space="preserve"> </v>
      </c>
      <c r="M27" s="144" t="str">
        <f>IF(Formulario!I35&lt;&gt;"",IF(Formulario!I35=" "," ",Formulario!I35)," ")</f>
        <v xml:space="preserve"> </v>
      </c>
      <c r="N27" s="145" t="str">
        <f>IF(Formulario!J35&lt;&gt;"",IF(Formulario!J35=" "," ",Formulario!J35),IF(G27=".",".","Falta Fecha"))</f>
        <v>.</v>
      </c>
      <c r="O27" s="155">
        <f>Formulario!L35</f>
        <v>0</v>
      </c>
      <c r="P27" s="146">
        <f>IF(O27=1,"09:00",Formulario!M35)</f>
        <v>0</v>
      </c>
      <c r="Q27" s="146">
        <f>IF(O27=1,"18:30",Formulario!N35)</f>
        <v>0</v>
      </c>
      <c r="R27" s="146" t="str">
        <f>IF(Formulario!O35&lt;&gt;"",IF(Formulario!O35=" ",".",Formulario!O35),".")</f>
        <v>Post Venta</v>
      </c>
      <c r="S27" s="141" t="s">
        <v>131</v>
      </c>
    </row>
    <row r="28" spans="1:19">
      <c r="A28" s="141" t="str">
        <f>Formulario!B36</f>
        <v/>
      </c>
      <c r="B28" s="144" t="str">
        <f>IF(G28="."," ",Formulario!D$5)</f>
        <v xml:space="preserve"> </v>
      </c>
      <c r="C28" s="144" t="str">
        <f>IF(G28=".","",Formulario!D$6)</f>
        <v/>
      </c>
      <c r="D28" s="144" t="str">
        <f>IF(H28=".","",Formulario!D$7)</f>
        <v/>
      </c>
      <c r="E28" s="144" t="str">
        <f>IF(G28=".","",Formulario!J$5)</f>
        <v/>
      </c>
      <c r="F28" s="145" t="str">
        <f>IF(G28=".","",Formulario!J$6)</f>
        <v/>
      </c>
      <c r="G28" s="180" t="str">
        <f>IF(Formulario!C36&lt;&gt;"",IF(Formulario!C36=" ","Falta Depto",IF(H28=".","Error En Descripción",Formulario!C36)),IF(H28=".",".","Falta Datos"))</f>
        <v>.</v>
      </c>
      <c r="H28" s="144" t="str">
        <f>IF(Formulario!D36&lt;&gt;"",IF(Formulario!D36=" ",".",Formulario!D36),".")</f>
        <v>.</v>
      </c>
      <c r="I28" s="144" t="str">
        <f>IF(Formulario!E36&lt;&gt;"",IF(Formulario!E36=" "," ",Formulario!E36),IF(G28=".",".","Falta Propietario"))</f>
        <v>.</v>
      </c>
      <c r="J28" s="144" t="str">
        <f>IF(Formulario!F36&lt;&gt;"",IF(Formulario!F36=" "," ",Formulario!F36)," ")</f>
        <v xml:space="preserve"> </v>
      </c>
      <c r="K28" s="144" t="str">
        <f>IF(Formulario!G36&lt;&gt;"",IF(Formulario!G36=" "," ",Formulario!G36)," ")</f>
        <v xml:space="preserve"> </v>
      </c>
      <c r="L28" s="144" t="str">
        <f>IF(Formulario!H36&lt;&gt;"",IF(Formulario!H36=" "," ",Formulario!H36)," ")</f>
        <v xml:space="preserve"> </v>
      </c>
      <c r="M28" s="144" t="str">
        <f>IF(Formulario!I36&lt;&gt;"",IF(Formulario!I36=" "," ",Formulario!I36)," ")</f>
        <v xml:space="preserve"> </v>
      </c>
      <c r="N28" s="145" t="str">
        <f>IF(Formulario!J36&lt;&gt;"",IF(Formulario!J36=" "," ",Formulario!J36),IF(G28=".",".","Falta Fecha"))</f>
        <v>.</v>
      </c>
      <c r="O28" s="155">
        <f>Formulario!L36</f>
        <v>0</v>
      </c>
      <c r="P28" s="146">
        <f>IF(O28=1,"09:00",Formulario!M36)</f>
        <v>0</v>
      </c>
      <c r="Q28" s="146">
        <f>IF(O28=1,"18:30",Formulario!N36)</f>
        <v>0</v>
      </c>
      <c r="R28" s="146" t="str">
        <f>IF(Formulario!O36&lt;&gt;"",IF(Formulario!O36=" ",".",Formulario!O36),".")</f>
        <v>Post Venta</v>
      </c>
      <c r="S28" s="141" t="s">
        <v>131</v>
      </c>
    </row>
    <row r="29" spans="1:19">
      <c r="A29" s="141" t="str">
        <f>Formulario!B37</f>
        <v/>
      </c>
      <c r="B29" s="144" t="str">
        <f>IF(G29="."," ",Formulario!D$5)</f>
        <v xml:space="preserve"> </v>
      </c>
      <c r="C29" s="144" t="str">
        <f>IF(G29=".","",Formulario!D$6)</f>
        <v/>
      </c>
      <c r="D29" s="144" t="str">
        <f>IF(H29=".","",Formulario!D$7)</f>
        <v/>
      </c>
      <c r="E29" s="144" t="str">
        <f>IF(G29=".","",Formulario!J$5)</f>
        <v/>
      </c>
      <c r="F29" s="145" t="str">
        <f>IF(G29=".","",Formulario!J$6)</f>
        <v/>
      </c>
      <c r="G29" s="180" t="str">
        <f>IF(Formulario!C37&lt;&gt;"",IF(Formulario!C37=" ","Falta Depto",IF(H29=".","Error En Descripción",Formulario!C37)),IF(H29=".",".","Falta Datos"))</f>
        <v>.</v>
      </c>
      <c r="H29" s="144" t="str">
        <f>IF(Formulario!D37&lt;&gt;"",IF(Formulario!D37=" ",".",Formulario!D37),".")</f>
        <v>.</v>
      </c>
      <c r="I29" s="144" t="str">
        <f>IF(Formulario!E37&lt;&gt;"",IF(Formulario!E37=" "," ",Formulario!E37),IF(G29=".",".","Falta Propietario"))</f>
        <v>.</v>
      </c>
      <c r="J29" s="144" t="str">
        <f>IF(Formulario!F37&lt;&gt;"",IF(Formulario!F37=" "," ",Formulario!F37)," ")</f>
        <v xml:space="preserve"> </v>
      </c>
      <c r="K29" s="144" t="str">
        <f>IF(Formulario!G37&lt;&gt;"",IF(Formulario!G37=" "," ",Formulario!G37)," ")</f>
        <v xml:space="preserve"> </v>
      </c>
      <c r="L29" s="144" t="str">
        <f>IF(Formulario!H37&lt;&gt;"",IF(Formulario!H37=" "," ",Formulario!H37)," ")</f>
        <v xml:space="preserve"> </v>
      </c>
      <c r="M29" s="144" t="str">
        <f>IF(Formulario!I37&lt;&gt;"",IF(Formulario!I37=" "," ",Formulario!I37)," ")</f>
        <v xml:space="preserve"> </v>
      </c>
      <c r="N29" s="145" t="str">
        <f>IF(Formulario!J37&lt;&gt;"",IF(Formulario!J37=" "," ",Formulario!J37),IF(G29=".",".","Falta Fecha"))</f>
        <v>.</v>
      </c>
      <c r="O29" s="155">
        <f>Formulario!L37</f>
        <v>0</v>
      </c>
      <c r="P29" s="146">
        <f>IF(O29=1,"09:00",Formulario!M37)</f>
        <v>0.4375</v>
      </c>
      <c r="Q29" s="146">
        <f>IF(O29=1,"18:30",Formulario!N37)</f>
        <v>0.47916666666666669</v>
      </c>
      <c r="R29" s="146" t="str">
        <f>IF(Formulario!O37&lt;&gt;"",IF(Formulario!O37=" ",".",Formulario!O37),".")</f>
        <v>Post Venta</v>
      </c>
      <c r="S29" s="141" t="s">
        <v>131</v>
      </c>
    </row>
    <row r="30" spans="1:19">
      <c r="A30" s="141" t="str">
        <f>Formulario!B38</f>
        <v/>
      </c>
      <c r="B30" s="144" t="str">
        <f>IF(G30="."," ",Formulario!D$5)</f>
        <v xml:space="preserve"> </v>
      </c>
      <c r="C30" s="144" t="str">
        <f>IF(G30=".","",Formulario!D$6)</f>
        <v/>
      </c>
      <c r="D30" s="144" t="str">
        <f>IF(H30=".","",Formulario!D$7)</f>
        <v/>
      </c>
      <c r="E30" s="144" t="str">
        <f>IF(G30=".","",Formulario!J$5)</f>
        <v/>
      </c>
      <c r="F30" s="145" t="str">
        <f>IF(G30=".","",Formulario!J$6)</f>
        <v/>
      </c>
      <c r="G30" s="180" t="str">
        <f>IF(Formulario!C38&lt;&gt;"",IF(Formulario!C38=" ","Falta Depto",IF(H30=".","Error En Descripción",Formulario!C38)),IF(H30=".",".","Falta Datos"))</f>
        <v>.</v>
      </c>
      <c r="H30" s="144" t="str">
        <f>IF(Formulario!D38&lt;&gt;"",IF(Formulario!D38=" ",".",Formulario!D38),".")</f>
        <v>.</v>
      </c>
      <c r="I30" s="144" t="str">
        <f>IF(Formulario!E38&lt;&gt;"",IF(Formulario!E38=" "," ",Formulario!E38),IF(G30=".",".","Falta Propietario"))</f>
        <v>.</v>
      </c>
      <c r="J30" s="144" t="str">
        <f>IF(Formulario!F38&lt;&gt;"",IF(Formulario!F38=" "," ",Formulario!F38)," ")</f>
        <v xml:space="preserve"> </v>
      </c>
      <c r="K30" s="144" t="str">
        <f>IF(Formulario!G38&lt;&gt;"",IF(Formulario!G38=" "," ",Formulario!G38)," ")</f>
        <v xml:space="preserve"> </v>
      </c>
      <c r="L30" s="144" t="str">
        <f>IF(Formulario!H38&lt;&gt;"",IF(Formulario!H38=" "," ",Formulario!H38)," ")</f>
        <v xml:space="preserve"> </v>
      </c>
      <c r="M30" s="144" t="str">
        <f>IF(Formulario!I38&lt;&gt;"",IF(Formulario!I38=" "," ",Formulario!I38)," ")</f>
        <v xml:space="preserve"> </v>
      </c>
      <c r="N30" s="145" t="str">
        <f>IF(Formulario!J38&lt;&gt;"",IF(Formulario!J38=" "," ",Formulario!J38),IF(G30=".",".","Falta Fecha"))</f>
        <v>.</v>
      </c>
      <c r="O30" s="155">
        <f>Formulario!L38</f>
        <v>0</v>
      </c>
      <c r="P30" s="146">
        <f>IF(O30=1,"09:00",Formulario!M38)</f>
        <v>0.6875</v>
      </c>
      <c r="Q30" s="146">
        <f>IF(O30=1,"18:30",Formulario!N38)</f>
        <v>0.77083333333333337</v>
      </c>
      <c r="R30" s="146" t="str">
        <f>IF(Formulario!O38&lt;&gt;"",IF(Formulario!O38=" ",".",Formulario!O38),".")</f>
        <v>Post Venta</v>
      </c>
      <c r="S30" s="141" t="s">
        <v>131</v>
      </c>
    </row>
    <row r="31" spans="1:19">
      <c r="A31" s="141" t="str">
        <f>Formulario!B39</f>
        <v/>
      </c>
      <c r="B31" s="144" t="str">
        <f>IF(G31="."," ",Formulario!D$5)</f>
        <v xml:space="preserve"> </v>
      </c>
      <c r="C31" s="144" t="str">
        <f>IF(G31=".","",Formulario!D$6)</f>
        <v/>
      </c>
      <c r="D31" s="144" t="str">
        <f>IF(H31=".","",Formulario!D$7)</f>
        <v/>
      </c>
      <c r="E31" s="144" t="str">
        <f>IF(G31=".","",Formulario!J$5)</f>
        <v/>
      </c>
      <c r="F31" s="145" t="str">
        <f>IF(G31=".","",Formulario!J$6)</f>
        <v/>
      </c>
      <c r="G31" s="180" t="str">
        <f>IF(Formulario!C39&lt;&gt;"",IF(Formulario!C39=" ","Falta Depto",IF(H31=".","Error En Descripción",Formulario!C39)),IF(H31=".",".","Falta Datos"))</f>
        <v>.</v>
      </c>
      <c r="H31" s="144" t="str">
        <f>IF(Formulario!D39&lt;&gt;"",IF(Formulario!D39=" ",".",Formulario!D39),".")</f>
        <v>.</v>
      </c>
      <c r="I31" s="144" t="str">
        <f>IF(Formulario!E39&lt;&gt;"",IF(Formulario!E39=" "," ",Formulario!E39),IF(G31=".",".","Falta Propietario"))</f>
        <v>.</v>
      </c>
      <c r="J31" s="144" t="str">
        <f>IF(Formulario!F39&lt;&gt;"",IF(Formulario!F39=" "," ",Formulario!F39)," ")</f>
        <v xml:space="preserve"> </v>
      </c>
      <c r="K31" s="144" t="str">
        <f>IF(Formulario!G39&lt;&gt;"",IF(Formulario!G39=" "," ",Formulario!G39)," ")</f>
        <v xml:space="preserve"> </v>
      </c>
      <c r="L31" s="144" t="str">
        <f>IF(Formulario!H39&lt;&gt;"",IF(Formulario!H39=" "," ",Formulario!H39)," ")</f>
        <v xml:space="preserve"> </v>
      </c>
      <c r="M31" s="144" t="str">
        <f>IF(Formulario!I39&lt;&gt;"",IF(Formulario!I39=" "," ",Formulario!I39)," ")</f>
        <v xml:space="preserve"> </v>
      </c>
      <c r="N31" s="145" t="str">
        <f>IF(Formulario!J39&lt;&gt;"",IF(Formulario!J39=" "," ",Formulario!J39),IF(G31=".",".","Falta Fecha"))</f>
        <v>.</v>
      </c>
      <c r="O31" s="155">
        <f>Formulario!L39</f>
        <v>0</v>
      </c>
      <c r="P31" s="146">
        <f>IF(O31=1,"09:00",Formulario!M39)</f>
        <v>0.4375</v>
      </c>
      <c r="Q31" s="146">
        <f>IF(O31=1,"18:30",Formulario!N39)</f>
        <v>0.47916666666666669</v>
      </c>
      <c r="R31" s="146" t="str">
        <f>IF(Formulario!O39&lt;&gt;"",IF(Formulario!O39=" ",".",Formulario!O39),".")</f>
        <v>Post Venta</v>
      </c>
      <c r="S31" s="141" t="s">
        <v>131</v>
      </c>
    </row>
    <row r="32" spans="1:19">
      <c r="A32" s="141" t="str">
        <f>Formulario!B40</f>
        <v/>
      </c>
      <c r="B32" s="144" t="str">
        <f>IF(G32="."," ",Formulario!D$5)</f>
        <v xml:space="preserve"> </v>
      </c>
      <c r="C32" s="144" t="str">
        <f>IF(G32=".","",Formulario!D$6)</f>
        <v/>
      </c>
      <c r="D32" s="144" t="str">
        <f>IF(H32=".","",Formulario!D$7)</f>
        <v/>
      </c>
      <c r="E32" s="144" t="str">
        <f>IF(G32=".","",Formulario!J$5)</f>
        <v/>
      </c>
      <c r="F32" s="145" t="str">
        <f>IF(G32=".","",Formulario!J$6)</f>
        <v/>
      </c>
      <c r="G32" s="180" t="str">
        <f>IF(Formulario!C40&lt;&gt;"",IF(Formulario!C40=" ","Falta Depto",IF(H32=".","Error En Descripción",Formulario!C40)),IF(H32=".",".","Falta Datos"))</f>
        <v>.</v>
      </c>
      <c r="H32" s="144" t="str">
        <f>IF(Formulario!D40&lt;&gt;"",IF(Formulario!D40=" ",".",Formulario!D40),".")</f>
        <v>.</v>
      </c>
      <c r="I32" s="144" t="str">
        <f>IF(Formulario!E40&lt;&gt;"",IF(Formulario!E40=" "," ",Formulario!E40),IF(G32=".",".","Falta Propietario"))</f>
        <v>.</v>
      </c>
      <c r="J32" s="144" t="str">
        <f>IF(Formulario!F40&lt;&gt;"",IF(Formulario!F40=" "," ",Formulario!F40)," ")</f>
        <v xml:space="preserve"> </v>
      </c>
      <c r="K32" s="144" t="str">
        <f>IF(Formulario!G40&lt;&gt;"",IF(Formulario!G40=" "," ",Formulario!G40)," ")</f>
        <v xml:space="preserve"> </v>
      </c>
      <c r="L32" s="144" t="str">
        <f>IF(Formulario!H40&lt;&gt;"",IF(Formulario!H40=" "," ",Formulario!H40)," ")</f>
        <v xml:space="preserve"> </v>
      </c>
      <c r="M32" s="144" t="str">
        <f>IF(Formulario!I40&lt;&gt;"",IF(Formulario!I40=" "," ",Formulario!I40)," ")</f>
        <v xml:space="preserve"> </v>
      </c>
      <c r="N32" s="145" t="str">
        <f>IF(Formulario!J40&lt;&gt;"",IF(Formulario!J40=" "," ",Formulario!J40),IF(G32=".",".","Falta Fecha"))</f>
        <v>.</v>
      </c>
      <c r="O32" s="155">
        <f>Formulario!L40</f>
        <v>0</v>
      </c>
      <c r="P32" s="146">
        <f>IF(O32=1,"09:00",Formulario!M40)</f>
        <v>0.4375</v>
      </c>
      <c r="Q32" s="146">
        <f>IF(O32=1,"18:30",Formulario!N40)</f>
        <v>0.47916666666666669</v>
      </c>
      <c r="R32" s="146" t="str">
        <f>IF(Formulario!O40&lt;&gt;"",IF(Formulario!O40=" ",".",Formulario!O40),".")</f>
        <v>Post Venta</v>
      </c>
      <c r="S32" s="141" t="s">
        <v>131</v>
      </c>
    </row>
    <row r="33" spans="1:19">
      <c r="A33" s="141" t="str">
        <f>Formulario!B41</f>
        <v/>
      </c>
      <c r="B33" s="144" t="str">
        <f>IF(G33="."," ",Formulario!D$5)</f>
        <v xml:space="preserve"> </v>
      </c>
      <c r="C33" s="144" t="str">
        <f>IF(G33=".","",Formulario!D$6)</f>
        <v/>
      </c>
      <c r="D33" s="144" t="str">
        <f>IF(H33=".","",Formulario!D$7)</f>
        <v/>
      </c>
      <c r="E33" s="144" t="str">
        <f>IF(G33=".","",Formulario!J$5)</f>
        <v/>
      </c>
      <c r="F33" s="145" t="str">
        <f>IF(G33=".","",Formulario!J$6)</f>
        <v/>
      </c>
      <c r="G33" s="180" t="str">
        <f>IF(Formulario!C41&lt;&gt;"",IF(Formulario!C41=" ","Falta Depto",IF(H33=".","Error En Descripción",Formulario!C41)),IF(H33=".",".","Falta Datos"))</f>
        <v>.</v>
      </c>
      <c r="H33" s="144" t="str">
        <f>IF(Formulario!D41&lt;&gt;"",IF(Formulario!D41=" ",".",Formulario!D41),".")</f>
        <v>.</v>
      </c>
      <c r="I33" s="144" t="str">
        <f>IF(Formulario!E41&lt;&gt;"",IF(Formulario!E41=" "," ",Formulario!E41),IF(G33=".",".","Falta Propietario"))</f>
        <v>.</v>
      </c>
      <c r="J33" s="144" t="str">
        <f>IF(Formulario!F41&lt;&gt;"",IF(Formulario!F41=" "," ",Formulario!F41)," ")</f>
        <v xml:space="preserve"> </v>
      </c>
      <c r="K33" s="144" t="str">
        <f>IF(Formulario!G41&lt;&gt;"",IF(Formulario!G41=" "," ",Formulario!G41)," ")</f>
        <v xml:space="preserve"> </v>
      </c>
      <c r="L33" s="144" t="str">
        <f>IF(Formulario!H41&lt;&gt;"",IF(Formulario!H41=" "," ",Formulario!H41)," ")</f>
        <v xml:space="preserve"> </v>
      </c>
      <c r="M33" s="144" t="str">
        <f>IF(Formulario!I41&lt;&gt;"",IF(Formulario!I41=" "," ",Formulario!I41)," ")</f>
        <v xml:space="preserve"> </v>
      </c>
      <c r="N33" s="145" t="str">
        <f>IF(Formulario!J41&lt;&gt;"",IF(Formulario!J41=" "," ",Formulario!J41),IF(G33=".",".","Falta Fecha"))</f>
        <v>.</v>
      </c>
      <c r="O33" s="155">
        <f>Formulario!L41</f>
        <v>0</v>
      </c>
      <c r="P33" s="146">
        <f>IF(O33=1,"09:00",Formulario!M41)</f>
        <v>0.4375</v>
      </c>
      <c r="Q33" s="146">
        <f>IF(O33=1,"18:30",Formulario!N41)</f>
        <v>0.47916666666666669</v>
      </c>
      <c r="R33" s="146" t="str">
        <f>IF(Formulario!O41&lt;&gt;"",IF(Formulario!O41=" ",".",Formulario!O41),".")</f>
        <v>Post Venta</v>
      </c>
      <c r="S33" s="141" t="s">
        <v>131</v>
      </c>
    </row>
    <row r="34" spans="1:19">
      <c r="A34" s="141" t="str">
        <f>Formulario!B42</f>
        <v/>
      </c>
      <c r="B34" s="144" t="str">
        <f>IF(G34="."," ",Formulario!D$5)</f>
        <v xml:space="preserve"> </v>
      </c>
      <c r="C34" s="144" t="str">
        <f>IF(G34=".","",Formulario!D$6)</f>
        <v/>
      </c>
      <c r="D34" s="144" t="str">
        <f>IF(H34=".","",Formulario!D$7)</f>
        <v/>
      </c>
      <c r="E34" s="144" t="str">
        <f>IF(G34=".","",Formulario!J$5)</f>
        <v/>
      </c>
      <c r="F34" s="145" t="str">
        <f>IF(G34=".","",Formulario!J$6)</f>
        <v/>
      </c>
      <c r="G34" s="180" t="str">
        <f>IF(Formulario!C42&lt;&gt;"",IF(Formulario!C42=" ","Falta Depto",IF(H34=".","Error En Descripción",Formulario!C42)),IF(H34=".",".","Falta Datos"))</f>
        <v>.</v>
      </c>
      <c r="H34" s="144" t="str">
        <f>IF(Formulario!D42&lt;&gt;"",IF(Formulario!D42=" ",".",Formulario!D42),".")</f>
        <v>.</v>
      </c>
      <c r="I34" s="144" t="str">
        <f>IF(Formulario!E42&lt;&gt;"",IF(Formulario!E42=" "," ",Formulario!E42),IF(G34=".",".","Falta Propietario"))</f>
        <v>.</v>
      </c>
      <c r="J34" s="144" t="str">
        <f>IF(Formulario!F42&lt;&gt;"",IF(Formulario!F42=" "," ",Formulario!F42)," ")</f>
        <v xml:space="preserve"> </v>
      </c>
      <c r="K34" s="144" t="str">
        <f>IF(Formulario!G42&lt;&gt;"",IF(Formulario!G42=" "," ",Formulario!G42)," ")</f>
        <v xml:space="preserve"> </v>
      </c>
      <c r="L34" s="144" t="str">
        <f>IF(Formulario!H42&lt;&gt;"",IF(Formulario!H42=" "," ",Formulario!H42)," ")</f>
        <v xml:space="preserve"> </v>
      </c>
      <c r="M34" s="144" t="str">
        <f>IF(Formulario!I42&lt;&gt;"",IF(Formulario!I42=" "," ",Formulario!I42)," ")</f>
        <v xml:space="preserve"> </v>
      </c>
      <c r="N34" s="145" t="str">
        <f>IF(Formulario!J42&lt;&gt;"",IF(Formulario!J42=" "," ",Formulario!J42),IF(G34=".",".","Falta Fecha"))</f>
        <v>.</v>
      </c>
      <c r="O34" s="155">
        <f>Formulario!L42</f>
        <v>0</v>
      </c>
      <c r="P34" s="146">
        <f>IF(O34=1,"09:00",Formulario!M42)</f>
        <v>0.70833333333333337</v>
      </c>
      <c r="Q34" s="146">
        <f>IF(O34=1,"18:30",Formulario!N42)</f>
        <v>0.72916666666666663</v>
      </c>
      <c r="R34" s="146" t="str">
        <f>IF(Formulario!O42&lt;&gt;"",IF(Formulario!O42=" ",".",Formulario!O42),".")</f>
        <v>Post Venta</v>
      </c>
      <c r="S34" s="141" t="s">
        <v>131</v>
      </c>
    </row>
    <row r="35" spans="1:19">
      <c r="A35" s="141" t="str">
        <f>Formulario!B43</f>
        <v/>
      </c>
      <c r="B35" s="144" t="str">
        <f>IF(G35="."," ",Formulario!D$5)</f>
        <v xml:space="preserve"> </v>
      </c>
      <c r="C35" s="144" t="str">
        <f>IF(G35=".","",Formulario!D$6)</f>
        <v/>
      </c>
      <c r="D35" s="144" t="str">
        <f>IF(H35=".","",Formulario!D$7)</f>
        <v/>
      </c>
      <c r="E35" s="144" t="str">
        <f>IF(G35=".","",Formulario!J$5)</f>
        <v/>
      </c>
      <c r="F35" s="145" t="str">
        <f>IF(G35=".","",Formulario!J$6)</f>
        <v/>
      </c>
      <c r="G35" s="180" t="str">
        <f>IF(Formulario!C43&lt;&gt;"",IF(Formulario!C43=" ","Falta Depto",IF(H35=".","Error En Descripción",Formulario!C43)),IF(H35=".",".","Falta Datos"))</f>
        <v>.</v>
      </c>
      <c r="H35" s="144" t="str">
        <f>IF(Formulario!D43&lt;&gt;"",IF(Formulario!D43=" ",".",Formulario!D43),".")</f>
        <v>.</v>
      </c>
      <c r="I35" s="144" t="str">
        <f>IF(Formulario!E43&lt;&gt;"",IF(Formulario!E43=" "," ",Formulario!E43),IF(G35=".",".","Falta Propietario"))</f>
        <v>.</v>
      </c>
      <c r="J35" s="144" t="str">
        <f>IF(Formulario!F43&lt;&gt;"",IF(Formulario!F43=" "," ",Formulario!F43)," ")</f>
        <v xml:space="preserve"> </v>
      </c>
      <c r="K35" s="144" t="str">
        <f>IF(Formulario!G43&lt;&gt;"",IF(Formulario!G43=" "," ",Formulario!G43)," ")</f>
        <v xml:space="preserve"> </v>
      </c>
      <c r="L35" s="144" t="str">
        <f>IF(Formulario!H43&lt;&gt;"",IF(Formulario!H43=" "," ",Formulario!H43)," ")</f>
        <v xml:space="preserve"> </v>
      </c>
      <c r="M35" s="144" t="str">
        <f>IF(Formulario!I43&lt;&gt;"",IF(Formulario!I43=" "," ",Formulario!I43)," ")</f>
        <v xml:space="preserve"> </v>
      </c>
      <c r="N35" s="145" t="str">
        <f>IF(Formulario!J43&lt;&gt;"",IF(Formulario!J43=" "," ",Formulario!J43),IF(G35=".",".","Falta Fecha"))</f>
        <v>.</v>
      </c>
      <c r="O35" s="155">
        <f>Formulario!L43</f>
        <v>0</v>
      </c>
      <c r="P35" s="146">
        <f>IF(O35=1,"09:00",Formulario!M43)</f>
        <v>0.4375</v>
      </c>
      <c r="Q35" s="146">
        <f>IF(O35=1,"18:30",Formulario!N43)</f>
        <v>0.47916666666666669</v>
      </c>
      <c r="R35" s="146" t="str">
        <f>IF(Formulario!O43&lt;&gt;"",IF(Formulario!O43=" ",".",Formulario!O43),".")</f>
        <v>Post Venta</v>
      </c>
      <c r="S35" s="141" t="s">
        <v>131</v>
      </c>
    </row>
    <row r="36" spans="1:19">
      <c r="A36" s="141" t="str">
        <f>Formulario!B44</f>
        <v/>
      </c>
      <c r="B36" s="144" t="str">
        <f>IF(G36="."," ",Formulario!D$5)</f>
        <v xml:space="preserve"> </v>
      </c>
      <c r="C36" s="144" t="str">
        <f>IF(G36=".","",Formulario!D$6)</f>
        <v/>
      </c>
      <c r="D36" s="144" t="str">
        <f>IF(H36=".","",Formulario!D$7)</f>
        <v/>
      </c>
      <c r="E36" s="144" t="str">
        <f>IF(G36=".","",Formulario!J$5)</f>
        <v/>
      </c>
      <c r="F36" s="145" t="str">
        <f>IF(G36=".","",Formulario!J$6)</f>
        <v/>
      </c>
      <c r="G36" s="180" t="str">
        <f>IF(Formulario!C44&lt;&gt;"",IF(Formulario!C44=" ","Falta Depto",IF(H36=".","Error En Descripción",Formulario!C44)),IF(H36=".",".","Falta Datos"))</f>
        <v>.</v>
      </c>
      <c r="H36" s="144" t="str">
        <f>IF(Formulario!D44&lt;&gt;"",IF(Formulario!D44=" ",".",Formulario!D44),".")</f>
        <v>.</v>
      </c>
      <c r="I36" s="144" t="str">
        <f>IF(Formulario!E44&lt;&gt;"",IF(Formulario!E44=" "," ",Formulario!E44),IF(G36=".",".","Falta Propietario"))</f>
        <v>.</v>
      </c>
      <c r="J36" s="144" t="str">
        <f>IF(Formulario!F44&lt;&gt;"",IF(Formulario!F44=" "," ",Formulario!F44)," ")</f>
        <v xml:space="preserve"> </v>
      </c>
      <c r="K36" s="144" t="str">
        <f>IF(Formulario!G44&lt;&gt;"",IF(Formulario!G44=" "," ",Formulario!G44)," ")</f>
        <v xml:space="preserve"> </v>
      </c>
      <c r="L36" s="144" t="str">
        <f>IF(Formulario!H44&lt;&gt;"",IF(Formulario!H44=" "," ",Formulario!H44)," ")</f>
        <v xml:space="preserve"> </v>
      </c>
      <c r="M36" s="144" t="str">
        <f>IF(Formulario!I44&lt;&gt;"",IF(Formulario!I44=" "," ",Formulario!I44)," ")</f>
        <v xml:space="preserve"> </v>
      </c>
      <c r="N36" s="145" t="str">
        <f>IF(Formulario!J44&lt;&gt;"",IF(Formulario!J44=" "," ",Formulario!J44),IF(G36=".",".","Falta Fecha"))</f>
        <v>.</v>
      </c>
      <c r="O36" s="155">
        <f>Formulario!L44</f>
        <v>0</v>
      </c>
      <c r="P36" s="146">
        <f>IF(O36=1,"09:00",Formulario!M44)</f>
        <v>0.4375</v>
      </c>
      <c r="Q36" s="146">
        <f>IF(O36=1,"18:30",Formulario!N44)</f>
        <v>0.47916666666666669</v>
      </c>
      <c r="R36" s="146" t="str">
        <f>IF(Formulario!O44&lt;&gt;"",IF(Formulario!O44=" ",".",Formulario!O44),".")</f>
        <v>Post Venta</v>
      </c>
      <c r="S36" s="141" t="s">
        <v>131</v>
      </c>
    </row>
    <row r="37" spans="1:19">
      <c r="A37" s="141" t="str">
        <f>Formulario!B45</f>
        <v/>
      </c>
      <c r="B37" s="144" t="str">
        <f>IF(G37="."," ",Formulario!D$5)</f>
        <v xml:space="preserve"> </v>
      </c>
      <c r="C37" s="144" t="str">
        <f>IF(G37=".","",Formulario!D$6)</f>
        <v/>
      </c>
      <c r="D37" s="144" t="str">
        <f>IF(H37=".","",Formulario!D$7)</f>
        <v/>
      </c>
      <c r="E37" s="144" t="str">
        <f>IF(G37=".","",Formulario!J$5)</f>
        <v/>
      </c>
      <c r="F37" s="145" t="str">
        <f>IF(G37=".","",Formulario!J$6)</f>
        <v/>
      </c>
      <c r="G37" s="180" t="str">
        <f>IF(Formulario!C45&lt;&gt;"",IF(Formulario!C45=" ","Falta Depto",IF(H37=".","Error En Descripción",Formulario!C45)),IF(H37=".",".","Falta Datos"))</f>
        <v>.</v>
      </c>
      <c r="H37" s="144" t="str">
        <f>IF(Formulario!D45&lt;&gt;"",IF(Formulario!D45=" ",".",Formulario!D45),".")</f>
        <v>.</v>
      </c>
      <c r="I37" s="144" t="str">
        <f>IF(Formulario!E45&lt;&gt;"",IF(Formulario!E45=" "," ",Formulario!E45),IF(G37=".",".","Falta Propietario"))</f>
        <v>.</v>
      </c>
      <c r="J37" s="144" t="str">
        <f>IF(Formulario!F45&lt;&gt;"",IF(Formulario!F45=" "," ",Formulario!F45)," ")</f>
        <v xml:space="preserve"> </v>
      </c>
      <c r="K37" s="144" t="str">
        <f>IF(Formulario!G45&lt;&gt;"",IF(Formulario!G45=" "," ",Formulario!G45)," ")</f>
        <v xml:space="preserve"> </v>
      </c>
      <c r="L37" s="144" t="str">
        <f>IF(Formulario!H45&lt;&gt;"",IF(Formulario!H45=" "," ",Formulario!H45)," ")</f>
        <v xml:space="preserve"> </v>
      </c>
      <c r="M37" s="144" t="str">
        <f>IF(Formulario!I45&lt;&gt;"",IF(Formulario!I45=" "," ",Formulario!I45)," ")</f>
        <v xml:space="preserve"> </v>
      </c>
      <c r="N37" s="145" t="str">
        <f>IF(Formulario!J45&lt;&gt;"",IF(Formulario!J45=" "," ",Formulario!J45),IF(G37=".",".","Falta Fecha"))</f>
        <v>.</v>
      </c>
      <c r="O37" s="155">
        <f>Formulario!L45</f>
        <v>0</v>
      </c>
      <c r="P37" s="146">
        <f>IF(O37=1,"09:00",Formulario!M45)</f>
        <v>0</v>
      </c>
      <c r="Q37" s="146">
        <f>IF(O37=1,"18:30",Formulario!N45)</f>
        <v>0</v>
      </c>
      <c r="R37" s="146" t="str">
        <f>IF(Formulario!O45&lt;&gt;"",IF(Formulario!O45=" ",".",Formulario!O45),".")</f>
        <v>Post Venta</v>
      </c>
      <c r="S37" s="141" t="s">
        <v>131</v>
      </c>
    </row>
    <row r="38" spans="1:19">
      <c r="A38" s="141" t="str">
        <f>Formulario!B46</f>
        <v/>
      </c>
      <c r="B38" s="144" t="str">
        <f>IF(G38="."," ",Formulario!D$5)</f>
        <v xml:space="preserve"> </v>
      </c>
      <c r="C38" s="144" t="str">
        <f>IF(G38=".","",Formulario!D$6)</f>
        <v/>
      </c>
      <c r="D38" s="144" t="str">
        <f>IF(H38=".","",Formulario!D$7)</f>
        <v/>
      </c>
      <c r="E38" s="144" t="str">
        <f>IF(G38=".","",Formulario!J$5)</f>
        <v/>
      </c>
      <c r="F38" s="145" t="str">
        <f>IF(G38=".","",Formulario!J$6)</f>
        <v/>
      </c>
      <c r="G38" s="180" t="str">
        <f>IF(Formulario!C46&lt;&gt;"",IF(Formulario!C46=" ","Falta Depto",IF(H38=".","Error En Descripción",Formulario!C46)),IF(H38=".",".","Falta Datos"))</f>
        <v>.</v>
      </c>
      <c r="H38" s="144" t="str">
        <f>IF(Formulario!D46&lt;&gt;"",IF(Formulario!D46=" ",".",Formulario!D46),".")</f>
        <v>.</v>
      </c>
      <c r="I38" s="144" t="str">
        <f>IF(Formulario!E46&lt;&gt;"",IF(Formulario!E46=" "," ",Formulario!E46),IF(G38=".",".","Falta Propietario"))</f>
        <v>.</v>
      </c>
      <c r="J38" s="144" t="str">
        <f>IF(Formulario!F46&lt;&gt;"",IF(Formulario!F46=" "," ",Formulario!F46)," ")</f>
        <v xml:space="preserve"> </v>
      </c>
      <c r="K38" s="144" t="str">
        <f>IF(Formulario!G46&lt;&gt;"",IF(Formulario!G46=" "," ",Formulario!G46)," ")</f>
        <v xml:space="preserve"> </v>
      </c>
      <c r="L38" s="144" t="str">
        <f>IF(Formulario!H46&lt;&gt;"",IF(Formulario!H46=" "," ",Formulario!H46)," ")</f>
        <v xml:space="preserve"> </v>
      </c>
      <c r="M38" s="144" t="str">
        <f>IF(Formulario!I46&lt;&gt;"",IF(Formulario!I46=" "," ",Formulario!I46)," ")</f>
        <v xml:space="preserve"> </v>
      </c>
      <c r="N38" s="145" t="str">
        <f>IF(Formulario!J46&lt;&gt;"",IF(Formulario!J46=" "," ",Formulario!J46),IF(G38=".",".","Falta Fecha"))</f>
        <v>.</v>
      </c>
      <c r="O38" s="155">
        <f>Formulario!L46</f>
        <v>0</v>
      </c>
      <c r="P38" s="146">
        <f>IF(O38=1,"09:00",Formulario!M46)</f>
        <v>0</v>
      </c>
      <c r="Q38" s="146">
        <f>IF(O38=1,"18:30",Formulario!N46)</f>
        <v>0</v>
      </c>
      <c r="R38" s="146" t="str">
        <f>IF(Formulario!O46&lt;&gt;"",IF(Formulario!O46=" ",".",Formulario!O46),".")</f>
        <v>Post Venta</v>
      </c>
      <c r="S38" s="141" t="s">
        <v>131</v>
      </c>
    </row>
    <row r="39" spans="1:19">
      <c r="A39" s="141" t="str">
        <f>Formulario!B47</f>
        <v/>
      </c>
      <c r="B39" s="144" t="str">
        <f>IF(G39="."," ",Formulario!D$5)</f>
        <v xml:space="preserve"> </v>
      </c>
      <c r="C39" s="144" t="str">
        <f>IF(G39=".","",Formulario!D$6)</f>
        <v/>
      </c>
      <c r="D39" s="144" t="str">
        <f>IF(H39=".","",Formulario!D$7)</f>
        <v/>
      </c>
      <c r="E39" s="144" t="str">
        <f>IF(G39=".","",Formulario!J$5)</f>
        <v/>
      </c>
      <c r="F39" s="145" t="str">
        <f>IF(G39=".","",Formulario!J$6)</f>
        <v/>
      </c>
      <c r="G39" s="180" t="str">
        <f>IF(Formulario!C47&lt;&gt;"",IF(Formulario!C47=" ","Falta Depto",IF(H39=".","Error En Descripción",Formulario!C47)),IF(H39=".",".","Falta Datos"))</f>
        <v>.</v>
      </c>
      <c r="H39" s="144" t="str">
        <f>IF(Formulario!D47&lt;&gt;"",IF(Formulario!D47=" ",".",Formulario!D47),".")</f>
        <v>.</v>
      </c>
      <c r="I39" s="144" t="str">
        <f>IF(Formulario!E47&lt;&gt;"",IF(Formulario!E47=" "," ",Formulario!E47),IF(G39=".",".","Falta Propietario"))</f>
        <v>.</v>
      </c>
      <c r="J39" s="144" t="str">
        <f>IF(Formulario!F47&lt;&gt;"",IF(Formulario!F47=" "," ",Formulario!F47)," ")</f>
        <v xml:space="preserve"> </v>
      </c>
      <c r="K39" s="144" t="str">
        <f>IF(Formulario!G47&lt;&gt;"",IF(Formulario!G47=" "," ",Formulario!G47)," ")</f>
        <v xml:space="preserve"> </v>
      </c>
      <c r="L39" s="144" t="str">
        <f>IF(Formulario!H47&lt;&gt;"",IF(Formulario!H47=" "," ",Formulario!H47)," ")</f>
        <v xml:space="preserve"> </v>
      </c>
      <c r="M39" s="144" t="str">
        <f>IF(Formulario!I47&lt;&gt;"",IF(Formulario!I47=" "," ",Formulario!I47)," ")</f>
        <v xml:space="preserve"> </v>
      </c>
      <c r="N39" s="145" t="str">
        <f>IF(Formulario!J47&lt;&gt;"",IF(Formulario!J47=" "," ",Formulario!J47),IF(G39=".",".","Falta Fecha"))</f>
        <v>.</v>
      </c>
      <c r="O39" s="155">
        <f>Formulario!L47</f>
        <v>0</v>
      </c>
      <c r="P39" s="146">
        <f>IF(O39=1,"09:00",Formulario!M47)</f>
        <v>0</v>
      </c>
      <c r="Q39" s="146">
        <f>IF(O39=1,"18:30",Formulario!N47)</f>
        <v>0</v>
      </c>
      <c r="R39" s="146" t="str">
        <f>IF(Formulario!O47&lt;&gt;"",IF(Formulario!O47=" ",".",Formulario!O47),".")</f>
        <v>Post Venta</v>
      </c>
      <c r="S39" s="141" t="s">
        <v>131</v>
      </c>
    </row>
    <row r="40" spans="1:19">
      <c r="A40" s="141" t="str">
        <f>Formulario!B48</f>
        <v/>
      </c>
      <c r="B40" s="144" t="str">
        <f>IF(G40="."," ",Formulario!D$5)</f>
        <v xml:space="preserve"> </v>
      </c>
      <c r="C40" s="144" t="str">
        <f>IF(G40=".","",Formulario!D$6)</f>
        <v/>
      </c>
      <c r="D40" s="144" t="str">
        <f>IF(H40=".","",Formulario!D$7)</f>
        <v/>
      </c>
      <c r="E40" s="144" t="str">
        <f>IF(G40=".","",Formulario!J$5)</f>
        <v/>
      </c>
      <c r="F40" s="145" t="str">
        <f>IF(G40=".","",Formulario!J$6)</f>
        <v/>
      </c>
      <c r="G40" s="180" t="str">
        <f>IF(Formulario!C48&lt;&gt;"",IF(Formulario!C48=" ","Falta Depto",IF(H40=".","Error En Descripción",Formulario!C48)),IF(H40=".",".","Falta Datos"))</f>
        <v>.</v>
      </c>
      <c r="H40" s="144" t="str">
        <f>IF(Formulario!D48&lt;&gt;"",IF(Formulario!D48=" ",".",Formulario!D48),".")</f>
        <v>.</v>
      </c>
      <c r="I40" s="144" t="str">
        <f>IF(Formulario!E48&lt;&gt;"",IF(Formulario!E48=" "," ",Formulario!E48),IF(G40=".",".","Falta Propietario"))</f>
        <v>.</v>
      </c>
      <c r="J40" s="144" t="str">
        <f>IF(Formulario!F48&lt;&gt;"",IF(Formulario!F48=" "," ",Formulario!F48)," ")</f>
        <v xml:space="preserve"> </v>
      </c>
      <c r="K40" s="144" t="str">
        <f>IF(Formulario!G48&lt;&gt;"",IF(Formulario!G48=" "," ",Formulario!G48)," ")</f>
        <v xml:space="preserve"> </v>
      </c>
      <c r="L40" s="144" t="str">
        <f>IF(Formulario!H48&lt;&gt;"",IF(Formulario!H48=" "," ",Formulario!H48)," ")</f>
        <v xml:space="preserve"> </v>
      </c>
      <c r="M40" s="144" t="str">
        <f>IF(Formulario!I48&lt;&gt;"",IF(Formulario!I48=" "," ",Formulario!I48)," ")</f>
        <v xml:space="preserve"> </v>
      </c>
      <c r="N40" s="145" t="str">
        <f>IF(Formulario!J48&lt;&gt;"",IF(Formulario!J48=" "," ",Formulario!J48),IF(G40=".",".","Falta Fecha"))</f>
        <v>.</v>
      </c>
      <c r="O40" s="155">
        <f>Formulario!L48</f>
        <v>0</v>
      </c>
      <c r="P40" s="146">
        <f>IF(O40=1,"09:00",Formulario!M48)</f>
        <v>0</v>
      </c>
      <c r="Q40" s="146">
        <f>IF(O40=1,"18:30",Formulario!N48)</f>
        <v>0</v>
      </c>
      <c r="R40" s="146" t="str">
        <f>IF(Formulario!O48&lt;&gt;"",IF(Formulario!O48=" ",".",Formulario!O48),".")</f>
        <v>Post Venta</v>
      </c>
      <c r="S40" s="141" t="s">
        <v>131</v>
      </c>
    </row>
    <row r="41" spans="1:19">
      <c r="A41" s="141" t="str">
        <f>Formulario!B49</f>
        <v/>
      </c>
      <c r="B41" s="144" t="str">
        <f>IF(G41="."," ",Formulario!D$5)</f>
        <v xml:space="preserve"> </v>
      </c>
      <c r="C41" s="144" t="str">
        <f>IF(G41=".","",Formulario!D$6)</f>
        <v/>
      </c>
      <c r="D41" s="144" t="str">
        <f>IF(H41=".","",Formulario!D$7)</f>
        <v/>
      </c>
      <c r="E41" s="144" t="str">
        <f>IF(G41=".","",Formulario!J$5)</f>
        <v/>
      </c>
      <c r="F41" s="145" t="str">
        <f>IF(G41=".","",Formulario!J$6)</f>
        <v/>
      </c>
      <c r="G41" s="180" t="str">
        <f>IF(Formulario!C49&lt;&gt;"",IF(Formulario!C49=" ","Falta Depto",IF(H41=".","Error En Descripción",Formulario!C49)),IF(H41=".",".","Falta Datos"))</f>
        <v>.</v>
      </c>
      <c r="H41" s="144" t="str">
        <f>IF(Formulario!D49&lt;&gt;"",IF(Formulario!D49=" ",".",Formulario!D49),".")</f>
        <v>.</v>
      </c>
      <c r="I41" s="144" t="str">
        <f>IF(Formulario!E49&lt;&gt;"",IF(Formulario!E49=" "," ",Formulario!E49),IF(G41=".",".","Falta Propietario"))</f>
        <v>.</v>
      </c>
      <c r="J41" s="144" t="str">
        <f>IF(Formulario!F49&lt;&gt;"",IF(Formulario!F49=" "," ",Formulario!F49)," ")</f>
        <v xml:space="preserve"> </v>
      </c>
      <c r="K41" s="144" t="str">
        <f>IF(Formulario!G49&lt;&gt;"",IF(Formulario!G49=" "," ",Formulario!G49)," ")</f>
        <v xml:space="preserve"> </v>
      </c>
      <c r="L41" s="144" t="str">
        <f>IF(Formulario!H49&lt;&gt;"",IF(Formulario!H49=" "," ",Formulario!H49)," ")</f>
        <v xml:space="preserve"> </v>
      </c>
      <c r="M41" s="144" t="str">
        <f>IF(Formulario!I49&lt;&gt;"",IF(Formulario!I49=" "," ",Formulario!I49)," ")</f>
        <v xml:space="preserve"> </v>
      </c>
      <c r="N41" s="145" t="str">
        <f>IF(Formulario!J49&lt;&gt;"",IF(Formulario!J49=" "," ",Formulario!J49),IF(G41=".",".","Falta Fecha"))</f>
        <v>.</v>
      </c>
      <c r="O41" s="155">
        <f>Formulario!L49</f>
        <v>0</v>
      </c>
      <c r="P41" s="146">
        <f>IF(O41=1,"09:00",Formulario!M49)</f>
        <v>0</v>
      </c>
      <c r="Q41" s="146">
        <f>IF(O41=1,"18:30",Formulario!N49)</f>
        <v>0</v>
      </c>
      <c r="R41" s="146" t="str">
        <f>IF(Formulario!O49&lt;&gt;"",IF(Formulario!O49=" ",".",Formulario!O49),".")</f>
        <v>Post Venta</v>
      </c>
      <c r="S41" s="141" t="s">
        <v>131</v>
      </c>
    </row>
    <row r="42" spans="1:19">
      <c r="A42" s="141" t="str">
        <f>Formulario!B50</f>
        <v/>
      </c>
      <c r="B42" s="144" t="str">
        <f>IF(G42="."," ",Formulario!D$5)</f>
        <v xml:space="preserve"> </v>
      </c>
      <c r="C42" s="144" t="str">
        <f>IF(G42=".","",Formulario!D$6)</f>
        <v/>
      </c>
      <c r="D42" s="144" t="str">
        <f>IF(H42=".","",Formulario!D$7)</f>
        <v/>
      </c>
      <c r="E42" s="144" t="str">
        <f>IF(G42=".","",Formulario!J$5)</f>
        <v/>
      </c>
      <c r="F42" s="145" t="str">
        <f>IF(G42=".","",Formulario!J$6)</f>
        <v/>
      </c>
      <c r="G42" s="180" t="str">
        <f>IF(Formulario!C50&lt;&gt;"",IF(Formulario!C50=" ","Falta Depto",IF(H42=".","Error En Descripción",Formulario!C50)),IF(H42=".",".","Falta Datos"))</f>
        <v>.</v>
      </c>
      <c r="H42" s="144" t="str">
        <f>IF(Formulario!D50&lt;&gt;"",IF(Formulario!D50=" ",".",Formulario!D50),".")</f>
        <v>.</v>
      </c>
      <c r="I42" s="144" t="str">
        <f>IF(Formulario!E50&lt;&gt;"",IF(Formulario!E50=" "," ",Formulario!E50),IF(G42=".",".","Falta Propietario"))</f>
        <v>.</v>
      </c>
      <c r="J42" s="144" t="str">
        <f>IF(Formulario!F50&lt;&gt;"",IF(Formulario!F50=" "," ",Formulario!F50)," ")</f>
        <v xml:space="preserve"> </v>
      </c>
      <c r="K42" s="144" t="str">
        <f>IF(Formulario!G50&lt;&gt;"",IF(Formulario!G50=" "," ",Formulario!G50)," ")</f>
        <v xml:space="preserve"> </v>
      </c>
      <c r="L42" s="144" t="str">
        <f>IF(Formulario!H50&lt;&gt;"",IF(Formulario!H50=" "," ",Formulario!H50)," ")</f>
        <v xml:space="preserve"> </v>
      </c>
      <c r="M42" s="144" t="str">
        <f>IF(Formulario!I50&lt;&gt;"",IF(Formulario!I50=" "," ",Formulario!I50)," ")</f>
        <v xml:space="preserve"> </v>
      </c>
      <c r="N42" s="145" t="str">
        <f>IF(Formulario!J50&lt;&gt;"",IF(Formulario!J50=" "," ",Formulario!J50),IF(G42=".",".","Falta Fecha"))</f>
        <v>.</v>
      </c>
      <c r="O42" s="155">
        <f>Formulario!L50</f>
        <v>0</v>
      </c>
      <c r="P42" s="146">
        <f>IF(O42=1,"09:00",Formulario!M50)</f>
        <v>0</v>
      </c>
      <c r="Q42" s="146">
        <f>IF(O42=1,"18:30",Formulario!N50)</f>
        <v>0</v>
      </c>
      <c r="R42" s="146" t="str">
        <f>IF(Formulario!O50&lt;&gt;"",IF(Formulario!O50=" ",".",Formulario!O50),".")</f>
        <v>Post Venta</v>
      </c>
      <c r="S42" s="141" t="s">
        <v>131</v>
      </c>
    </row>
    <row r="43" spans="1:19">
      <c r="A43" s="141" t="str">
        <f>Formulario!B51</f>
        <v/>
      </c>
      <c r="B43" s="144" t="str">
        <f>IF(G43="."," ",Formulario!D$5)</f>
        <v xml:space="preserve"> </v>
      </c>
      <c r="C43" s="144" t="str">
        <f>IF(G43=".","",Formulario!D$6)</f>
        <v/>
      </c>
      <c r="D43" s="144" t="str">
        <f>IF(H43=".","",Formulario!D$7)</f>
        <v/>
      </c>
      <c r="E43" s="144" t="str">
        <f>IF(G43=".","",Formulario!J$5)</f>
        <v/>
      </c>
      <c r="F43" s="145" t="str">
        <f>IF(G43=".","",Formulario!J$6)</f>
        <v/>
      </c>
      <c r="G43" s="180" t="str">
        <f>IF(Formulario!C51&lt;&gt;"",IF(Formulario!C51=" ","Falta Depto",IF(H43=".","Error En Descripción",Formulario!C51)),IF(H43=".",".","Falta Datos"))</f>
        <v>.</v>
      </c>
      <c r="H43" s="144" t="str">
        <f>IF(Formulario!D51&lt;&gt;"",IF(Formulario!D51=" ",".",Formulario!D51),".")</f>
        <v>.</v>
      </c>
      <c r="I43" s="144" t="str">
        <f>IF(Formulario!E51&lt;&gt;"",IF(Formulario!E51=" "," ",Formulario!E51),IF(G43=".",".","Falta Propietario"))</f>
        <v>.</v>
      </c>
      <c r="J43" s="144" t="str">
        <f>IF(Formulario!F51&lt;&gt;"",IF(Formulario!F51=" "," ",Formulario!F51)," ")</f>
        <v xml:space="preserve"> </v>
      </c>
      <c r="K43" s="144" t="str">
        <f>IF(Formulario!G51&lt;&gt;"",IF(Formulario!G51=" "," ",Formulario!G51)," ")</f>
        <v xml:space="preserve"> </v>
      </c>
      <c r="L43" s="144" t="str">
        <f>IF(Formulario!H51&lt;&gt;"",IF(Formulario!H51=" "," ",Formulario!H51)," ")</f>
        <v xml:space="preserve"> </v>
      </c>
      <c r="M43" s="144" t="str">
        <f>IF(Formulario!I51&lt;&gt;"",IF(Formulario!I51=" "," ",Formulario!I51)," ")</f>
        <v xml:space="preserve"> </v>
      </c>
      <c r="N43" s="145" t="str">
        <f>IF(Formulario!J51&lt;&gt;"",IF(Formulario!J51=" "," ",Formulario!J51),IF(G43=".",".","Falta Fecha"))</f>
        <v>.</v>
      </c>
      <c r="O43" s="155">
        <f>Formulario!L51</f>
        <v>0</v>
      </c>
      <c r="P43" s="146">
        <f>IF(O43=1,"09:00",Formulario!M51)</f>
        <v>0</v>
      </c>
      <c r="Q43" s="146">
        <f>IF(O43=1,"18:30",Formulario!N51)</f>
        <v>0</v>
      </c>
      <c r="R43" s="146" t="str">
        <f>IF(Formulario!O51&lt;&gt;"",IF(Formulario!O51=" ",".",Formulario!O51),".")</f>
        <v>Post Venta</v>
      </c>
      <c r="S43" s="141" t="s">
        <v>131</v>
      </c>
    </row>
    <row r="44" spans="1:19">
      <c r="A44" s="141" t="str">
        <f>Formulario!B52</f>
        <v/>
      </c>
      <c r="B44" s="144" t="str">
        <f>IF(G44="."," ",Formulario!D$5)</f>
        <v xml:space="preserve"> </v>
      </c>
      <c r="C44" s="144" t="str">
        <f>IF(G44=".","",Formulario!D$6)</f>
        <v/>
      </c>
      <c r="D44" s="144" t="str">
        <f>IF(H44=".","",Formulario!D$7)</f>
        <v/>
      </c>
      <c r="E44" s="144" t="str">
        <f>IF(G44=".","",Formulario!J$5)</f>
        <v/>
      </c>
      <c r="F44" s="145" t="str">
        <f>IF(G44=".","",Formulario!J$6)</f>
        <v/>
      </c>
      <c r="G44" s="180" t="str">
        <f>IF(Formulario!C52&lt;&gt;"",IF(Formulario!C52=" ","Falta Depto",IF(H44=".","Error En Descripción",Formulario!C52)),IF(H44=".",".","Falta Datos"))</f>
        <v>.</v>
      </c>
      <c r="H44" s="144" t="str">
        <f>IF(Formulario!D52&lt;&gt;"",IF(Formulario!D52=" ",".",Formulario!D52),".")</f>
        <v>.</v>
      </c>
      <c r="I44" s="144" t="str">
        <f>IF(Formulario!E52&lt;&gt;"",IF(Formulario!E52=" "," ",Formulario!E52),IF(G44=".",".","Falta Propietario"))</f>
        <v>.</v>
      </c>
      <c r="J44" s="144" t="str">
        <f>IF(Formulario!F52&lt;&gt;"",IF(Formulario!F52=" "," ",Formulario!F52)," ")</f>
        <v xml:space="preserve"> </v>
      </c>
      <c r="K44" s="144" t="str">
        <f>IF(Formulario!G52&lt;&gt;"",IF(Formulario!G52=" "," ",Formulario!G52)," ")</f>
        <v xml:space="preserve"> </v>
      </c>
      <c r="L44" s="144" t="str">
        <f>IF(Formulario!H52&lt;&gt;"",IF(Formulario!H52=" "," ",Formulario!H52)," ")</f>
        <v xml:space="preserve"> </v>
      </c>
      <c r="M44" s="144" t="str">
        <f>IF(Formulario!I52&lt;&gt;"",IF(Formulario!I52=" "," ",Formulario!I52)," ")</f>
        <v xml:space="preserve"> </v>
      </c>
      <c r="N44" s="145" t="str">
        <f>IF(Formulario!J52&lt;&gt;"",IF(Formulario!J52=" "," ",Formulario!J52),IF(G44=".",".","Falta Fecha"))</f>
        <v>.</v>
      </c>
      <c r="O44" s="155">
        <f>Formulario!L52</f>
        <v>0</v>
      </c>
      <c r="P44" s="146">
        <f>IF(O44=1,"09:00",Formulario!M52)</f>
        <v>0</v>
      </c>
      <c r="Q44" s="146">
        <f>IF(O44=1,"18:30",Formulario!N52)</f>
        <v>0</v>
      </c>
      <c r="R44" s="146" t="str">
        <f>IF(Formulario!O52&lt;&gt;"",IF(Formulario!O52=" ",".",Formulario!O52),".")</f>
        <v>Post Venta</v>
      </c>
      <c r="S44" s="141" t="s">
        <v>131</v>
      </c>
    </row>
    <row r="45" spans="1:19">
      <c r="A45" s="141" t="str">
        <f>Formulario!B53</f>
        <v/>
      </c>
      <c r="B45" s="144" t="str">
        <f>IF(G45="."," ",Formulario!D$5)</f>
        <v xml:space="preserve"> </v>
      </c>
      <c r="C45" s="144" t="str">
        <f>IF(G45=".","",Formulario!D$6)</f>
        <v/>
      </c>
      <c r="D45" s="144" t="str">
        <f>IF(H45=".","",Formulario!D$7)</f>
        <v/>
      </c>
      <c r="E45" s="144" t="str">
        <f>IF(G45=".","",Formulario!J$5)</f>
        <v/>
      </c>
      <c r="F45" s="145" t="str">
        <f>IF(G45=".","",Formulario!J$6)</f>
        <v/>
      </c>
      <c r="G45" s="180" t="str">
        <f>IF(Formulario!C53&lt;&gt;"",IF(Formulario!C53=" ","Falta Depto",IF(H45=".","Error En Descripción",Formulario!C53)),IF(H45=".",".","Falta Datos"))</f>
        <v>.</v>
      </c>
      <c r="H45" s="144" t="str">
        <f>IF(Formulario!D53&lt;&gt;"",IF(Formulario!D53=" ",".",Formulario!D53),".")</f>
        <v>.</v>
      </c>
      <c r="I45" s="144" t="str">
        <f>IF(Formulario!E53&lt;&gt;"",IF(Formulario!E53=" "," ",Formulario!E53),IF(G45=".",".","Falta Propietario"))</f>
        <v>.</v>
      </c>
      <c r="J45" s="144" t="str">
        <f>IF(Formulario!F53&lt;&gt;"",IF(Formulario!F53=" "," ",Formulario!F53)," ")</f>
        <v xml:space="preserve"> </v>
      </c>
      <c r="K45" s="144" t="str">
        <f>IF(Formulario!G53&lt;&gt;"",IF(Formulario!G53=" "," ",Formulario!G53)," ")</f>
        <v xml:space="preserve"> </v>
      </c>
      <c r="L45" s="144" t="str">
        <f>IF(Formulario!H53&lt;&gt;"",IF(Formulario!H53=" "," ",Formulario!H53)," ")</f>
        <v xml:space="preserve"> </v>
      </c>
      <c r="M45" s="144" t="str">
        <f>IF(Formulario!I53&lt;&gt;"",IF(Formulario!I53=" "," ",Formulario!I53)," ")</f>
        <v xml:space="preserve"> </v>
      </c>
      <c r="N45" s="145" t="str">
        <f>IF(Formulario!J53&lt;&gt;"",IF(Formulario!J53=" "," ",Formulario!J53),IF(G45=".",".","Falta Fecha"))</f>
        <v>.</v>
      </c>
      <c r="O45" s="155">
        <f>Formulario!L53</f>
        <v>0</v>
      </c>
      <c r="P45" s="146">
        <f>IF(O45=1,"09:00",Formulario!M53)</f>
        <v>0</v>
      </c>
      <c r="Q45" s="146">
        <f>IF(O45=1,"18:30",Formulario!N53)</f>
        <v>0</v>
      </c>
      <c r="R45" s="146" t="str">
        <f>IF(Formulario!O53&lt;&gt;"",IF(Formulario!O53=" ",".",Formulario!O53),".")</f>
        <v>Post Venta</v>
      </c>
      <c r="S45" s="141" t="s">
        <v>131</v>
      </c>
    </row>
    <row r="46" spans="1:19">
      <c r="A46" s="141" t="str">
        <f>Formulario!B54</f>
        <v/>
      </c>
      <c r="B46" s="144" t="str">
        <f>IF(G46="."," ",Formulario!D$5)</f>
        <v xml:space="preserve"> </v>
      </c>
      <c r="C46" s="144" t="str">
        <f>IF(G46=".","",Formulario!D$6)</f>
        <v/>
      </c>
      <c r="D46" s="144" t="str">
        <f>IF(H46=".","",Formulario!D$7)</f>
        <v/>
      </c>
      <c r="E46" s="144" t="str">
        <f>IF(G46=".","",Formulario!J$5)</f>
        <v/>
      </c>
      <c r="F46" s="145" t="str">
        <f>IF(G46=".","",Formulario!J$6)</f>
        <v/>
      </c>
      <c r="G46" s="180" t="str">
        <f>IF(Formulario!C54&lt;&gt;"",IF(Formulario!C54=" ","Falta Depto",IF(H46=".","Error En Descripción",Formulario!C54)),IF(H46=".",".","Falta Datos"))</f>
        <v>.</v>
      </c>
      <c r="H46" s="144" t="str">
        <f>IF(Formulario!D54&lt;&gt;"",IF(Formulario!D54=" ",".",Formulario!D54),".")</f>
        <v>.</v>
      </c>
      <c r="I46" s="144" t="str">
        <f>IF(Formulario!E54&lt;&gt;"",IF(Formulario!E54=" "," ",Formulario!E54),IF(G46=".",".","Falta Propietario"))</f>
        <v>.</v>
      </c>
      <c r="J46" s="144" t="str">
        <f>IF(Formulario!F54&lt;&gt;"",IF(Formulario!F54=" "," ",Formulario!F54)," ")</f>
        <v xml:space="preserve"> </v>
      </c>
      <c r="K46" s="144" t="str">
        <f>IF(Formulario!G54&lt;&gt;"",IF(Formulario!G54=" "," ",Formulario!G54)," ")</f>
        <v xml:space="preserve"> </v>
      </c>
      <c r="L46" s="144" t="str">
        <f>IF(Formulario!H54&lt;&gt;"",IF(Formulario!H54=" "," ",Formulario!H54)," ")</f>
        <v xml:space="preserve"> </v>
      </c>
      <c r="M46" s="144" t="str">
        <f>IF(Formulario!I54&lt;&gt;"",IF(Formulario!I54=" "," ",Formulario!I54)," ")</f>
        <v xml:space="preserve"> </v>
      </c>
      <c r="N46" s="145" t="str">
        <f>IF(Formulario!J54&lt;&gt;"",IF(Formulario!J54=" "," ",Formulario!J54),IF(G46=".",".","Falta Fecha"))</f>
        <v>.</v>
      </c>
      <c r="O46" s="155">
        <f>Formulario!L54</f>
        <v>0</v>
      </c>
      <c r="P46" s="146">
        <f>IF(O46=1,"09:00",Formulario!M54)</f>
        <v>0</v>
      </c>
      <c r="Q46" s="146">
        <f>IF(O46=1,"18:30",Formulario!N54)</f>
        <v>0</v>
      </c>
      <c r="R46" s="146" t="str">
        <f>IF(Formulario!O54&lt;&gt;"",IF(Formulario!O54=" ",".",Formulario!O54),".")</f>
        <v>Post Venta</v>
      </c>
      <c r="S46" s="141" t="s">
        <v>131</v>
      </c>
    </row>
    <row r="47" spans="1:19">
      <c r="A47" s="141" t="str">
        <f>Formulario!B55</f>
        <v/>
      </c>
      <c r="B47" s="144" t="str">
        <f>IF(G47="."," ",Formulario!D$5)</f>
        <v xml:space="preserve"> </v>
      </c>
      <c r="C47" s="144" t="str">
        <f>IF(G47=".","",Formulario!D$6)</f>
        <v/>
      </c>
      <c r="D47" s="144" t="str">
        <f>IF(H47=".","",Formulario!D$7)</f>
        <v/>
      </c>
      <c r="E47" s="144" t="str">
        <f>IF(G47=".","",Formulario!J$5)</f>
        <v/>
      </c>
      <c r="F47" s="145" t="str">
        <f>IF(G47=".","",Formulario!J$6)</f>
        <v/>
      </c>
      <c r="G47" s="180" t="str">
        <f>IF(Formulario!C55&lt;&gt;"",IF(Formulario!C55=" ","Falta Depto",IF(H47=".","Error En Descripción",Formulario!C55)),IF(H47=".",".","Falta Datos"))</f>
        <v>.</v>
      </c>
      <c r="H47" s="144" t="str">
        <f>IF(Formulario!D55&lt;&gt;"",IF(Formulario!D55=" ",".",Formulario!D55),".")</f>
        <v>.</v>
      </c>
      <c r="I47" s="144" t="str">
        <f>IF(Formulario!E55&lt;&gt;"",IF(Formulario!E55=" "," ",Formulario!E55),IF(G47=".",".","Falta Propietario"))</f>
        <v>.</v>
      </c>
      <c r="J47" s="144" t="str">
        <f>IF(Formulario!F55&lt;&gt;"",IF(Formulario!F55=" "," ",Formulario!F55)," ")</f>
        <v xml:space="preserve"> </v>
      </c>
      <c r="K47" s="144" t="str">
        <f>IF(Formulario!G55&lt;&gt;"",IF(Formulario!G55=" "," ",Formulario!G55)," ")</f>
        <v xml:space="preserve"> </v>
      </c>
      <c r="L47" s="144" t="str">
        <f>IF(Formulario!H55&lt;&gt;"",IF(Formulario!H55=" "," ",Formulario!H55)," ")</f>
        <v xml:space="preserve"> </v>
      </c>
      <c r="M47" s="144" t="str">
        <f>IF(Formulario!I55&lt;&gt;"",IF(Formulario!I55=" "," ",Formulario!I55)," ")</f>
        <v xml:space="preserve"> </v>
      </c>
      <c r="N47" s="145" t="str">
        <f>IF(Formulario!J55&lt;&gt;"",IF(Formulario!J55=" "," ",Formulario!J55),IF(G47=".",".","Falta Fecha"))</f>
        <v>.</v>
      </c>
      <c r="O47" s="155">
        <f>Formulario!L55</f>
        <v>0</v>
      </c>
      <c r="P47" s="146">
        <f>IF(O47=1,"09:00",Formulario!M55)</f>
        <v>0</v>
      </c>
      <c r="Q47" s="146">
        <f>IF(O47=1,"18:30",Formulario!N55)</f>
        <v>0</v>
      </c>
      <c r="R47" s="146" t="str">
        <f>IF(Formulario!O55&lt;&gt;"",IF(Formulario!O55=" ",".",Formulario!O55),".")</f>
        <v>Post Venta</v>
      </c>
      <c r="S47" s="141" t="s">
        <v>131</v>
      </c>
    </row>
    <row r="48" spans="1:19">
      <c r="A48" s="141" t="str">
        <f>Formulario!B56</f>
        <v/>
      </c>
      <c r="B48" s="144" t="str">
        <f>IF(G48="."," ",Formulario!D$5)</f>
        <v xml:space="preserve"> </v>
      </c>
      <c r="C48" s="144" t="str">
        <f>IF(G48=".","",Formulario!D$6)</f>
        <v/>
      </c>
      <c r="D48" s="144" t="str">
        <f>IF(H48=".","",Formulario!D$7)</f>
        <v/>
      </c>
      <c r="E48" s="144" t="str">
        <f>IF(G48=".","",Formulario!J$5)</f>
        <v/>
      </c>
      <c r="F48" s="145" t="str">
        <f>IF(G48=".","",Formulario!J$6)</f>
        <v/>
      </c>
      <c r="G48" s="180" t="str">
        <f>IF(Formulario!C56&lt;&gt;"",IF(Formulario!C56=" ","Falta Depto",IF(H48=".","Error En Descripción",Formulario!C56)),IF(H48=".",".","Falta Datos"))</f>
        <v>.</v>
      </c>
      <c r="H48" s="144" t="str">
        <f>IF(Formulario!D56&lt;&gt;"",IF(Formulario!D56=" ",".",Formulario!D56),".")</f>
        <v>.</v>
      </c>
      <c r="I48" s="144" t="str">
        <f>IF(Formulario!E56&lt;&gt;"",IF(Formulario!E56=" "," ",Formulario!E56),IF(G48=".",".","Falta Propietario"))</f>
        <v>.</v>
      </c>
      <c r="J48" s="144" t="str">
        <f>IF(Formulario!F56&lt;&gt;"",IF(Formulario!F56=" "," ",Formulario!F56)," ")</f>
        <v xml:space="preserve"> </v>
      </c>
      <c r="K48" s="144" t="str">
        <f>IF(Formulario!G56&lt;&gt;"",IF(Formulario!G56=" "," ",Formulario!G56)," ")</f>
        <v xml:space="preserve"> </v>
      </c>
      <c r="L48" s="144" t="str">
        <f>IF(Formulario!H56&lt;&gt;"",IF(Formulario!H56=" "," ",Formulario!H56)," ")</f>
        <v xml:space="preserve"> </v>
      </c>
      <c r="M48" s="144" t="str">
        <f>IF(Formulario!I56&lt;&gt;"",IF(Formulario!I56=" "," ",Formulario!I56)," ")</f>
        <v xml:space="preserve"> </v>
      </c>
      <c r="N48" s="145" t="str">
        <f>IF(Formulario!J56&lt;&gt;"",IF(Formulario!J56=" "," ",Formulario!J56),IF(G48=".",".","Falta Fecha"))</f>
        <v>.</v>
      </c>
      <c r="O48" s="155">
        <f>Formulario!L56</f>
        <v>0</v>
      </c>
      <c r="P48" s="146">
        <f>IF(O48=1,"09:00",Formulario!M56)</f>
        <v>0</v>
      </c>
      <c r="Q48" s="146">
        <f>IF(O48=1,"18:30",Formulario!N56)</f>
        <v>0</v>
      </c>
      <c r="R48" s="146" t="str">
        <f>IF(Formulario!O56&lt;&gt;"",IF(Formulario!O56=" ",".",Formulario!O56),".")</f>
        <v>Post Venta</v>
      </c>
      <c r="S48" s="141" t="s">
        <v>131</v>
      </c>
    </row>
    <row r="49" spans="1:19">
      <c r="A49" s="141" t="str">
        <f>Formulario!B57</f>
        <v/>
      </c>
      <c r="B49" s="144" t="str">
        <f>IF(G49="."," ",Formulario!D$5)</f>
        <v xml:space="preserve"> </v>
      </c>
      <c r="C49" s="144" t="str">
        <f>IF(G49=".","",Formulario!D$6)</f>
        <v/>
      </c>
      <c r="D49" s="144" t="str">
        <f>IF(H49=".","",Formulario!D$7)</f>
        <v/>
      </c>
      <c r="E49" s="144" t="str">
        <f>IF(G49=".","",Formulario!J$5)</f>
        <v/>
      </c>
      <c r="F49" s="145" t="str">
        <f>IF(G49=".","",Formulario!J$6)</f>
        <v/>
      </c>
      <c r="G49" s="180" t="str">
        <f>IF(Formulario!C57&lt;&gt;"",IF(Formulario!C57=" ","Falta Depto",IF(H49=".","Error En Descripción",Formulario!C57)),IF(H49=".",".","Falta Datos"))</f>
        <v>.</v>
      </c>
      <c r="H49" s="144" t="str">
        <f>IF(Formulario!D57&lt;&gt;"",IF(Formulario!D57=" ",".",Formulario!D57),".")</f>
        <v>.</v>
      </c>
      <c r="I49" s="144" t="str">
        <f>IF(Formulario!E57&lt;&gt;"",IF(Formulario!E57=" "," ",Formulario!E57),IF(G49=".",".","Falta Propietario"))</f>
        <v>.</v>
      </c>
      <c r="J49" s="144" t="str">
        <f>IF(Formulario!F57&lt;&gt;"",IF(Formulario!F57=" "," ",Formulario!F57)," ")</f>
        <v xml:space="preserve"> </v>
      </c>
      <c r="K49" s="144" t="str">
        <f>IF(Formulario!G57&lt;&gt;"",IF(Formulario!G57=" "," ",Formulario!G57)," ")</f>
        <v xml:space="preserve"> </v>
      </c>
      <c r="L49" s="144" t="str">
        <f>IF(Formulario!H57&lt;&gt;"",IF(Formulario!H57=" "," ",Formulario!H57)," ")</f>
        <v xml:space="preserve"> </v>
      </c>
      <c r="M49" s="144" t="str">
        <f>IF(Formulario!I57&lt;&gt;"",IF(Formulario!I57=" "," ",Formulario!I57)," ")</f>
        <v xml:space="preserve"> </v>
      </c>
      <c r="N49" s="145" t="str">
        <f>IF(Formulario!J57&lt;&gt;"",IF(Formulario!J57=" "," ",Formulario!J57),IF(G49=".",".","Falta Fecha"))</f>
        <v>.</v>
      </c>
      <c r="O49" s="155">
        <f>Formulario!L57</f>
        <v>0</v>
      </c>
      <c r="P49" s="146">
        <f>IF(O49=1,"09:00",Formulario!M57)</f>
        <v>0</v>
      </c>
      <c r="Q49" s="146">
        <f>IF(O49=1,"18:30",Formulario!N57)</f>
        <v>0</v>
      </c>
      <c r="R49" s="146" t="str">
        <f>IF(Formulario!O57&lt;&gt;"",IF(Formulario!O57=" ",".",Formulario!O57),".")</f>
        <v>Post Venta</v>
      </c>
      <c r="S49" s="141" t="s">
        <v>131</v>
      </c>
    </row>
    <row r="50" spans="1:19">
      <c r="A50" s="141" t="str">
        <f>Formulario!B58</f>
        <v/>
      </c>
      <c r="B50" s="144" t="str">
        <f>IF(G50="."," ",Formulario!D$5)</f>
        <v xml:space="preserve"> </v>
      </c>
      <c r="C50" s="144" t="str">
        <f>IF(G50=".","",Formulario!D$6)</f>
        <v/>
      </c>
      <c r="D50" s="144" t="str">
        <f>IF(H50=".","",Formulario!D$7)</f>
        <v/>
      </c>
      <c r="E50" s="144" t="str">
        <f>IF(G50=".","",Formulario!J$5)</f>
        <v/>
      </c>
      <c r="F50" s="145" t="str">
        <f>IF(G50=".","",Formulario!J$6)</f>
        <v/>
      </c>
      <c r="G50" s="180" t="str">
        <f>IF(Formulario!C58&lt;&gt;"",IF(Formulario!C58=" ","Falta Depto",IF(H50=".","Error En Descripción",Formulario!C58)),IF(H50=".",".","Falta Datos"))</f>
        <v>.</v>
      </c>
      <c r="H50" s="144" t="str">
        <f>IF(Formulario!D58&lt;&gt;"",IF(Formulario!D58=" ",".",Formulario!D58),".")</f>
        <v>.</v>
      </c>
      <c r="I50" s="144" t="str">
        <f>IF(Formulario!E58&lt;&gt;"",IF(Formulario!E58=" "," ",Formulario!E58),IF(G50=".",".","Falta Propietario"))</f>
        <v>.</v>
      </c>
      <c r="J50" s="144" t="str">
        <f>IF(Formulario!F58&lt;&gt;"",IF(Formulario!F58=" "," ",Formulario!F58)," ")</f>
        <v xml:space="preserve"> </v>
      </c>
      <c r="K50" s="144" t="str">
        <f>IF(Formulario!G58&lt;&gt;"",IF(Formulario!G58=" "," ",Formulario!G58)," ")</f>
        <v xml:space="preserve"> </v>
      </c>
      <c r="L50" s="144" t="str">
        <f>IF(Formulario!H58&lt;&gt;"",IF(Formulario!H58=" "," ",Formulario!H58)," ")</f>
        <v xml:space="preserve"> </v>
      </c>
      <c r="M50" s="144" t="str">
        <f>IF(Formulario!I58&lt;&gt;"",IF(Formulario!I58=" "," ",Formulario!I58)," ")</f>
        <v xml:space="preserve"> </v>
      </c>
      <c r="N50" s="145" t="str">
        <f>IF(Formulario!J58&lt;&gt;"",IF(Formulario!J58=" "," ",Formulario!J58),IF(G50=".",".","Falta Fecha"))</f>
        <v>.</v>
      </c>
      <c r="O50" s="155">
        <f>Formulario!L58</f>
        <v>0</v>
      </c>
      <c r="P50" s="146">
        <f>IF(O50=1,"09:00",Formulario!M58)</f>
        <v>0</v>
      </c>
      <c r="Q50" s="146">
        <f>IF(O50=1,"18:30",Formulario!N58)</f>
        <v>0</v>
      </c>
      <c r="R50" s="146" t="str">
        <f>IF(Formulario!O58&lt;&gt;"",IF(Formulario!O58=" ",".",Formulario!O58),".")</f>
        <v>Post Venta</v>
      </c>
      <c r="S50" s="141" t="s">
        <v>131</v>
      </c>
    </row>
    <row r="51" spans="1:19">
      <c r="A51" s="141" t="str">
        <f>Formulario!B59</f>
        <v/>
      </c>
      <c r="B51" s="144" t="str">
        <f>IF(G51="."," ",Formulario!D$5)</f>
        <v xml:space="preserve"> </v>
      </c>
      <c r="C51" s="144" t="str">
        <f>IF(G51=".","",Formulario!D$6)</f>
        <v/>
      </c>
      <c r="D51" s="144" t="str">
        <f>IF(H51=".","",Formulario!D$7)</f>
        <v/>
      </c>
      <c r="E51" s="144" t="str">
        <f>IF(G51=".","",Formulario!J$5)</f>
        <v/>
      </c>
      <c r="F51" s="145" t="str">
        <f>IF(G51=".","",Formulario!J$6)</f>
        <v/>
      </c>
      <c r="G51" s="180" t="str">
        <f>IF(Formulario!C59&lt;&gt;"",IF(Formulario!C59=" ","Falta Depto",IF(H51=".","Error En Descripción",Formulario!C59)),IF(H51=".",".","Falta Datos"))</f>
        <v>.</v>
      </c>
      <c r="H51" s="144" t="str">
        <f>IF(Formulario!D59&lt;&gt;"",IF(Formulario!D59=" ",".",Formulario!D59),".")</f>
        <v>.</v>
      </c>
      <c r="I51" s="144" t="str">
        <f>IF(Formulario!E59&lt;&gt;"",IF(Formulario!E59=" "," ",Formulario!E59),IF(G51=".",".","Falta Propietario"))</f>
        <v>.</v>
      </c>
      <c r="J51" s="144" t="str">
        <f>IF(Formulario!F59&lt;&gt;"",IF(Formulario!F59=" "," ",Formulario!F59)," ")</f>
        <v xml:space="preserve"> </v>
      </c>
      <c r="K51" s="144" t="str">
        <f>IF(Formulario!G59&lt;&gt;"",IF(Formulario!G59=" "," ",Formulario!G59)," ")</f>
        <v xml:space="preserve"> </v>
      </c>
      <c r="L51" s="144" t="str">
        <f>IF(Formulario!H59&lt;&gt;"",IF(Formulario!H59=" "," ",Formulario!H59)," ")</f>
        <v xml:space="preserve"> </v>
      </c>
      <c r="M51" s="144" t="str">
        <f>IF(Formulario!I59&lt;&gt;"",IF(Formulario!I59=" "," ",Formulario!I59)," ")</f>
        <v xml:space="preserve"> </v>
      </c>
      <c r="N51" s="145" t="str">
        <f>IF(Formulario!J59&lt;&gt;"",IF(Formulario!J59=" "," ",Formulario!J59),IF(G51=".",".","Falta Fecha"))</f>
        <v>.</v>
      </c>
      <c r="O51" s="155">
        <f>Formulario!L59</f>
        <v>0</v>
      </c>
      <c r="P51" s="146">
        <f>IF(O51=1,"09:00",Formulario!M59)</f>
        <v>0</v>
      </c>
      <c r="Q51" s="146">
        <f>IF(O51=1,"18:30",Formulario!N59)</f>
        <v>0</v>
      </c>
      <c r="R51" s="146" t="str">
        <f>IF(Formulario!O59&lt;&gt;"",IF(Formulario!O59=" ",".",Formulario!O59),".")</f>
        <v>Post Venta</v>
      </c>
      <c r="S51" s="141" t="s">
        <v>131</v>
      </c>
    </row>
    <row r="52" spans="1:19">
      <c r="A52" s="141" t="str">
        <f>Formulario!B60</f>
        <v/>
      </c>
      <c r="B52" s="144" t="str">
        <f>IF(G52="."," ",Formulario!D$5)</f>
        <v xml:space="preserve"> </v>
      </c>
      <c r="C52" s="144" t="str">
        <f>IF(G52=".","",Formulario!D$6)</f>
        <v/>
      </c>
      <c r="D52" s="144" t="str">
        <f>IF(H52=".","",Formulario!D$7)</f>
        <v/>
      </c>
      <c r="E52" s="144" t="str">
        <f>IF(G52=".","",Formulario!J$5)</f>
        <v/>
      </c>
      <c r="F52" s="145" t="str">
        <f>IF(G52=".","",Formulario!J$6)</f>
        <v/>
      </c>
      <c r="G52" s="180" t="str">
        <f>IF(Formulario!C60&lt;&gt;"",IF(Formulario!C60=" ","Falta Depto",IF(H52=".","Error En Descripción",Formulario!C60)),IF(H52=".",".","Falta Datos"))</f>
        <v>.</v>
      </c>
      <c r="H52" s="144" t="str">
        <f>IF(Formulario!D60&lt;&gt;"",IF(Formulario!D60=" ",".",Formulario!D60),".")</f>
        <v>.</v>
      </c>
      <c r="I52" s="144" t="str">
        <f>IF(Formulario!E60&lt;&gt;"",IF(Formulario!E60=" "," ",Formulario!E60),IF(G52=".",".","Falta Propietario"))</f>
        <v>.</v>
      </c>
      <c r="J52" s="144" t="str">
        <f>IF(Formulario!F60&lt;&gt;"",IF(Formulario!F60=" "," ",Formulario!F60)," ")</f>
        <v xml:space="preserve"> </v>
      </c>
      <c r="K52" s="144" t="str">
        <f>IF(Formulario!G60&lt;&gt;"",IF(Formulario!G60=" "," ",Formulario!G60)," ")</f>
        <v xml:space="preserve"> </v>
      </c>
      <c r="L52" s="144" t="str">
        <f>IF(Formulario!H60&lt;&gt;"",IF(Formulario!H60=" "," ",Formulario!H60)," ")</f>
        <v xml:space="preserve"> </v>
      </c>
      <c r="M52" s="144" t="str">
        <f>IF(Formulario!I60&lt;&gt;"",IF(Formulario!I60=" "," ",Formulario!I60)," ")</f>
        <v xml:space="preserve"> </v>
      </c>
      <c r="N52" s="145" t="str">
        <f>IF(Formulario!J60&lt;&gt;"",IF(Formulario!J60=" "," ",Formulario!J60),IF(G52=".",".","Falta Fecha"))</f>
        <v>.</v>
      </c>
      <c r="O52" s="155">
        <f>Formulario!L60</f>
        <v>0</v>
      </c>
      <c r="P52" s="146">
        <f>IF(O52=1,"09:00",Formulario!M60)</f>
        <v>0</v>
      </c>
      <c r="Q52" s="146">
        <f>IF(O52=1,"18:30",Formulario!N60)</f>
        <v>0</v>
      </c>
      <c r="R52" s="146" t="str">
        <f>IF(Formulario!O60&lt;&gt;"",IF(Formulario!O60=" ",".",Formulario!O60),".")</f>
        <v>Post Venta</v>
      </c>
      <c r="S52" s="141" t="s">
        <v>131</v>
      </c>
    </row>
    <row r="53" spans="1:19">
      <c r="A53" s="141" t="str">
        <f>Formulario!B61</f>
        <v/>
      </c>
      <c r="B53" s="144" t="str">
        <f>IF(G53="."," ",Formulario!D$5)</f>
        <v xml:space="preserve"> </v>
      </c>
      <c r="C53" s="144" t="str">
        <f>IF(G53=".","",Formulario!D$6)</f>
        <v/>
      </c>
      <c r="D53" s="144" t="str">
        <f>IF(H53=".","",Formulario!D$7)</f>
        <v/>
      </c>
      <c r="E53" s="144" t="str">
        <f>IF(G53=".","",Formulario!J$5)</f>
        <v/>
      </c>
      <c r="F53" s="145" t="str">
        <f>IF(G53=".","",Formulario!J$6)</f>
        <v/>
      </c>
      <c r="G53" s="180" t="str">
        <f>IF(Formulario!C61&lt;&gt;"",IF(Formulario!C61=" ","Falta Depto",IF(H53=".","Error En Descripción",Formulario!C61)),IF(H53=".",".","Falta Datos"))</f>
        <v>.</v>
      </c>
      <c r="H53" s="144" t="str">
        <f>IF(Formulario!D61&lt;&gt;"",IF(Formulario!D61=" ",".",Formulario!D61),".")</f>
        <v>.</v>
      </c>
      <c r="I53" s="144" t="str">
        <f>IF(Formulario!E61&lt;&gt;"",IF(Formulario!E61=" "," ",Formulario!E61),IF(G53=".",".","Falta Propietario"))</f>
        <v>.</v>
      </c>
      <c r="J53" s="144" t="str">
        <f>IF(Formulario!F61&lt;&gt;"",IF(Formulario!F61=" "," ",Formulario!F61)," ")</f>
        <v xml:space="preserve"> </v>
      </c>
      <c r="K53" s="144" t="str">
        <f>IF(Formulario!G61&lt;&gt;"",IF(Formulario!G61=" "," ",Formulario!G61)," ")</f>
        <v xml:space="preserve"> </v>
      </c>
      <c r="L53" s="144" t="str">
        <f>IF(Formulario!H61&lt;&gt;"",IF(Formulario!H61=" "," ",Formulario!H61)," ")</f>
        <v xml:space="preserve"> </v>
      </c>
      <c r="M53" s="144" t="str">
        <f>IF(Formulario!I61&lt;&gt;"",IF(Formulario!I61=" "," ",Formulario!I61)," ")</f>
        <v xml:space="preserve"> </v>
      </c>
      <c r="N53" s="145" t="str">
        <f>IF(Formulario!J61&lt;&gt;"",IF(Formulario!J61=" "," ",Formulario!J61),IF(G53=".",".","Falta Fecha"))</f>
        <v>.</v>
      </c>
      <c r="O53" s="155">
        <f>Formulario!L61</f>
        <v>0</v>
      </c>
      <c r="P53" s="146">
        <f>IF(O53=1,"09:00",Formulario!M61)</f>
        <v>0</v>
      </c>
      <c r="Q53" s="146">
        <f>IF(O53=1,"18:30",Formulario!N61)</f>
        <v>0</v>
      </c>
      <c r="R53" s="146" t="str">
        <f>IF(Formulario!O61&lt;&gt;"",IF(Formulario!O61=" ",".",Formulario!O61),".")</f>
        <v>Post Venta</v>
      </c>
      <c r="S53" s="141" t="s">
        <v>131</v>
      </c>
    </row>
    <row r="54" spans="1:19">
      <c r="A54" s="141" t="str">
        <f>Formulario!B62</f>
        <v/>
      </c>
      <c r="B54" s="144" t="str">
        <f>IF(G54="."," ",Formulario!D$5)</f>
        <v xml:space="preserve"> </v>
      </c>
      <c r="C54" s="144" t="str">
        <f>IF(G54=".","",Formulario!D$6)</f>
        <v/>
      </c>
      <c r="D54" s="144" t="str">
        <f>IF(H54=".","",Formulario!D$7)</f>
        <v/>
      </c>
      <c r="E54" s="144" t="str">
        <f>IF(G54=".","",Formulario!J$5)</f>
        <v/>
      </c>
      <c r="F54" s="145" t="str">
        <f>IF(G54=".","",Formulario!J$6)</f>
        <v/>
      </c>
      <c r="G54" s="180" t="str">
        <f>IF(Formulario!C62&lt;&gt;"",IF(Formulario!C62=" ","Falta Depto",IF(H54=".","Error En Descripción",Formulario!C62)),IF(H54=".",".","Falta Datos"))</f>
        <v>.</v>
      </c>
      <c r="H54" s="144" t="str">
        <f>IF(Formulario!D62&lt;&gt;"",IF(Formulario!D62=" ",".",Formulario!D62),".")</f>
        <v>.</v>
      </c>
      <c r="I54" s="144" t="str">
        <f>IF(Formulario!E62&lt;&gt;"",IF(Formulario!E62=" "," ",Formulario!E62),IF(G54=".",".","Falta Propietario"))</f>
        <v>.</v>
      </c>
      <c r="J54" s="144" t="str">
        <f>IF(Formulario!F62&lt;&gt;"",IF(Formulario!F62=" "," ",Formulario!F62)," ")</f>
        <v xml:space="preserve"> </v>
      </c>
      <c r="K54" s="144" t="str">
        <f>IF(Formulario!G62&lt;&gt;"",IF(Formulario!G62=" "," ",Formulario!G62)," ")</f>
        <v xml:space="preserve"> </v>
      </c>
      <c r="L54" s="144" t="str">
        <f>IF(Formulario!H62&lt;&gt;"",IF(Formulario!H62=" "," ",Formulario!H62)," ")</f>
        <v xml:space="preserve"> </v>
      </c>
      <c r="M54" s="144" t="str">
        <f>IF(Formulario!I62&lt;&gt;"",IF(Formulario!I62=" "," ",Formulario!I62)," ")</f>
        <v xml:space="preserve"> </v>
      </c>
      <c r="N54" s="145" t="str">
        <f>IF(Formulario!J62&lt;&gt;"",IF(Formulario!J62=" "," ",Formulario!J62),IF(G54=".",".","Falta Fecha"))</f>
        <v>.</v>
      </c>
      <c r="O54" s="155">
        <f>Formulario!L62</f>
        <v>0</v>
      </c>
      <c r="P54" s="146">
        <f>IF(O54=1,"09:00",Formulario!M62)</f>
        <v>0</v>
      </c>
      <c r="Q54" s="146">
        <f>IF(O54=1,"18:30",Formulario!N62)</f>
        <v>0</v>
      </c>
      <c r="R54" s="146" t="str">
        <f>IF(Formulario!O62&lt;&gt;"",IF(Formulario!O62=" ",".",Formulario!O62),".")</f>
        <v>Post Venta</v>
      </c>
      <c r="S54" s="141" t="s">
        <v>131</v>
      </c>
    </row>
    <row r="55" spans="1:19">
      <c r="A55" s="141" t="str">
        <f>Formulario!B63</f>
        <v/>
      </c>
      <c r="B55" s="144" t="str">
        <f>IF(G55="."," ",Formulario!D$5)</f>
        <v xml:space="preserve"> </v>
      </c>
      <c r="C55" s="144" t="str">
        <f>IF(G55=".","",Formulario!D$6)</f>
        <v/>
      </c>
      <c r="D55" s="144" t="str">
        <f>IF(H55=".","",Formulario!D$7)</f>
        <v/>
      </c>
      <c r="E55" s="144" t="str">
        <f>IF(G55=".","",Formulario!J$5)</f>
        <v/>
      </c>
      <c r="F55" s="145" t="str">
        <f>IF(G55=".","",Formulario!J$6)</f>
        <v/>
      </c>
      <c r="G55" s="180" t="str">
        <f>IF(Formulario!C63&lt;&gt;"",IF(Formulario!C63=" ","Falta Depto",IF(H55=".","Error En Descripción",Formulario!C63)),IF(H55=".",".","Falta Datos"))</f>
        <v>.</v>
      </c>
      <c r="H55" s="144" t="str">
        <f>IF(Formulario!D63&lt;&gt;"",IF(Formulario!D63=" ",".",Formulario!D63),".")</f>
        <v>.</v>
      </c>
      <c r="I55" s="144" t="str">
        <f>IF(Formulario!E63&lt;&gt;"",IF(Formulario!E63=" "," ",Formulario!E63),IF(G55=".",".","Falta Propietario"))</f>
        <v>.</v>
      </c>
      <c r="J55" s="144" t="str">
        <f>IF(Formulario!F63&lt;&gt;"",IF(Formulario!F63=" "," ",Formulario!F63)," ")</f>
        <v xml:space="preserve"> </v>
      </c>
      <c r="K55" s="144" t="str">
        <f>IF(Formulario!G63&lt;&gt;"",IF(Formulario!G63=" "," ",Formulario!G63)," ")</f>
        <v xml:space="preserve"> </v>
      </c>
      <c r="L55" s="144" t="str">
        <f>IF(Formulario!H63&lt;&gt;"",IF(Formulario!H63=" "," ",Formulario!H63)," ")</f>
        <v xml:space="preserve"> </v>
      </c>
      <c r="M55" s="144" t="str">
        <f>IF(Formulario!I63&lt;&gt;"",IF(Formulario!I63=" "," ",Formulario!I63)," ")</f>
        <v xml:space="preserve"> </v>
      </c>
      <c r="N55" s="145" t="str">
        <f>IF(Formulario!J63&lt;&gt;"",IF(Formulario!J63=" "," ",Formulario!J63),IF(G55=".",".","Falta Fecha"))</f>
        <v>.</v>
      </c>
      <c r="O55" s="155">
        <f>Formulario!L63</f>
        <v>0</v>
      </c>
      <c r="P55" s="146">
        <f>IF(O55=1,"09:00",Formulario!M63)</f>
        <v>0</v>
      </c>
      <c r="Q55" s="146">
        <f>IF(O55=1,"18:30",Formulario!N63)</f>
        <v>0</v>
      </c>
      <c r="R55" s="146" t="str">
        <f>IF(Formulario!O63&lt;&gt;"",IF(Formulario!O63=" ",".",Formulario!O63),".")</f>
        <v>Post Venta</v>
      </c>
      <c r="S55" s="141" t="s">
        <v>131</v>
      </c>
    </row>
    <row r="56" spans="1:19">
      <c r="A56" s="141" t="str">
        <f>Formulario!B64</f>
        <v/>
      </c>
      <c r="B56" s="144" t="str">
        <f>IF(G56="."," ",Formulario!D$5)</f>
        <v xml:space="preserve"> </v>
      </c>
      <c r="C56" s="144" t="str">
        <f>IF(G56=".","",Formulario!D$6)</f>
        <v/>
      </c>
      <c r="D56" s="144" t="str">
        <f>IF(H56=".","",Formulario!D$7)</f>
        <v/>
      </c>
      <c r="E56" s="144" t="str">
        <f>IF(G56=".","",Formulario!J$5)</f>
        <v/>
      </c>
      <c r="F56" s="145" t="str">
        <f>IF(G56=".","",Formulario!J$6)</f>
        <v/>
      </c>
      <c r="G56" s="180" t="str">
        <f>IF(Formulario!C64&lt;&gt;"",IF(Formulario!C64=" ","Falta Depto",IF(H56=".","Error En Descripción",Formulario!C64)),IF(H56=".",".","Falta Datos"))</f>
        <v>.</v>
      </c>
      <c r="H56" s="144" t="str">
        <f>IF(Formulario!D64&lt;&gt;"",IF(Formulario!D64=" ",".",Formulario!D64),".")</f>
        <v>.</v>
      </c>
      <c r="I56" s="144" t="str">
        <f>IF(Formulario!E64&lt;&gt;"",IF(Formulario!E64=" "," ",Formulario!E64),IF(G56=".",".","Falta Propietario"))</f>
        <v>.</v>
      </c>
      <c r="J56" s="144" t="str">
        <f>IF(Formulario!F64&lt;&gt;"",IF(Formulario!F64=" "," ",Formulario!F64)," ")</f>
        <v xml:space="preserve"> </v>
      </c>
      <c r="K56" s="144" t="str">
        <f>IF(Formulario!G64&lt;&gt;"",IF(Formulario!G64=" "," ",Formulario!G64)," ")</f>
        <v xml:space="preserve"> </v>
      </c>
      <c r="L56" s="144" t="str">
        <f>IF(Formulario!H64&lt;&gt;"",IF(Formulario!H64=" "," ",Formulario!H64)," ")</f>
        <v xml:space="preserve"> </v>
      </c>
      <c r="M56" s="144" t="str">
        <f>IF(Formulario!I64&lt;&gt;"",IF(Formulario!I64=" "," ",Formulario!I64)," ")</f>
        <v xml:space="preserve"> </v>
      </c>
      <c r="N56" s="145" t="str">
        <f>IF(Formulario!J64&lt;&gt;"",IF(Formulario!J64=" "," ",Formulario!J64),IF(G56=".",".","Falta Fecha"))</f>
        <v>.</v>
      </c>
      <c r="O56" s="155">
        <f>Formulario!L64</f>
        <v>0</v>
      </c>
      <c r="P56" s="146">
        <f>IF(O56=1,"09:00",Formulario!M64)</f>
        <v>0</v>
      </c>
      <c r="Q56" s="146">
        <f>IF(O56=1,"18:30",Formulario!N64)</f>
        <v>0</v>
      </c>
      <c r="R56" s="146" t="str">
        <f>IF(Formulario!O64&lt;&gt;"",IF(Formulario!O64=" ",".",Formulario!O64),".")</f>
        <v>Post Venta</v>
      </c>
      <c r="S56" s="141" t="s">
        <v>131</v>
      </c>
    </row>
    <row r="57" spans="1:19">
      <c r="A57" s="141" t="str">
        <f>Formulario!B65</f>
        <v/>
      </c>
      <c r="B57" s="144" t="str">
        <f>IF(G57="."," ",Formulario!D$5)</f>
        <v xml:space="preserve"> </v>
      </c>
      <c r="C57" s="144" t="str">
        <f>IF(G57=".","",Formulario!D$6)</f>
        <v/>
      </c>
      <c r="D57" s="144" t="str">
        <f>IF(H57=".","",Formulario!D$7)</f>
        <v/>
      </c>
      <c r="E57" s="144" t="str">
        <f>IF(G57=".","",Formulario!J$5)</f>
        <v/>
      </c>
      <c r="F57" s="145" t="str">
        <f>IF(G57=".","",Formulario!J$6)</f>
        <v/>
      </c>
      <c r="G57" s="180" t="str">
        <f>IF(Formulario!C65&lt;&gt;"",IF(Formulario!C65=" ","Falta Depto",IF(H57=".","Error En Descripción",Formulario!C65)),IF(H57=".",".","Falta Datos"))</f>
        <v>.</v>
      </c>
      <c r="H57" s="144" t="str">
        <f>IF(Formulario!D65&lt;&gt;"",IF(Formulario!D65=" ",".",Formulario!D65),".")</f>
        <v>.</v>
      </c>
      <c r="I57" s="144" t="str">
        <f>IF(Formulario!E65&lt;&gt;"",IF(Formulario!E65=" "," ",Formulario!E65),IF(G57=".",".","Falta Propietario"))</f>
        <v>.</v>
      </c>
      <c r="J57" s="144" t="str">
        <f>IF(Formulario!F65&lt;&gt;"",IF(Formulario!F65=" "," ",Formulario!F65)," ")</f>
        <v xml:space="preserve"> </v>
      </c>
      <c r="K57" s="144" t="str">
        <f>IF(Formulario!G65&lt;&gt;"",IF(Formulario!G65=" "," ",Formulario!G65)," ")</f>
        <v xml:space="preserve"> </v>
      </c>
      <c r="L57" s="144" t="str">
        <f>IF(Formulario!H65&lt;&gt;"",IF(Formulario!H65=" "," ",Formulario!H65)," ")</f>
        <v xml:space="preserve"> </v>
      </c>
      <c r="M57" s="144" t="str">
        <f>IF(Formulario!I65&lt;&gt;"",IF(Formulario!I65=" "," ",Formulario!I65)," ")</f>
        <v xml:space="preserve"> </v>
      </c>
      <c r="N57" s="145" t="str">
        <f>IF(Formulario!J65&lt;&gt;"",IF(Formulario!J65=" "," ",Formulario!J65),IF(G57=".",".","Falta Fecha"))</f>
        <v>.</v>
      </c>
      <c r="O57" s="155">
        <f>Formulario!L65</f>
        <v>0</v>
      </c>
      <c r="P57" s="146">
        <f>IF(O57=1,"09:00",Formulario!M65)</f>
        <v>0</v>
      </c>
      <c r="Q57" s="146">
        <f>IF(O57=1,"18:30",Formulario!N65)</f>
        <v>0</v>
      </c>
      <c r="R57" s="146" t="str">
        <f>IF(Formulario!O65&lt;&gt;"",IF(Formulario!O65=" ",".",Formulario!O65),".")</f>
        <v>Post Venta</v>
      </c>
      <c r="S57" s="141" t="s">
        <v>131</v>
      </c>
    </row>
    <row r="58" spans="1:19">
      <c r="A58" s="141" t="str">
        <f>Formulario!B66</f>
        <v/>
      </c>
      <c r="B58" s="144" t="str">
        <f>IF(G58="."," ",Formulario!D$5)</f>
        <v xml:space="preserve"> </v>
      </c>
      <c r="C58" s="144" t="str">
        <f>IF(G58=".","",Formulario!D$6)</f>
        <v/>
      </c>
      <c r="D58" s="144" t="str">
        <f>IF(H58=".","",Formulario!D$7)</f>
        <v/>
      </c>
      <c r="E58" s="144" t="str">
        <f>IF(G58=".","",Formulario!J$5)</f>
        <v/>
      </c>
      <c r="F58" s="145" t="str">
        <f>IF(G58=".","",Formulario!J$6)</f>
        <v/>
      </c>
      <c r="G58" s="180" t="str">
        <f>IF(Formulario!C66&lt;&gt;"",IF(Formulario!C66=" ","Falta Depto",IF(H58=".","Error En Descripción",Formulario!C66)),IF(H58=".",".","Falta Datos"))</f>
        <v>.</v>
      </c>
      <c r="H58" s="144" t="str">
        <f>IF(Formulario!D66&lt;&gt;"",IF(Formulario!D66=" ",".",Formulario!D66),".")</f>
        <v>.</v>
      </c>
      <c r="I58" s="144" t="str">
        <f>IF(Formulario!E66&lt;&gt;"",IF(Formulario!E66=" "," ",Formulario!E66),IF(G58=".",".","Falta Propietario"))</f>
        <v>.</v>
      </c>
      <c r="J58" s="144" t="str">
        <f>IF(Formulario!F66&lt;&gt;"",IF(Formulario!F66=" "," ",Formulario!F66)," ")</f>
        <v xml:space="preserve"> </v>
      </c>
      <c r="K58" s="144" t="str">
        <f>IF(Formulario!G66&lt;&gt;"",IF(Formulario!G66=" "," ",Formulario!G66)," ")</f>
        <v xml:space="preserve"> </v>
      </c>
      <c r="L58" s="144" t="str">
        <f>IF(Formulario!H66&lt;&gt;"",IF(Formulario!H66=" "," ",Formulario!H66)," ")</f>
        <v xml:space="preserve"> </v>
      </c>
      <c r="M58" s="144" t="str">
        <f>IF(Formulario!I66&lt;&gt;"",IF(Formulario!I66=" "," ",Formulario!I66)," ")</f>
        <v xml:space="preserve"> </v>
      </c>
      <c r="N58" s="145" t="str">
        <f>IF(Formulario!J66&lt;&gt;"",IF(Formulario!J66=" "," ",Formulario!J66),IF(G58=".",".","Falta Fecha"))</f>
        <v>.</v>
      </c>
      <c r="O58" s="155">
        <f>Formulario!L66</f>
        <v>0</v>
      </c>
      <c r="P58" s="146">
        <f>IF(O58=1,"09:00",Formulario!M66)</f>
        <v>0</v>
      </c>
      <c r="Q58" s="146">
        <f>IF(O58=1,"18:30",Formulario!N66)</f>
        <v>0</v>
      </c>
      <c r="R58" s="146" t="str">
        <f>IF(Formulario!O66&lt;&gt;"",IF(Formulario!O66=" ",".",Formulario!O66),".")</f>
        <v>Post Venta</v>
      </c>
      <c r="S58" s="141" t="s">
        <v>131</v>
      </c>
    </row>
    <row r="59" spans="1:19">
      <c r="A59" s="141" t="str">
        <f>Formulario!B67</f>
        <v/>
      </c>
      <c r="B59" s="144" t="str">
        <f>IF(G59="."," ",Formulario!D$5)</f>
        <v xml:space="preserve"> </v>
      </c>
      <c r="C59" s="144" t="str">
        <f>IF(G59=".","",Formulario!D$6)</f>
        <v/>
      </c>
      <c r="D59" s="144" t="str">
        <f>IF(H59=".","",Formulario!D$7)</f>
        <v/>
      </c>
      <c r="E59" s="144" t="str">
        <f>IF(G59=".","",Formulario!J$5)</f>
        <v/>
      </c>
      <c r="F59" s="145" t="str">
        <f>IF(G59=".","",Formulario!J$6)</f>
        <v/>
      </c>
      <c r="G59" s="180" t="str">
        <f>IF(Formulario!C67&lt;&gt;"",IF(Formulario!C67=" ","Falta Depto",IF(H59=".","Error En Descripción",Formulario!C67)),IF(H59=".",".","Falta Datos"))</f>
        <v>.</v>
      </c>
      <c r="H59" s="144" t="str">
        <f>IF(Formulario!D67&lt;&gt;"",IF(Formulario!D67=" ",".",Formulario!D67),".")</f>
        <v>.</v>
      </c>
      <c r="I59" s="144" t="str">
        <f>IF(Formulario!E67&lt;&gt;"",IF(Formulario!E67=" "," ",Formulario!E67),IF(G59=".",".","Falta Propietario"))</f>
        <v>.</v>
      </c>
      <c r="J59" s="144" t="str">
        <f>IF(Formulario!F67&lt;&gt;"",IF(Formulario!F67=" "," ",Formulario!F67)," ")</f>
        <v xml:space="preserve"> </v>
      </c>
      <c r="K59" s="144" t="str">
        <f>IF(Formulario!G67&lt;&gt;"",IF(Formulario!G67=" "," ",Formulario!G67)," ")</f>
        <v xml:space="preserve"> </v>
      </c>
      <c r="L59" s="144" t="str">
        <f>IF(Formulario!H67&lt;&gt;"",IF(Formulario!H67=" "," ",Formulario!H67)," ")</f>
        <v xml:space="preserve"> </v>
      </c>
      <c r="M59" s="144" t="str">
        <f>IF(Formulario!I67&lt;&gt;"",IF(Formulario!I67=" "," ",Formulario!I67)," ")</f>
        <v xml:space="preserve"> </v>
      </c>
      <c r="N59" s="145" t="str">
        <f>IF(Formulario!J67&lt;&gt;"",IF(Formulario!J67=" "," ",Formulario!J67),IF(G59=".",".","Falta Fecha"))</f>
        <v>.</v>
      </c>
      <c r="O59" s="155">
        <f>Formulario!L67</f>
        <v>0</v>
      </c>
      <c r="P59" s="146">
        <f>IF(O59=1,"09:00",Formulario!M67)</f>
        <v>0</v>
      </c>
      <c r="Q59" s="146">
        <f>IF(O59=1,"18:30",Formulario!N67)</f>
        <v>0</v>
      </c>
      <c r="R59" s="146" t="str">
        <f>IF(Formulario!O67&lt;&gt;"",IF(Formulario!O67=" ",".",Formulario!O67),".")</f>
        <v>Post Venta</v>
      </c>
      <c r="S59" s="141" t="s">
        <v>131</v>
      </c>
    </row>
    <row r="60" spans="1:19">
      <c r="A60" s="141" t="str">
        <f>Formulario!B68</f>
        <v/>
      </c>
      <c r="B60" s="144" t="str">
        <f>IF(G60="."," ",Formulario!D$5)</f>
        <v xml:space="preserve"> </v>
      </c>
      <c r="C60" s="144" t="str">
        <f>IF(G60=".","",Formulario!D$6)</f>
        <v/>
      </c>
      <c r="D60" s="144" t="str">
        <f>IF(H60=".","",Formulario!D$7)</f>
        <v/>
      </c>
      <c r="E60" s="144" t="str">
        <f>IF(G60=".","",Formulario!J$5)</f>
        <v/>
      </c>
      <c r="F60" s="145" t="str">
        <f>IF(G60=".","",Formulario!J$6)</f>
        <v/>
      </c>
      <c r="G60" s="180" t="str">
        <f>IF(Formulario!C68&lt;&gt;"",IF(Formulario!C68=" ","Falta Depto",IF(H60=".","Error En Descripción",Formulario!C68)),IF(H60=".",".","Falta Datos"))</f>
        <v>.</v>
      </c>
      <c r="H60" s="144" t="str">
        <f>IF(Formulario!D68&lt;&gt;"",IF(Formulario!D68=" ",".",Formulario!D68),".")</f>
        <v>.</v>
      </c>
      <c r="I60" s="144" t="str">
        <f>IF(Formulario!E68&lt;&gt;"",IF(Formulario!E68=" "," ",Formulario!E68),IF(G60=".",".","Falta Propietario"))</f>
        <v>.</v>
      </c>
      <c r="J60" s="144" t="str">
        <f>IF(Formulario!F68&lt;&gt;"",IF(Formulario!F68=" "," ",Formulario!F68)," ")</f>
        <v xml:space="preserve"> </v>
      </c>
      <c r="K60" s="144" t="str">
        <f>IF(Formulario!G68&lt;&gt;"",IF(Formulario!G68=" "," ",Formulario!G68)," ")</f>
        <v xml:space="preserve"> </v>
      </c>
      <c r="L60" s="144" t="str">
        <f>IF(Formulario!H68&lt;&gt;"",IF(Formulario!H68=" "," ",Formulario!H68)," ")</f>
        <v xml:space="preserve"> </v>
      </c>
      <c r="M60" s="144" t="str">
        <f>IF(Formulario!I68&lt;&gt;"",IF(Formulario!I68=" "," ",Formulario!I68)," ")</f>
        <v xml:space="preserve"> </v>
      </c>
      <c r="N60" s="145" t="str">
        <f>IF(Formulario!J68&lt;&gt;"",IF(Formulario!J68=" "," ",Formulario!J68),IF(G60=".",".","Falta Fecha"))</f>
        <v>.</v>
      </c>
      <c r="O60" s="155">
        <f>Formulario!L68</f>
        <v>0</v>
      </c>
      <c r="P60" s="146">
        <f>IF(O60=1,"09:00",Formulario!M68)</f>
        <v>0</v>
      </c>
      <c r="Q60" s="146">
        <f>IF(O60=1,"18:30",Formulario!N68)</f>
        <v>0</v>
      </c>
      <c r="R60" s="146" t="str">
        <f>IF(Formulario!O68&lt;&gt;"",IF(Formulario!O68=" ",".",Formulario!O68),".")</f>
        <v>Post Venta</v>
      </c>
      <c r="S60" s="141" t="s">
        <v>131</v>
      </c>
    </row>
    <row r="61" spans="1:19">
      <c r="A61" s="141" t="str">
        <f>Formulario!B69</f>
        <v/>
      </c>
      <c r="B61" s="144" t="str">
        <f>IF(G61="."," ",Formulario!D$5)</f>
        <v xml:space="preserve"> </v>
      </c>
      <c r="C61" s="144" t="str">
        <f>IF(G61=".","",Formulario!D$6)</f>
        <v/>
      </c>
      <c r="D61" s="144" t="str">
        <f>IF(H61=".","",Formulario!D$7)</f>
        <v/>
      </c>
      <c r="E61" s="144" t="str">
        <f>IF(G61=".","",Formulario!J$5)</f>
        <v/>
      </c>
      <c r="F61" s="145" t="str">
        <f>IF(G61=".","",Formulario!J$6)</f>
        <v/>
      </c>
      <c r="G61" s="180" t="str">
        <f>IF(Formulario!C69&lt;&gt;"",IF(Formulario!C69=" ","Falta Depto",IF(H61=".","Error En Descripción",Formulario!C69)),IF(H61=".",".","Falta Datos"))</f>
        <v>.</v>
      </c>
      <c r="H61" s="144" t="str">
        <f>IF(Formulario!D69&lt;&gt;"",IF(Formulario!D69=" ",".",Formulario!D69),".")</f>
        <v>.</v>
      </c>
      <c r="I61" s="144" t="str">
        <f>IF(Formulario!E69&lt;&gt;"",IF(Formulario!E69=" "," ",Formulario!E69),IF(G61=".",".","Falta Propietario"))</f>
        <v>.</v>
      </c>
      <c r="J61" s="144" t="str">
        <f>IF(Formulario!F69&lt;&gt;"",IF(Formulario!F69=" "," ",Formulario!F69)," ")</f>
        <v xml:space="preserve"> </v>
      </c>
      <c r="K61" s="144" t="str">
        <f>IF(Formulario!G69&lt;&gt;"",IF(Formulario!G69=" "," ",Formulario!G69)," ")</f>
        <v xml:space="preserve"> </v>
      </c>
      <c r="L61" s="144" t="str">
        <f>IF(Formulario!H69&lt;&gt;"",IF(Formulario!H69=" "," ",Formulario!H69)," ")</f>
        <v xml:space="preserve"> </v>
      </c>
      <c r="M61" s="144" t="str">
        <f>IF(Formulario!I69&lt;&gt;"",IF(Formulario!I69=" "," ",Formulario!I69)," ")</f>
        <v xml:space="preserve"> </v>
      </c>
      <c r="N61" s="145" t="str">
        <f>IF(Formulario!J69&lt;&gt;"",IF(Formulario!J69=" "," ",Formulario!J69),IF(G61=".",".","Falta Fecha"))</f>
        <v>.</v>
      </c>
      <c r="O61" s="155">
        <f>Formulario!L69</f>
        <v>0</v>
      </c>
      <c r="P61" s="146">
        <f>IF(O61=1,"09:00",Formulario!M69)</f>
        <v>0</v>
      </c>
      <c r="Q61" s="146">
        <f>IF(O61=1,"18:30",Formulario!N69)</f>
        <v>0</v>
      </c>
      <c r="R61" s="146" t="str">
        <f>IF(Formulario!O69&lt;&gt;"",IF(Formulario!O69=" ",".",Formulario!O69),".")</f>
        <v>Post Venta</v>
      </c>
      <c r="S61" s="141" t="s">
        <v>131</v>
      </c>
    </row>
    <row r="62" spans="1:19">
      <c r="A62" s="141" t="str">
        <f>Formulario!B70</f>
        <v/>
      </c>
      <c r="B62" s="144" t="str">
        <f>IF(G62="."," ",Formulario!D$5)</f>
        <v xml:space="preserve"> </v>
      </c>
      <c r="C62" s="144" t="str">
        <f>IF(G62=".","",Formulario!D$6)</f>
        <v/>
      </c>
      <c r="D62" s="144" t="str">
        <f>IF(H62=".","",Formulario!D$7)</f>
        <v/>
      </c>
      <c r="E62" s="144" t="str">
        <f>IF(G62=".","",Formulario!J$5)</f>
        <v/>
      </c>
      <c r="F62" s="145" t="str">
        <f>IF(G62=".","",Formulario!J$6)</f>
        <v/>
      </c>
      <c r="G62" s="180" t="str">
        <f>IF(Formulario!C70&lt;&gt;"",IF(Formulario!C70=" ","Falta Depto",IF(H62=".","Error En Descripción",Formulario!C70)),IF(H62=".",".","Falta Datos"))</f>
        <v>.</v>
      </c>
      <c r="H62" s="144" t="str">
        <f>IF(Formulario!D70&lt;&gt;"",IF(Formulario!D70=" ",".",Formulario!D70),".")</f>
        <v>.</v>
      </c>
      <c r="I62" s="144" t="str">
        <f>IF(Formulario!E70&lt;&gt;"",IF(Formulario!E70=" "," ",Formulario!E70),IF(G62=".",".","Falta Propietario"))</f>
        <v>.</v>
      </c>
      <c r="J62" s="144" t="str">
        <f>IF(Formulario!F70&lt;&gt;"",IF(Formulario!F70=" "," ",Formulario!F70)," ")</f>
        <v xml:space="preserve"> </v>
      </c>
      <c r="K62" s="144" t="str">
        <f>IF(Formulario!G70&lt;&gt;"",IF(Formulario!G70=" "," ",Formulario!G70)," ")</f>
        <v xml:space="preserve"> </v>
      </c>
      <c r="L62" s="144" t="str">
        <f>IF(Formulario!H70&lt;&gt;"",IF(Formulario!H70=" "," ",Formulario!H70)," ")</f>
        <v xml:space="preserve"> </v>
      </c>
      <c r="M62" s="144" t="str">
        <f>IF(Formulario!I70&lt;&gt;"",IF(Formulario!I70=" "," ",Formulario!I70)," ")</f>
        <v xml:space="preserve"> </v>
      </c>
      <c r="N62" s="145" t="str">
        <f>IF(Formulario!J70&lt;&gt;"",IF(Formulario!J70=" "," ",Formulario!J70),IF(G62=".",".","Falta Fecha"))</f>
        <v>.</v>
      </c>
      <c r="O62" s="155">
        <f>Formulario!L70</f>
        <v>0</v>
      </c>
      <c r="P62" s="146">
        <f>IF(O62=1,"09:00",Formulario!M70)</f>
        <v>0</v>
      </c>
      <c r="Q62" s="146">
        <f>IF(O62=1,"18:30",Formulario!N70)</f>
        <v>0</v>
      </c>
      <c r="R62" s="146" t="str">
        <f>IF(Formulario!O70&lt;&gt;"",IF(Formulario!O70=" ",".",Formulario!O70),".")</f>
        <v>Post Venta</v>
      </c>
      <c r="S62" s="141" t="s">
        <v>131</v>
      </c>
    </row>
    <row r="63" spans="1:19">
      <c r="A63" s="141" t="str">
        <f>Formulario!B71</f>
        <v/>
      </c>
      <c r="B63" s="144" t="str">
        <f>IF(G63="."," ",Formulario!D$5)</f>
        <v xml:space="preserve"> </v>
      </c>
      <c r="C63" s="144" t="str">
        <f>IF(G63=".","",Formulario!D$6)</f>
        <v/>
      </c>
      <c r="D63" s="144" t="str">
        <f>IF(H63=".","",Formulario!D$7)</f>
        <v/>
      </c>
      <c r="E63" s="144" t="str">
        <f>IF(G63=".","",Formulario!J$5)</f>
        <v/>
      </c>
      <c r="F63" s="145" t="str">
        <f>IF(G63=".","",Formulario!J$6)</f>
        <v/>
      </c>
      <c r="G63" s="180" t="str">
        <f>IF(Formulario!C71&lt;&gt;"",IF(Formulario!C71=" ","Falta Depto",IF(H63=".","Error En Descripción",Formulario!C71)),IF(H63=".",".","Falta Datos"))</f>
        <v>.</v>
      </c>
      <c r="H63" s="144" t="str">
        <f>IF(Formulario!D71&lt;&gt;"",IF(Formulario!D71=" ",".",Formulario!D71),".")</f>
        <v>.</v>
      </c>
      <c r="I63" s="144" t="str">
        <f>IF(Formulario!E71&lt;&gt;"",IF(Formulario!E71=" "," ",Formulario!E71),IF(G63=".",".","Falta Propietario"))</f>
        <v>.</v>
      </c>
      <c r="J63" s="144" t="str">
        <f>IF(Formulario!F71&lt;&gt;"",IF(Formulario!F71=" "," ",Formulario!F71)," ")</f>
        <v xml:space="preserve"> </v>
      </c>
      <c r="K63" s="144" t="str">
        <f>IF(Formulario!G71&lt;&gt;"",IF(Formulario!G71=" "," ",Formulario!G71)," ")</f>
        <v xml:space="preserve"> </v>
      </c>
      <c r="L63" s="144" t="str">
        <f>IF(Formulario!H71&lt;&gt;"",IF(Formulario!H71=" "," ",Formulario!H71)," ")</f>
        <v xml:space="preserve"> </v>
      </c>
      <c r="M63" s="144" t="str">
        <f>IF(Formulario!I71&lt;&gt;"",IF(Formulario!I71=" "," ",Formulario!I71)," ")</f>
        <v xml:space="preserve"> </v>
      </c>
      <c r="N63" s="145" t="str">
        <f>IF(Formulario!J71&lt;&gt;"",IF(Formulario!J71=" "," ",Formulario!J71),IF(G63=".",".","Falta Fecha"))</f>
        <v>.</v>
      </c>
      <c r="O63" s="155">
        <f>Formulario!L71</f>
        <v>0</v>
      </c>
      <c r="P63" s="146">
        <f>IF(O63=1,"09:00",Formulario!M71)</f>
        <v>0</v>
      </c>
      <c r="Q63" s="146">
        <f>IF(O63=1,"18:30",Formulario!N71)</f>
        <v>0</v>
      </c>
      <c r="R63" s="146" t="str">
        <f>IF(Formulario!O71&lt;&gt;"",IF(Formulario!O71=" ",".",Formulario!O71),".")</f>
        <v>Post Venta</v>
      </c>
      <c r="S63" s="141" t="s">
        <v>131</v>
      </c>
    </row>
    <row r="64" spans="1:19">
      <c r="A64" s="141" t="str">
        <f>Formulario!B72</f>
        <v/>
      </c>
      <c r="B64" s="144" t="str">
        <f>IF(G64="."," ",Formulario!D$5)</f>
        <v xml:space="preserve"> </v>
      </c>
      <c r="C64" s="144" t="str">
        <f>IF(G64=".","",Formulario!D$6)</f>
        <v/>
      </c>
      <c r="D64" s="144" t="str">
        <f>IF(H64=".","",Formulario!D$7)</f>
        <v/>
      </c>
      <c r="E64" s="144" t="str">
        <f>IF(G64=".","",Formulario!J$5)</f>
        <v/>
      </c>
      <c r="F64" s="145" t="str">
        <f>IF(G64=".","",Formulario!J$6)</f>
        <v/>
      </c>
      <c r="G64" s="180" t="str">
        <f>IF(Formulario!C72&lt;&gt;"",IF(Formulario!C72=" ","Falta Depto",IF(H64=".","Error En Descripción",Formulario!C72)),IF(H64=".",".","Falta Datos"))</f>
        <v>.</v>
      </c>
      <c r="H64" s="144" t="str">
        <f>IF(Formulario!D72&lt;&gt;"",IF(Formulario!D72=" ",".",Formulario!D72),".")</f>
        <v>.</v>
      </c>
      <c r="I64" s="144" t="str">
        <f>IF(Formulario!E72&lt;&gt;"",IF(Formulario!E72=" "," ",Formulario!E72),IF(G64=".",".","Falta Propietario"))</f>
        <v>.</v>
      </c>
      <c r="J64" s="144" t="str">
        <f>IF(Formulario!F72&lt;&gt;"",IF(Formulario!F72=" "," ",Formulario!F72)," ")</f>
        <v xml:space="preserve"> </v>
      </c>
      <c r="K64" s="144" t="str">
        <f>IF(Formulario!G72&lt;&gt;"",IF(Formulario!G72=" "," ",Formulario!G72)," ")</f>
        <v xml:space="preserve"> </v>
      </c>
      <c r="L64" s="144" t="str">
        <f>IF(Formulario!H72&lt;&gt;"",IF(Formulario!H72=" "," ",Formulario!H72)," ")</f>
        <v xml:space="preserve"> </v>
      </c>
      <c r="M64" s="144" t="str">
        <f>IF(Formulario!I72&lt;&gt;"",IF(Formulario!I72=" "," ",Formulario!I72)," ")</f>
        <v xml:space="preserve"> </v>
      </c>
      <c r="N64" s="145" t="str">
        <f>IF(Formulario!J72&lt;&gt;"",IF(Formulario!J72=" "," ",Formulario!J72),IF(G64=".",".","Falta Fecha"))</f>
        <v>.</v>
      </c>
      <c r="O64" s="155">
        <f>Formulario!L72</f>
        <v>0</v>
      </c>
      <c r="P64" s="146">
        <f>IF(O64=1,"09:00",Formulario!M72)</f>
        <v>0</v>
      </c>
      <c r="Q64" s="146">
        <f>IF(O64=1,"18:30",Formulario!N72)</f>
        <v>0</v>
      </c>
      <c r="R64" s="146" t="str">
        <f>IF(Formulario!O72&lt;&gt;"",IF(Formulario!O72=" ",".",Formulario!O72),".")</f>
        <v>Post Venta</v>
      </c>
      <c r="S64" s="141" t="s">
        <v>131</v>
      </c>
    </row>
    <row r="65" spans="1:19">
      <c r="A65" s="141" t="str">
        <f>Formulario!B73</f>
        <v/>
      </c>
      <c r="B65" s="144" t="str">
        <f>IF(G65="."," ",Formulario!D$5)</f>
        <v xml:space="preserve"> </v>
      </c>
      <c r="C65" s="144" t="str">
        <f>IF(G65=".","",Formulario!D$6)</f>
        <v/>
      </c>
      <c r="D65" s="144" t="str">
        <f>IF(H65=".","",Formulario!D$7)</f>
        <v/>
      </c>
      <c r="E65" s="144" t="str">
        <f>IF(G65=".","",Formulario!J$5)</f>
        <v/>
      </c>
      <c r="F65" s="145" t="str">
        <f>IF(G65=".","",Formulario!J$6)</f>
        <v/>
      </c>
      <c r="G65" s="180" t="str">
        <f>IF(Formulario!C73&lt;&gt;"",IF(Formulario!C73=" ","Falta Depto",IF(H65=".","Error En Descripción",Formulario!C73)),IF(H65=".",".","Falta Datos"))</f>
        <v>.</v>
      </c>
      <c r="H65" s="144" t="str">
        <f>IF(Formulario!D73&lt;&gt;"",IF(Formulario!D73=" ",".",Formulario!D73),".")</f>
        <v>.</v>
      </c>
      <c r="I65" s="144" t="str">
        <f>IF(Formulario!E73&lt;&gt;"",IF(Formulario!E73=" "," ",Formulario!E73),IF(G65=".",".","Falta Propietario"))</f>
        <v>.</v>
      </c>
      <c r="J65" s="144" t="str">
        <f>IF(Formulario!F73&lt;&gt;"",IF(Formulario!F73=" "," ",Formulario!F73)," ")</f>
        <v xml:space="preserve"> </v>
      </c>
      <c r="K65" s="144" t="str">
        <f>IF(Formulario!G73&lt;&gt;"",IF(Formulario!G73=" "," ",Formulario!G73)," ")</f>
        <v xml:space="preserve"> </v>
      </c>
      <c r="L65" s="144" t="str">
        <f>IF(Formulario!H73&lt;&gt;"",IF(Formulario!H73=" "," ",Formulario!H73)," ")</f>
        <v xml:space="preserve"> </v>
      </c>
      <c r="M65" s="144" t="str">
        <f>IF(Formulario!I73&lt;&gt;"",IF(Formulario!I73=" "," ",Formulario!I73)," ")</f>
        <v xml:space="preserve"> </v>
      </c>
      <c r="N65" s="145" t="str">
        <f>IF(Formulario!J73&lt;&gt;"",IF(Formulario!J73=" "," ",Formulario!J73),IF(G65=".",".","Falta Fecha"))</f>
        <v>.</v>
      </c>
      <c r="O65" s="155">
        <f>Formulario!L73</f>
        <v>0</v>
      </c>
      <c r="P65" s="146">
        <f>IF(O65=1,"09:00",Formulario!M73)</f>
        <v>0</v>
      </c>
      <c r="Q65" s="146">
        <f>IF(O65=1,"18:30",Formulario!N73)</f>
        <v>0</v>
      </c>
      <c r="R65" s="146" t="str">
        <f>IF(Formulario!O73&lt;&gt;"",IF(Formulario!O73=" ",".",Formulario!O73),".")</f>
        <v>Post Venta</v>
      </c>
      <c r="S65" s="141" t="s">
        <v>131</v>
      </c>
    </row>
    <row r="66" spans="1:19">
      <c r="A66" s="141" t="str">
        <f>Formulario!B74</f>
        <v/>
      </c>
      <c r="B66" s="144" t="str">
        <f>IF(G66="."," ",Formulario!D$5)</f>
        <v xml:space="preserve"> </v>
      </c>
      <c r="C66" s="144" t="str">
        <f>IF(G66=".","",Formulario!D$6)</f>
        <v/>
      </c>
      <c r="D66" s="144" t="str">
        <f>IF(H66=".","",Formulario!D$7)</f>
        <v/>
      </c>
      <c r="E66" s="144" t="str">
        <f>IF(G66=".","",Formulario!J$5)</f>
        <v/>
      </c>
      <c r="F66" s="145" t="str">
        <f>IF(G66=".","",Formulario!J$6)</f>
        <v/>
      </c>
      <c r="G66" s="180" t="str">
        <f>IF(Formulario!C74&lt;&gt;"",IF(Formulario!C74=" ","Falta Depto",IF(H66=".","Error En Descripción",Formulario!C74)),IF(H66=".",".","Falta Datos"))</f>
        <v>.</v>
      </c>
      <c r="H66" s="144" t="str">
        <f>IF(Formulario!D74&lt;&gt;"",IF(Formulario!D74=" ",".",Formulario!D74),".")</f>
        <v>.</v>
      </c>
      <c r="I66" s="144" t="str">
        <f>IF(Formulario!E74&lt;&gt;"",IF(Formulario!E74=" "," ",Formulario!E74),IF(G66=".",".","Falta Propietario"))</f>
        <v>.</v>
      </c>
      <c r="J66" s="144" t="str">
        <f>IF(Formulario!F74&lt;&gt;"",IF(Formulario!F74=" "," ",Formulario!F74)," ")</f>
        <v xml:space="preserve"> </v>
      </c>
      <c r="K66" s="144" t="str">
        <f>IF(Formulario!G74&lt;&gt;"",IF(Formulario!G74=" "," ",Formulario!G74)," ")</f>
        <v xml:space="preserve"> </v>
      </c>
      <c r="L66" s="144" t="str">
        <f>IF(Formulario!H74&lt;&gt;"",IF(Formulario!H74=" "," ",Formulario!H74)," ")</f>
        <v xml:space="preserve"> </v>
      </c>
      <c r="M66" s="144" t="str">
        <f>IF(Formulario!I74&lt;&gt;"",IF(Formulario!I74=" "," ",Formulario!I74)," ")</f>
        <v xml:space="preserve"> </v>
      </c>
      <c r="N66" s="145" t="str">
        <f>IF(Formulario!J74&lt;&gt;"",IF(Formulario!J74=" "," ",Formulario!J74),IF(G66=".",".","Falta Fecha"))</f>
        <v>.</v>
      </c>
      <c r="O66" s="155">
        <f>Formulario!L74</f>
        <v>0</v>
      </c>
      <c r="P66" s="146">
        <f>IF(O66=1,"09:00",Formulario!M74)</f>
        <v>0</v>
      </c>
      <c r="Q66" s="146">
        <f>IF(O66=1,"18:30",Formulario!N74)</f>
        <v>0</v>
      </c>
      <c r="R66" s="146" t="str">
        <f>IF(Formulario!O74&lt;&gt;"",IF(Formulario!O74=" ",".",Formulario!O74),".")</f>
        <v>Post Venta</v>
      </c>
      <c r="S66" s="141" t="s">
        <v>131</v>
      </c>
    </row>
    <row r="67" spans="1:19">
      <c r="A67" s="141" t="str">
        <f>Formulario!B75</f>
        <v/>
      </c>
      <c r="B67" s="144" t="str">
        <f>IF(G67="."," ",Formulario!D$5)</f>
        <v xml:space="preserve"> </v>
      </c>
      <c r="C67" s="144" t="str">
        <f>IF(G67=".","",Formulario!D$6)</f>
        <v/>
      </c>
      <c r="D67" s="144" t="str">
        <f>IF(H67=".","",Formulario!D$7)</f>
        <v/>
      </c>
      <c r="E67" s="144" t="str">
        <f>IF(G67=".","",Formulario!J$5)</f>
        <v/>
      </c>
      <c r="F67" s="145" t="str">
        <f>IF(G67=".","",Formulario!J$6)</f>
        <v/>
      </c>
      <c r="G67" s="180" t="str">
        <f>IF(Formulario!C75&lt;&gt;"",IF(Formulario!C75=" ","Falta Depto",IF(H67=".","Error En Descripción",Formulario!C75)),IF(H67=".",".","Falta Datos"))</f>
        <v>.</v>
      </c>
      <c r="H67" s="144" t="str">
        <f>IF(Formulario!D75&lt;&gt;"",IF(Formulario!D75=" ",".",Formulario!D75),".")</f>
        <v>.</v>
      </c>
      <c r="I67" s="144" t="str">
        <f>IF(Formulario!E75&lt;&gt;"",IF(Formulario!E75=" "," ",Formulario!E75),IF(G67=".",".","Falta Propietario"))</f>
        <v>.</v>
      </c>
      <c r="J67" s="144" t="str">
        <f>IF(Formulario!F75&lt;&gt;"",IF(Formulario!F75=" "," ",Formulario!F75)," ")</f>
        <v xml:space="preserve"> </v>
      </c>
      <c r="K67" s="144" t="str">
        <f>IF(Formulario!G75&lt;&gt;"",IF(Formulario!G75=" "," ",Formulario!G75)," ")</f>
        <v xml:space="preserve"> </v>
      </c>
      <c r="L67" s="144" t="str">
        <f>IF(Formulario!H75&lt;&gt;"",IF(Formulario!H75=" "," ",Formulario!H75)," ")</f>
        <v xml:space="preserve"> </v>
      </c>
      <c r="M67" s="144" t="str">
        <f>IF(Formulario!I75&lt;&gt;"",IF(Formulario!I75=" "," ",Formulario!I75)," ")</f>
        <v xml:space="preserve"> </v>
      </c>
      <c r="N67" s="145" t="str">
        <f>IF(Formulario!J75&lt;&gt;"",IF(Formulario!J75=" "," ",Formulario!J75),IF(G67=".",".","Falta Fecha"))</f>
        <v>.</v>
      </c>
      <c r="O67" s="155">
        <f>Formulario!L75</f>
        <v>0</v>
      </c>
      <c r="P67" s="146">
        <f>IF(O67=1,"09:00",Formulario!M75)</f>
        <v>0</v>
      </c>
      <c r="Q67" s="146">
        <f>IF(O67=1,"18:30",Formulario!N75)</f>
        <v>0</v>
      </c>
      <c r="R67" s="146" t="str">
        <f>IF(Formulario!O75&lt;&gt;"",IF(Formulario!O75=" ",".",Formulario!O75),".")</f>
        <v>Post Venta</v>
      </c>
      <c r="S67" s="141" t="s">
        <v>131</v>
      </c>
    </row>
    <row r="68" spans="1:19">
      <c r="A68" s="141" t="str">
        <f>Formulario!B76</f>
        <v/>
      </c>
      <c r="B68" s="144" t="str">
        <f>IF(G68="."," ",Formulario!D$5)</f>
        <v xml:space="preserve"> </v>
      </c>
      <c r="C68" s="144" t="str">
        <f>IF(G68=".","",Formulario!D$6)</f>
        <v/>
      </c>
      <c r="D68" s="144" t="str">
        <f>IF(H68=".","",Formulario!D$7)</f>
        <v/>
      </c>
      <c r="E68" s="144" t="str">
        <f>IF(G68=".","",Formulario!J$5)</f>
        <v/>
      </c>
      <c r="F68" s="145" t="str">
        <f>IF(G68=".","",Formulario!J$6)</f>
        <v/>
      </c>
      <c r="G68" s="180" t="str">
        <f>IF(Formulario!C76&lt;&gt;"",IF(Formulario!C76=" ","Falta Depto",IF(H68=".","Error En Descripción",Formulario!C76)),IF(H68=".",".","Falta Datos"))</f>
        <v>.</v>
      </c>
      <c r="H68" s="144" t="str">
        <f>IF(Formulario!D76&lt;&gt;"",IF(Formulario!D76=" ",".",Formulario!D76),".")</f>
        <v>.</v>
      </c>
      <c r="I68" s="144" t="str">
        <f>IF(Formulario!E76&lt;&gt;"",IF(Formulario!E76=" "," ",Formulario!E76),IF(G68=".",".","Falta Propietario"))</f>
        <v>.</v>
      </c>
      <c r="J68" s="144" t="str">
        <f>IF(Formulario!F76&lt;&gt;"",IF(Formulario!F76=" "," ",Formulario!F76)," ")</f>
        <v xml:space="preserve"> </v>
      </c>
      <c r="K68" s="144" t="str">
        <f>IF(Formulario!G76&lt;&gt;"",IF(Formulario!G76=" "," ",Formulario!G76)," ")</f>
        <v xml:space="preserve"> </v>
      </c>
      <c r="L68" s="144" t="str">
        <f>IF(Formulario!H76&lt;&gt;"",IF(Formulario!H76=" "," ",Formulario!H76)," ")</f>
        <v xml:space="preserve"> </v>
      </c>
      <c r="M68" s="144" t="str">
        <f>IF(Formulario!I76&lt;&gt;"",IF(Formulario!I76=" "," ",Formulario!I76)," ")</f>
        <v xml:space="preserve"> </v>
      </c>
      <c r="N68" s="145" t="str">
        <f>IF(Formulario!J76&lt;&gt;"",IF(Formulario!J76=" "," ",Formulario!J76),IF(G68=".",".","Falta Fecha"))</f>
        <v>.</v>
      </c>
      <c r="O68" s="155">
        <f>Formulario!L76</f>
        <v>0</v>
      </c>
      <c r="P68" s="146">
        <f>IF(O68=1,"09:00",Formulario!M76)</f>
        <v>0</v>
      </c>
      <c r="Q68" s="146">
        <f>IF(O68=1,"18:30",Formulario!N76)</f>
        <v>0</v>
      </c>
      <c r="R68" s="146" t="str">
        <f>IF(Formulario!O76&lt;&gt;"",IF(Formulario!O76=" ",".",Formulario!O76),".")</f>
        <v>Post Venta</v>
      </c>
      <c r="S68" s="141" t="s">
        <v>131</v>
      </c>
    </row>
    <row r="69" spans="1:19">
      <c r="A69" s="141" t="str">
        <f>Formulario!B77</f>
        <v/>
      </c>
      <c r="B69" s="144" t="str">
        <f>IF(G69="."," ",Formulario!D$5)</f>
        <v xml:space="preserve"> </v>
      </c>
      <c r="C69" s="144" t="str">
        <f>IF(G69=".","",Formulario!D$6)</f>
        <v/>
      </c>
      <c r="D69" s="144" t="str">
        <f>IF(H69=".","",Formulario!D$7)</f>
        <v/>
      </c>
      <c r="E69" s="144" t="str">
        <f>IF(G69=".","",Formulario!J$5)</f>
        <v/>
      </c>
      <c r="F69" s="145" t="str">
        <f>IF(G69=".","",Formulario!J$6)</f>
        <v/>
      </c>
      <c r="G69" s="180" t="str">
        <f>IF(Formulario!C77&lt;&gt;"",IF(Formulario!C77=" ","Falta Depto",IF(H69=".","Error En Descripción",Formulario!C77)),IF(H69=".",".","Falta Datos"))</f>
        <v>.</v>
      </c>
      <c r="H69" s="144" t="str">
        <f>IF(Formulario!D77&lt;&gt;"",IF(Formulario!D77=" ",".",Formulario!D77),".")</f>
        <v>.</v>
      </c>
      <c r="I69" s="144" t="str">
        <f>IF(Formulario!E77&lt;&gt;"",IF(Formulario!E77=" "," ",Formulario!E77),IF(G69=".",".","Falta Propietario"))</f>
        <v>.</v>
      </c>
      <c r="J69" s="144" t="str">
        <f>IF(Formulario!F77&lt;&gt;"",IF(Formulario!F77=" "," ",Formulario!F77)," ")</f>
        <v xml:space="preserve"> </v>
      </c>
      <c r="K69" s="144" t="str">
        <f>IF(Formulario!G77&lt;&gt;"",IF(Formulario!G77=" "," ",Formulario!G77)," ")</f>
        <v xml:space="preserve"> </v>
      </c>
      <c r="L69" s="144" t="str">
        <f>IF(Formulario!H77&lt;&gt;"",IF(Formulario!H77=" "," ",Formulario!H77)," ")</f>
        <v xml:space="preserve"> </v>
      </c>
      <c r="M69" s="144" t="str">
        <f>IF(Formulario!I77&lt;&gt;"",IF(Formulario!I77=" "," ",Formulario!I77)," ")</f>
        <v xml:space="preserve"> </v>
      </c>
      <c r="N69" s="145" t="str">
        <f>IF(Formulario!J77&lt;&gt;"",IF(Formulario!J77=" "," ",Formulario!J77),IF(G69=".",".","Falta Fecha"))</f>
        <v>.</v>
      </c>
      <c r="O69" s="155">
        <f>Formulario!L77</f>
        <v>0</v>
      </c>
      <c r="P69" s="146">
        <f>IF(O69=1,"09:00",Formulario!M77)</f>
        <v>0</v>
      </c>
      <c r="Q69" s="146">
        <f>IF(O69=1,"18:30",Formulario!N77)</f>
        <v>0</v>
      </c>
      <c r="R69" s="146" t="str">
        <f>IF(Formulario!O77&lt;&gt;"",IF(Formulario!O77=" ",".",Formulario!O77),".")</f>
        <v>Post Venta</v>
      </c>
      <c r="S69" s="141" t="s">
        <v>131</v>
      </c>
    </row>
    <row r="70" spans="1:19">
      <c r="A70" s="141" t="str">
        <f>Formulario!B78</f>
        <v/>
      </c>
      <c r="B70" s="144" t="str">
        <f>IF(G70="."," ",Formulario!D$5)</f>
        <v xml:space="preserve"> </v>
      </c>
      <c r="C70" s="144" t="str">
        <f>IF(G70=".","",Formulario!D$6)</f>
        <v/>
      </c>
      <c r="D70" s="144" t="str">
        <f>IF(H70=".","",Formulario!D$7)</f>
        <v/>
      </c>
      <c r="E70" s="144" t="str">
        <f>IF(G70=".","",Formulario!J$5)</f>
        <v/>
      </c>
      <c r="F70" s="145" t="str">
        <f>IF(G70=".","",Formulario!J$6)</f>
        <v/>
      </c>
      <c r="G70" s="180" t="str">
        <f>IF(Formulario!C78&lt;&gt;"",IF(Formulario!C78=" ","Falta Depto",IF(H70=".","Error En Descripción",Formulario!C78)),IF(H70=".",".","Falta Datos"))</f>
        <v>.</v>
      </c>
      <c r="H70" s="144" t="str">
        <f>IF(Formulario!D78&lt;&gt;"",IF(Formulario!D78=" ",".",Formulario!D78),".")</f>
        <v>.</v>
      </c>
      <c r="I70" s="144" t="str">
        <f>IF(Formulario!E78&lt;&gt;"",IF(Formulario!E78=" "," ",Formulario!E78),IF(G70=".",".","Falta Propietario"))</f>
        <v>.</v>
      </c>
      <c r="J70" s="144" t="str">
        <f>IF(Formulario!F78&lt;&gt;"",IF(Formulario!F78=" "," ",Formulario!F78)," ")</f>
        <v xml:space="preserve"> </v>
      </c>
      <c r="K70" s="144" t="str">
        <f>IF(Formulario!G78&lt;&gt;"",IF(Formulario!G78=" "," ",Formulario!G78)," ")</f>
        <v xml:space="preserve"> </v>
      </c>
      <c r="L70" s="144" t="str">
        <f>IF(Formulario!H78&lt;&gt;"",IF(Formulario!H78=" "," ",Formulario!H78)," ")</f>
        <v xml:space="preserve"> </v>
      </c>
      <c r="M70" s="144" t="str">
        <f>IF(Formulario!I78&lt;&gt;"",IF(Formulario!I78=" "," ",Formulario!I78)," ")</f>
        <v xml:space="preserve"> </v>
      </c>
      <c r="N70" s="145" t="str">
        <f>IF(Formulario!J78&lt;&gt;"",IF(Formulario!J78=" "," ",Formulario!J78),IF(G70=".",".","Falta Fecha"))</f>
        <v>.</v>
      </c>
      <c r="O70" s="155">
        <f>Formulario!L78</f>
        <v>0</v>
      </c>
      <c r="P70" s="146">
        <f>IF(O70=1,"09:00",Formulario!M78)</f>
        <v>0</v>
      </c>
      <c r="Q70" s="146">
        <f>IF(O70=1,"18:30",Formulario!N78)</f>
        <v>0</v>
      </c>
      <c r="R70" s="146" t="str">
        <f>IF(Formulario!O78&lt;&gt;"",IF(Formulario!O78=" ",".",Formulario!O78),".")</f>
        <v>Post Venta</v>
      </c>
      <c r="S70" s="141" t="s">
        <v>131</v>
      </c>
    </row>
    <row r="71" spans="1:19">
      <c r="A71" s="141" t="str">
        <f>Formulario!B79</f>
        <v/>
      </c>
      <c r="B71" s="144" t="str">
        <f>IF(G71="."," ",Formulario!D$5)</f>
        <v xml:space="preserve"> </v>
      </c>
      <c r="C71" s="144" t="str">
        <f>IF(G71=".","",Formulario!D$6)</f>
        <v/>
      </c>
      <c r="D71" s="144" t="str">
        <f>IF(H71=".","",Formulario!D$7)</f>
        <v/>
      </c>
      <c r="E71" s="144" t="str">
        <f>IF(G71=".","",Formulario!J$5)</f>
        <v/>
      </c>
      <c r="F71" s="145" t="str">
        <f>IF(G71=".","",Formulario!J$6)</f>
        <v/>
      </c>
      <c r="G71" s="180" t="str">
        <f>IF(Formulario!C79&lt;&gt;"",IF(Formulario!C79=" ","Falta Depto",IF(H71=".","Error En Descripción",Formulario!C79)),IF(H71=".",".","Falta Datos"))</f>
        <v>.</v>
      </c>
      <c r="H71" s="144" t="str">
        <f>IF(Formulario!D79&lt;&gt;"",IF(Formulario!D79=" ",".",Formulario!D79),".")</f>
        <v>.</v>
      </c>
      <c r="I71" s="144" t="str">
        <f>IF(Formulario!E79&lt;&gt;"",IF(Formulario!E79=" "," ",Formulario!E79),IF(G71=".",".","Falta Propietario"))</f>
        <v>.</v>
      </c>
      <c r="J71" s="144" t="str">
        <f>IF(Formulario!F79&lt;&gt;"",IF(Formulario!F79=" "," ",Formulario!F79)," ")</f>
        <v xml:space="preserve"> </v>
      </c>
      <c r="K71" s="144" t="str">
        <f>IF(Formulario!G79&lt;&gt;"",IF(Formulario!G79=" "," ",Formulario!G79)," ")</f>
        <v xml:space="preserve"> </v>
      </c>
      <c r="L71" s="144" t="str">
        <f>IF(Formulario!H79&lt;&gt;"",IF(Formulario!H79=" "," ",Formulario!H79)," ")</f>
        <v xml:space="preserve"> </v>
      </c>
      <c r="M71" s="144" t="str">
        <f>IF(Formulario!I79&lt;&gt;"",IF(Formulario!I79=" "," ",Formulario!I79)," ")</f>
        <v xml:space="preserve"> </v>
      </c>
      <c r="N71" s="145" t="str">
        <f>IF(Formulario!J79&lt;&gt;"",IF(Formulario!J79=" "," ",Formulario!J79),IF(G71=".",".","Falta Fecha"))</f>
        <v>.</v>
      </c>
      <c r="O71" s="155">
        <f>Formulario!L79</f>
        <v>0</v>
      </c>
      <c r="P71" s="146">
        <f>IF(O71=1,"09:00",Formulario!M79)</f>
        <v>0</v>
      </c>
      <c r="Q71" s="146">
        <f>IF(O71=1,"18:30",Formulario!N79)</f>
        <v>0</v>
      </c>
      <c r="R71" s="146" t="str">
        <f>IF(Formulario!O79&lt;&gt;"",IF(Formulario!O79=" ",".",Formulario!O79),".")</f>
        <v>Post Venta</v>
      </c>
      <c r="S71" s="141" t="s">
        <v>131</v>
      </c>
    </row>
    <row r="72" spans="1:19">
      <c r="A72" s="141" t="str">
        <f>Formulario!B80</f>
        <v/>
      </c>
      <c r="B72" s="144" t="str">
        <f>IF(G72="."," ",Formulario!D$5)</f>
        <v xml:space="preserve"> </v>
      </c>
      <c r="C72" s="144" t="str">
        <f>IF(G72=".","",Formulario!D$6)</f>
        <v/>
      </c>
      <c r="D72" s="144" t="str">
        <f>IF(H72=".","",Formulario!D$7)</f>
        <v/>
      </c>
      <c r="E72" s="144" t="str">
        <f>IF(G72=".","",Formulario!J$5)</f>
        <v/>
      </c>
      <c r="F72" s="145" t="str">
        <f>IF(G72=".","",Formulario!J$6)</f>
        <v/>
      </c>
      <c r="G72" s="180" t="str">
        <f>IF(Formulario!C80&lt;&gt;"",IF(Formulario!C80=" ","Falta Depto",IF(H72=".","Error En Descripción",Formulario!C80)),IF(H72=".",".","Falta Datos"))</f>
        <v>.</v>
      </c>
      <c r="H72" s="144" t="str">
        <f>IF(Formulario!D80&lt;&gt;"",IF(Formulario!D80=" ",".",Formulario!D80),".")</f>
        <v>.</v>
      </c>
      <c r="I72" s="144" t="str">
        <f>IF(Formulario!E80&lt;&gt;"",IF(Formulario!E80=" "," ",Formulario!E80),IF(G72=".",".","Falta Propietario"))</f>
        <v>.</v>
      </c>
      <c r="J72" s="144" t="str">
        <f>IF(Formulario!F80&lt;&gt;"",IF(Formulario!F80=" "," ",Formulario!F80)," ")</f>
        <v xml:space="preserve"> </v>
      </c>
      <c r="K72" s="144" t="str">
        <f>IF(Formulario!G80&lt;&gt;"",IF(Formulario!G80=" "," ",Formulario!G80)," ")</f>
        <v xml:space="preserve"> </v>
      </c>
      <c r="L72" s="144" t="str">
        <f>IF(Formulario!H80&lt;&gt;"",IF(Formulario!H80=" "," ",Formulario!H80)," ")</f>
        <v xml:space="preserve"> </v>
      </c>
      <c r="M72" s="144" t="str">
        <f>IF(Formulario!I80&lt;&gt;"",IF(Formulario!I80=" "," ",Formulario!I80)," ")</f>
        <v xml:space="preserve"> </v>
      </c>
      <c r="N72" s="145" t="str">
        <f>IF(Formulario!J80&lt;&gt;"",IF(Formulario!J80=" "," ",Formulario!J80),IF(G72=".",".","Falta Fecha"))</f>
        <v>.</v>
      </c>
      <c r="O72" s="155">
        <f>Formulario!L80</f>
        <v>0</v>
      </c>
      <c r="P72" s="146">
        <f>IF(O72=1,"09:00",Formulario!M80)</f>
        <v>0</v>
      </c>
      <c r="Q72" s="146">
        <f>IF(O72=1,"18:30",Formulario!N80)</f>
        <v>0</v>
      </c>
      <c r="R72" s="146" t="str">
        <f>IF(Formulario!O80&lt;&gt;"",IF(Formulario!O80=" ",".",Formulario!O80),".")</f>
        <v>Post Venta</v>
      </c>
      <c r="S72" s="141" t="s">
        <v>131</v>
      </c>
    </row>
    <row r="73" spans="1:19">
      <c r="A73" s="141" t="str">
        <f>Formulario!B81</f>
        <v/>
      </c>
      <c r="B73" s="144" t="str">
        <f>IF(G73="."," ",Formulario!D$5)</f>
        <v xml:space="preserve"> </v>
      </c>
      <c r="C73" s="144" t="str">
        <f>IF(G73=".","",Formulario!D$6)</f>
        <v/>
      </c>
      <c r="D73" s="144" t="str">
        <f>IF(H73=".","",Formulario!D$7)</f>
        <v/>
      </c>
      <c r="E73" s="144" t="str">
        <f>IF(G73=".","",Formulario!J$5)</f>
        <v/>
      </c>
      <c r="F73" s="145" t="str">
        <f>IF(G73=".","",Formulario!J$6)</f>
        <v/>
      </c>
      <c r="G73" s="180" t="str">
        <f>IF(Formulario!C81&lt;&gt;"",IF(Formulario!C81=" ","Falta Depto",IF(H73=".","Error En Descripción",Formulario!C81)),IF(H73=".",".","Falta Datos"))</f>
        <v>.</v>
      </c>
      <c r="H73" s="144" t="str">
        <f>IF(Formulario!D81&lt;&gt;"",IF(Formulario!D81=" ",".",Formulario!D81),".")</f>
        <v>.</v>
      </c>
      <c r="I73" s="144" t="str">
        <f>IF(Formulario!E81&lt;&gt;"",IF(Formulario!E81=" "," ",Formulario!E81),IF(G73=".",".","Falta Propietario"))</f>
        <v>.</v>
      </c>
      <c r="J73" s="144" t="str">
        <f>IF(Formulario!F81&lt;&gt;"",IF(Formulario!F81=" "," ",Formulario!F81)," ")</f>
        <v xml:space="preserve"> </v>
      </c>
      <c r="K73" s="144" t="str">
        <f>IF(Formulario!G81&lt;&gt;"",IF(Formulario!G81=" "," ",Formulario!G81)," ")</f>
        <v xml:space="preserve"> </v>
      </c>
      <c r="L73" s="144" t="str">
        <f>IF(Formulario!H81&lt;&gt;"",IF(Formulario!H81=" "," ",Formulario!H81)," ")</f>
        <v xml:space="preserve"> </v>
      </c>
      <c r="M73" s="144" t="str">
        <f>IF(Formulario!I81&lt;&gt;"",IF(Formulario!I81=" "," ",Formulario!I81)," ")</f>
        <v xml:space="preserve"> </v>
      </c>
      <c r="N73" s="145" t="str">
        <f>IF(Formulario!J81&lt;&gt;"",IF(Formulario!J81=" "," ",Formulario!J81),IF(G73=".",".","Falta Fecha"))</f>
        <v>.</v>
      </c>
      <c r="O73" s="155">
        <f>Formulario!L81</f>
        <v>0</v>
      </c>
      <c r="P73" s="146">
        <f>IF(O73=1,"09:00",Formulario!M81)</f>
        <v>0</v>
      </c>
      <c r="Q73" s="146">
        <f>IF(O73=1,"18:30",Formulario!N81)</f>
        <v>0</v>
      </c>
      <c r="R73" s="146" t="str">
        <f>IF(Formulario!O81&lt;&gt;"",IF(Formulario!O81=" ",".",Formulario!O81),".")</f>
        <v>Post Venta</v>
      </c>
      <c r="S73" s="141" t="s">
        <v>131</v>
      </c>
    </row>
    <row r="74" spans="1:19">
      <c r="A74" s="141" t="str">
        <f>Formulario!B82</f>
        <v/>
      </c>
      <c r="B74" s="144" t="str">
        <f>IF(G74="."," ",Formulario!D$5)</f>
        <v xml:space="preserve"> </v>
      </c>
      <c r="C74" s="144" t="str">
        <f>IF(G74=".","",Formulario!D$6)</f>
        <v/>
      </c>
      <c r="D74" s="144" t="str">
        <f>IF(H74=".","",Formulario!D$7)</f>
        <v/>
      </c>
      <c r="E74" s="144" t="str">
        <f>IF(G74=".","",Formulario!J$5)</f>
        <v/>
      </c>
      <c r="F74" s="145" t="str">
        <f>IF(G74=".","",Formulario!J$6)</f>
        <v/>
      </c>
      <c r="G74" s="180" t="str">
        <f>IF(Formulario!C82&lt;&gt;"",IF(Formulario!C82=" ","Falta Depto",IF(H74=".","Error En Descripción",Formulario!C82)),IF(H74=".",".","Falta Datos"))</f>
        <v>.</v>
      </c>
      <c r="H74" s="144" t="str">
        <f>IF(Formulario!D82&lt;&gt;"",IF(Formulario!D82=" ",".",Formulario!D82),".")</f>
        <v>.</v>
      </c>
      <c r="I74" s="144" t="str">
        <f>IF(Formulario!E82&lt;&gt;"",IF(Formulario!E82=" "," ",Formulario!E82),IF(G74=".",".","Falta Propietario"))</f>
        <v>.</v>
      </c>
      <c r="J74" s="144" t="str">
        <f>IF(Formulario!F82&lt;&gt;"",IF(Formulario!F82=" "," ",Formulario!F82)," ")</f>
        <v xml:space="preserve"> </v>
      </c>
      <c r="K74" s="144" t="str">
        <f>IF(Formulario!G82&lt;&gt;"",IF(Formulario!G82=" "," ",Formulario!G82)," ")</f>
        <v xml:space="preserve"> </v>
      </c>
      <c r="L74" s="144" t="str">
        <f>IF(Formulario!H82&lt;&gt;"",IF(Formulario!H82=" "," ",Formulario!H82)," ")</f>
        <v xml:space="preserve"> </v>
      </c>
      <c r="M74" s="144" t="str">
        <f>IF(Formulario!I82&lt;&gt;"",IF(Formulario!I82=" "," ",Formulario!I82)," ")</f>
        <v xml:space="preserve"> </v>
      </c>
      <c r="N74" s="145" t="str">
        <f>IF(Formulario!J82&lt;&gt;"",IF(Formulario!J82=" "," ",Formulario!J82),IF(G74=".",".","Falta Fecha"))</f>
        <v>.</v>
      </c>
      <c r="O74" s="155">
        <f>Formulario!L82</f>
        <v>0</v>
      </c>
      <c r="P74" s="146">
        <f>IF(O74=1,"09:00",Formulario!M82)</f>
        <v>0</v>
      </c>
      <c r="Q74" s="146">
        <f>IF(O74=1,"18:30",Formulario!N82)</f>
        <v>0</v>
      </c>
      <c r="R74" s="146" t="str">
        <f>IF(Formulario!O82&lt;&gt;"",IF(Formulario!O82=" ",".",Formulario!O82),".")</f>
        <v>Post Venta</v>
      </c>
      <c r="S74" s="141" t="s">
        <v>131</v>
      </c>
    </row>
    <row r="75" spans="1:19">
      <c r="A75" s="141" t="str">
        <f>Formulario!B83</f>
        <v/>
      </c>
      <c r="B75" s="144" t="str">
        <f>IF(G75="."," ",Formulario!D$5)</f>
        <v xml:space="preserve"> </v>
      </c>
      <c r="C75" s="144" t="str">
        <f>IF(G75=".","",Formulario!D$6)</f>
        <v/>
      </c>
      <c r="D75" s="144" t="str">
        <f>IF(H75=".","",Formulario!D$7)</f>
        <v/>
      </c>
      <c r="E75" s="144" t="str">
        <f>IF(G75=".","",Formulario!J$5)</f>
        <v/>
      </c>
      <c r="F75" s="145" t="str">
        <f>IF(G75=".","",Formulario!J$6)</f>
        <v/>
      </c>
      <c r="G75" s="180" t="str">
        <f>IF(Formulario!C83&lt;&gt;"",IF(Formulario!C83=" ","Falta Depto",IF(H75=".","Error En Descripción",Formulario!C83)),IF(H75=".",".","Falta Datos"))</f>
        <v>.</v>
      </c>
      <c r="H75" s="144" t="str">
        <f>IF(Formulario!D83&lt;&gt;"",IF(Formulario!D83=" ",".",Formulario!D83),".")</f>
        <v>.</v>
      </c>
      <c r="I75" s="144" t="str">
        <f>IF(Formulario!E83&lt;&gt;"",IF(Formulario!E83=" "," ",Formulario!E83),IF(G75=".",".","Falta Propietario"))</f>
        <v>.</v>
      </c>
      <c r="J75" s="144" t="str">
        <f>IF(Formulario!F83&lt;&gt;"",IF(Formulario!F83=" "," ",Formulario!F83)," ")</f>
        <v xml:space="preserve"> </v>
      </c>
      <c r="K75" s="144" t="str">
        <f>IF(Formulario!G83&lt;&gt;"",IF(Formulario!G83=" "," ",Formulario!G83)," ")</f>
        <v xml:space="preserve"> </v>
      </c>
      <c r="L75" s="144" t="str">
        <f>IF(Formulario!H83&lt;&gt;"",IF(Formulario!H83=" "," ",Formulario!H83)," ")</f>
        <v xml:space="preserve"> </v>
      </c>
      <c r="M75" s="144" t="str">
        <f>IF(Formulario!I83&lt;&gt;"",IF(Formulario!I83=" "," ",Formulario!I83)," ")</f>
        <v xml:space="preserve"> </v>
      </c>
      <c r="N75" s="145" t="str">
        <f>IF(Formulario!J83&lt;&gt;"",IF(Formulario!J83=" "," ",Formulario!J83),IF(G75=".",".","Falta Fecha"))</f>
        <v>.</v>
      </c>
      <c r="O75" s="155">
        <f>Formulario!L83</f>
        <v>0</v>
      </c>
      <c r="P75" s="146">
        <f>IF(O75=1,"09:00",Formulario!M83)</f>
        <v>0</v>
      </c>
      <c r="Q75" s="146">
        <f>IF(O75=1,"18:30",Formulario!N83)</f>
        <v>0</v>
      </c>
      <c r="R75" s="146" t="str">
        <f>IF(Formulario!O83&lt;&gt;"",IF(Formulario!O83=" ",".",Formulario!O83),".")</f>
        <v>Post Venta</v>
      </c>
      <c r="S75" s="141" t="s">
        <v>131</v>
      </c>
    </row>
    <row r="76" spans="1:19">
      <c r="A76" s="141" t="str">
        <f>Formulario!B84</f>
        <v/>
      </c>
      <c r="B76" s="144" t="str">
        <f>IF(G76="."," ",Formulario!D$5)</f>
        <v xml:space="preserve"> </v>
      </c>
      <c r="C76" s="144" t="str">
        <f>IF(G76=".","",Formulario!D$6)</f>
        <v/>
      </c>
      <c r="D76" s="144" t="str">
        <f>IF(H76=".","",Formulario!D$7)</f>
        <v/>
      </c>
      <c r="E76" s="144" t="str">
        <f>IF(G76=".","",Formulario!J$5)</f>
        <v/>
      </c>
      <c r="F76" s="145" t="str">
        <f>IF(G76=".","",Formulario!J$6)</f>
        <v/>
      </c>
      <c r="G76" s="180" t="str">
        <f>IF(Formulario!C84&lt;&gt;"",IF(Formulario!C84=" ","Falta Depto",IF(H76=".","Error En Descripción",Formulario!C84)),IF(H76=".",".","Falta Datos"))</f>
        <v>.</v>
      </c>
      <c r="H76" s="144" t="str">
        <f>IF(Formulario!D84&lt;&gt;"",IF(Formulario!D84=" ",".",Formulario!D84),".")</f>
        <v>.</v>
      </c>
      <c r="I76" s="144" t="str">
        <f>IF(Formulario!E84&lt;&gt;"",IF(Formulario!E84=" "," ",Formulario!E84),IF(G76=".",".","Falta Propietario"))</f>
        <v>.</v>
      </c>
      <c r="J76" s="144" t="str">
        <f>IF(Formulario!F84&lt;&gt;"",IF(Formulario!F84=" "," ",Formulario!F84)," ")</f>
        <v xml:space="preserve"> </v>
      </c>
      <c r="K76" s="144" t="str">
        <f>IF(Formulario!G84&lt;&gt;"",IF(Formulario!G84=" "," ",Formulario!G84)," ")</f>
        <v xml:space="preserve"> </v>
      </c>
      <c r="L76" s="144" t="str">
        <f>IF(Formulario!H84&lt;&gt;"",IF(Formulario!H84=" "," ",Formulario!H84)," ")</f>
        <v xml:space="preserve"> </v>
      </c>
      <c r="M76" s="144" t="str">
        <f>IF(Formulario!I84&lt;&gt;"",IF(Formulario!I84=" "," ",Formulario!I84)," ")</f>
        <v xml:space="preserve"> </v>
      </c>
      <c r="N76" s="145" t="str">
        <f>IF(Formulario!J84&lt;&gt;"",IF(Formulario!J84=" "," ",Formulario!J84),IF(G76=".",".","Falta Fecha"))</f>
        <v>.</v>
      </c>
      <c r="O76" s="155">
        <f>Formulario!L84</f>
        <v>0</v>
      </c>
      <c r="P76" s="146">
        <f>IF(O76=1,"09:00",Formulario!M84)</f>
        <v>0</v>
      </c>
      <c r="Q76" s="146">
        <f>IF(O76=1,"18:30",Formulario!N84)</f>
        <v>0</v>
      </c>
      <c r="R76" s="146" t="str">
        <f>IF(Formulario!O84&lt;&gt;"",IF(Formulario!O84=" ",".",Formulario!O84),".")</f>
        <v>Post Venta</v>
      </c>
      <c r="S76" s="141" t="s">
        <v>131</v>
      </c>
    </row>
    <row r="77" spans="1:19">
      <c r="A77" s="141" t="str">
        <f>Formulario!B85</f>
        <v/>
      </c>
      <c r="B77" s="144" t="str">
        <f>IF(G77="."," ",Formulario!D$5)</f>
        <v xml:space="preserve"> </v>
      </c>
      <c r="C77" s="144" t="str">
        <f>IF(G77=".","",Formulario!D$6)</f>
        <v/>
      </c>
      <c r="D77" s="144" t="str">
        <f>IF(H77=".","",Formulario!D$7)</f>
        <v/>
      </c>
      <c r="E77" s="144" t="str">
        <f>IF(G77=".","",Formulario!J$5)</f>
        <v/>
      </c>
      <c r="F77" s="145" t="str">
        <f>IF(G77=".","",Formulario!J$6)</f>
        <v/>
      </c>
      <c r="G77" s="180" t="str">
        <f>IF(Formulario!C85&lt;&gt;"",IF(Formulario!C85=" ","Falta Depto",IF(H77=".","Error En Descripción",Formulario!C85)),IF(H77=".",".","Falta Datos"))</f>
        <v>.</v>
      </c>
      <c r="H77" s="144" t="str">
        <f>IF(Formulario!D85&lt;&gt;"",IF(Formulario!D85=" ",".",Formulario!D85),".")</f>
        <v>.</v>
      </c>
      <c r="I77" s="144" t="str">
        <f>IF(Formulario!E85&lt;&gt;"",IF(Formulario!E85=" "," ",Formulario!E85),IF(G77=".",".","Falta Propietario"))</f>
        <v>.</v>
      </c>
      <c r="J77" s="144" t="str">
        <f>IF(Formulario!F85&lt;&gt;"",IF(Formulario!F85=" "," ",Formulario!F85)," ")</f>
        <v xml:space="preserve"> </v>
      </c>
      <c r="K77" s="144" t="str">
        <f>IF(Formulario!G85&lt;&gt;"",IF(Formulario!G85=" "," ",Formulario!G85)," ")</f>
        <v xml:space="preserve"> </v>
      </c>
      <c r="L77" s="144" t="str">
        <f>IF(Formulario!H85&lt;&gt;"",IF(Formulario!H85=" "," ",Formulario!H85)," ")</f>
        <v xml:space="preserve"> </v>
      </c>
      <c r="M77" s="144" t="str">
        <f>IF(Formulario!I85&lt;&gt;"",IF(Formulario!I85=" "," ",Formulario!I85)," ")</f>
        <v xml:space="preserve"> </v>
      </c>
      <c r="N77" s="145" t="str">
        <f>IF(Formulario!J85&lt;&gt;"",IF(Formulario!J85=" "," ",Formulario!J85),IF(G77=".",".","Falta Fecha"))</f>
        <v>.</v>
      </c>
      <c r="O77" s="155">
        <f>Formulario!L85</f>
        <v>0</v>
      </c>
      <c r="P77" s="146">
        <f>IF(O77=1,"09:00",Formulario!M85)</f>
        <v>0</v>
      </c>
      <c r="Q77" s="146">
        <f>IF(O77=1,"18:30",Formulario!N85)</f>
        <v>0</v>
      </c>
      <c r="R77" s="146" t="str">
        <f>IF(Formulario!O85&lt;&gt;"",IF(Formulario!O85=" ",".",Formulario!O85),".")</f>
        <v>Post Venta</v>
      </c>
      <c r="S77" s="141" t="s">
        <v>131</v>
      </c>
    </row>
    <row r="78" spans="1:19">
      <c r="A78" s="141" t="str">
        <f>Formulario!B86</f>
        <v/>
      </c>
      <c r="B78" s="144" t="str">
        <f>IF(G78="."," ",Formulario!D$5)</f>
        <v xml:space="preserve"> </v>
      </c>
      <c r="C78" s="144" t="str">
        <f>IF(G78=".","",Formulario!D$6)</f>
        <v/>
      </c>
      <c r="D78" s="144" t="str">
        <f>IF(H78=".","",Formulario!D$7)</f>
        <v/>
      </c>
      <c r="E78" s="144" t="str">
        <f>IF(G78=".","",Formulario!J$5)</f>
        <v/>
      </c>
      <c r="F78" s="145" t="str">
        <f>IF(G78=".","",Formulario!J$6)</f>
        <v/>
      </c>
      <c r="G78" s="180" t="str">
        <f>IF(Formulario!C86&lt;&gt;"",IF(Formulario!C86=" ","Falta Depto",IF(H78=".","Error En Descripción",Formulario!C86)),IF(H78=".",".","Falta Datos"))</f>
        <v>.</v>
      </c>
      <c r="H78" s="144" t="str">
        <f>IF(Formulario!D86&lt;&gt;"",IF(Formulario!D86=" ",".",Formulario!D86),".")</f>
        <v>.</v>
      </c>
      <c r="I78" s="144" t="str">
        <f>IF(Formulario!E86&lt;&gt;"",IF(Formulario!E86=" "," ",Formulario!E86),IF(G78=".",".","Falta Propietario"))</f>
        <v>.</v>
      </c>
      <c r="J78" s="144" t="str">
        <f>IF(Formulario!F86&lt;&gt;"",IF(Formulario!F86=" "," ",Formulario!F86)," ")</f>
        <v xml:space="preserve"> </v>
      </c>
      <c r="K78" s="144" t="str">
        <f>IF(Formulario!G86&lt;&gt;"",IF(Formulario!G86=" "," ",Formulario!G86)," ")</f>
        <v xml:space="preserve"> </v>
      </c>
      <c r="L78" s="144" t="str">
        <f>IF(Formulario!H86&lt;&gt;"",IF(Formulario!H86=" "," ",Formulario!H86)," ")</f>
        <v xml:space="preserve"> </v>
      </c>
      <c r="M78" s="144" t="str">
        <f>IF(Formulario!I86&lt;&gt;"",IF(Formulario!I86=" "," ",Formulario!I86)," ")</f>
        <v xml:space="preserve"> </v>
      </c>
      <c r="N78" s="145" t="str">
        <f>IF(Formulario!J86&lt;&gt;"",IF(Formulario!J86=" "," ",Formulario!J86),IF(G78=".",".","Falta Fecha"))</f>
        <v>.</v>
      </c>
      <c r="O78" s="155">
        <f>Formulario!L86</f>
        <v>0</v>
      </c>
      <c r="P78" s="146">
        <f>IF(O78=1,"09:00",Formulario!M86)</f>
        <v>0</v>
      </c>
      <c r="Q78" s="146">
        <f>IF(O78=1,"18:30",Formulario!N86)</f>
        <v>0</v>
      </c>
      <c r="R78" s="146" t="str">
        <f>IF(Formulario!O86&lt;&gt;"",IF(Formulario!O86=" ",".",Formulario!O86),".")</f>
        <v>Post Venta</v>
      </c>
      <c r="S78" s="141" t="s">
        <v>131</v>
      </c>
    </row>
    <row r="79" spans="1:19">
      <c r="A79" s="141" t="str">
        <f>Formulario!B87</f>
        <v/>
      </c>
      <c r="B79" s="144" t="str">
        <f>IF(G79="."," ",Formulario!D$5)</f>
        <v xml:space="preserve"> </v>
      </c>
      <c r="C79" s="144" t="str">
        <f>IF(G79=".","",Formulario!D$6)</f>
        <v/>
      </c>
      <c r="D79" s="144" t="str">
        <f>IF(H79=".","",Formulario!D$7)</f>
        <v/>
      </c>
      <c r="E79" s="144" t="str">
        <f>IF(G79=".","",Formulario!J$5)</f>
        <v/>
      </c>
      <c r="F79" s="145" t="str">
        <f>IF(G79=".","",Formulario!J$6)</f>
        <v/>
      </c>
      <c r="G79" s="180" t="str">
        <f>IF(Formulario!C87&lt;&gt;"",IF(Formulario!C87=" ","Falta Depto",IF(H79=".","Error En Descripción",Formulario!C87)),IF(H79=".",".","Falta Datos"))</f>
        <v>.</v>
      </c>
      <c r="H79" s="144" t="str">
        <f>IF(Formulario!D87&lt;&gt;"",IF(Formulario!D87=" ",".",Formulario!D87),".")</f>
        <v>.</v>
      </c>
      <c r="I79" s="144" t="str">
        <f>IF(Formulario!E87&lt;&gt;"",IF(Formulario!E87=" "," ",Formulario!E87),IF(G79=".",".","Falta Propietario"))</f>
        <v>.</v>
      </c>
      <c r="J79" s="144" t="str">
        <f>IF(Formulario!F87&lt;&gt;"",IF(Formulario!F87=" "," ",Formulario!F87)," ")</f>
        <v xml:space="preserve"> </v>
      </c>
      <c r="K79" s="144" t="str">
        <f>IF(Formulario!G87&lt;&gt;"",IF(Formulario!G87=" "," ",Formulario!G87)," ")</f>
        <v xml:space="preserve"> </v>
      </c>
      <c r="L79" s="144" t="str">
        <f>IF(Formulario!H87&lt;&gt;"",IF(Formulario!H87=" "," ",Formulario!H87)," ")</f>
        <v xml:space="preserve"> </v>
      </c>
      <c r="M79" s="144" t="str">
        <f>IF(Formulario!I87&lt;&gt;"",IF(Formulario!I87=" "," ",Formulario!I87)," ")</f>
        <v xml:space="preserve"> </v>
      </c>
      <c r="N79" s="145" t="str">
        <f>IF(Formulario!J87&lt;&gt;"",IF(Formulario!J87=" "," ",Formulario!J87),IF(G79=".",".","Falta Fecha"))</f>
        <v>.</v>
      </c>
      <c r="O79" s="155">
        <f>Formulario!L87</f>
        <v>0</v>
      </c>
      <c r="P79" s="146">
        <f>IF(O79=1,"09:00",Formulario!M87)</f>
        <v>0</v>
      </c>
      <c r="Q79" s="146">
        <f>IF(O79=1,"18:30",Formulario!N87)</f>
        <v>0</v>
      </c>
      <c r="R79" s="146" t="str">
        <f>IF(Formulario!O87&lt;&gt;"",IF(Formulario!O87=" ",".",Formulario!O87),".")</f>
        <v>Post Venta</v>
      </c>
      <c r="S79" s="141" t="s">
        <v>131</v>
      </c>
    </row>
    <row r="80" spans="1:19">
      <c r="A80" s="141" t="str">
        <f>Formulario!B88</f>
        <v/>
      </c>
      <c r="B80" s="144" t="str">
        <f>IF(G80="."," ",Formulario!D$5)</f>
        <v xml:space="preserve"> </v>
      </c>
      <c r="C80" s="144" t="str">
        <f>IF(G80=".","",Formulario!D$6)</f>
        <v/>
      </c>
      <c r="D80" s="144" t="str">
        <f>IF(H80=".","",Formulario!D$7)</f>
        <v/>
      </c>
      <c r="E80" s="144" t="str">
        <f>IF(G80=".","",Formulario!J$5)</f>
        <v/>
      </c>
      <c r="F80" s="145" t="str">
        <f>IF(G80=".","",Formulario!J$6)</f>
        <v/>
      </c>
      <c r="G80" s="180" t="str">
        <f>IF(Formulario!C88&lt;&gt;"",IF(Formulario!C88=" ","Falta Depto",IF(H80=".","Error En Descripción",Formulario!C88)),IF(H80=".",".","Falta Datos"))</f>
        <v>.</v>
      </c>
      <c r="H80" s="144" t="str">
        <f>IF(Formulario!D88&lt;&gt;"",IF(Formulario!D88=" ",".",Formulario!D88),".")</f>
        <v>.</v>
      </c>
      <c r="I80" s="144" t="str">
        <f>IF(Formulario!E88&lt;&gt;"",IF(Formulario!E88=" "," ",Formulario!E88),IF(G80=".",".","Falta Propietario"))</f>
        <v>.</v>
      </c>
      <c r="J80" s="144" t="str">
        <f>IF(Formulario!F88&lt;&gt;"",IF(Formulario!F88=" "," ",Formulario!F88)," ")</f>
        <v xml:space="preserve"> </v>
      </c>
      <c r="K80" s="144" t="str">
        <f>IF(Formulario!G88&lt;&gt;"",IF(Formulario!G88=" "," ",Formulario!G88)," ")</f>
        <v xml:space="preserve"> </v>
      </c>
      <c r="L80" s="144" t="str">
        <f>IF(Formulario!H88&lt;&gt;"",IF(Formulario!H88=" "," ",Formulario!H88)," ")</f>
        <v xml:space="preserve"> </v>
      </c>
      <c r="M80" s="144" t="str">
        <f>IF(Formulario!I88&lt;&gt;"",IF(Formulario!I88=" "," ",Formulario!I88)," ")</f>
        <v xml:space="preserve"> </v>
      </c>
      <c r="N80" s="145" t="str">
        <f>IF(Formulario!J88&lt;&gt;"",IF(Formulario!J88=" "," ",Formulario!J88),IF(G80=".",".","Falta Fecha"))</f>
        <v>.</v>
      </c>
      <c r="O80" s="155">
        <f>Formulario!L88</f>
        <v>0</v>
      </c>
      <c r="P80" s="146">
        <f>IF(O80=1,"09:00",Formulario!M88)</f>
        <v>0</v>
      </c>
      <c r="Q80" s="146">
        <f>IF(O80=1,"18:30",Formulario!N88)</f>
        <v>0</v>
      </c>
      <c r="R80" s="146" t="str">
        <f>IF(Formulario!O88&lt;&gt;"",IF(Formulario!O88=" ",".",Formulario!O88),".")</f>
        <v>Post Venta</v>
      </c>
      <c r="S80" s="141" t="s">
        <v>131</v>
      </c>
    </row>
    <row r="81" spans="1:19">
      <c r="A81" s="141" t="str">
        <f>Formulario!B89</f>
        <v/>
      </c>
      <c r="B81" s="144" t="str">
        <f>IF(G81="."," ",Formulario!D$5)</f>
        <v xml:space="preserve"> </v>
      </c>
      <c r="C81" s="144" t="str">
        <f>IF(G81=".","",Formulario!D$6)</f>
        <v/>
      </c>
      <c r="D81" s="144" t="str">
        <f>IF(H81=".","",Formulario!D$7)</f>
        <v/>
      </c>
      <c r="E81" s="144" t="str">
        <f>IF(G81=".","",Formulario!J$5)</f>
        <v/>
      </c>
      <c r="F81" s="145" t="str">
        <f>IF(G81=".","",Formulario!J$6)</f>
        <v/>
      </c>
      <c r="G81" s="180" t="str">
        <f>IF(Formulario!C89&lt;&gt;"",IF(Formulario!C89=" ","Falta Depto",IF(H81=".","Error En Descripción",Formulario!C89)),IF(H81=".",".","Falta Datos"))</f>
        <v>.</v>
      </c>
      <c r="H81" s="144" t="str">
        <f>IF(Formulario!D89&lt;&gt;"",IF(Formulario!D89=" ",".",Formulario!D89),".")</f>
        <v>.</v>
      </c>
      <c r="I81" s="144" t="str">
        <f>IF(Formulario!E89&lt;&gt;"",IF(Formulario!E89=" "," ",Formulario!E89),IF(G81=".",".","Falta Propietario"))</f>
        <v>.</v>
      </c>
      <c r="J81" s="144" t="str">
        <f>IF(Formulario!F89&lt;&gt;"",IF(Formulario!F89=" "," ",Formulario!F89)," ")</f>
        <v xml:space="preserve"> </v>
      </c>
      <c r="K81" s="144" t="str">
        <f>IF(Formulario!G89&lt;&gt;"",IF(Formulario!G89=" "," ",Formulario!G89)," ")</f>
        <v xml:space="preserve"> </v>
      </c>
      <c r="L81" s="144" t="str">
        <f>IF(Formulario!H89&lt;&gt;"",IF(Formulario!H89=" "," ",Formulario!H89)," ")</f>
        <v xml:space="preserve"> </v>
      </c>
      <c r="M81" s="144" t="str">
        <f>IF(Formulario!I89&lt;&gt;"",IF(Formulario!I89=" "," ",Formulario!I89)," ")</f>
        <v xml:space="preserve"> </v>
      </c>
      <c r="N81" s="145" t="str">
        <f>IF(Formulario!J89&lt;&gt;"",IF(Formulario!J89=" "," ",Formulario!J89),IF(G81=".",".","Falta Fecha"))</f>
        <v>.</v>
      </c>
      <c r="O81" s="155">
        <f>Formulario!L89</f>
        <v>0</v>
      </c>
      <c r="P81" s="146">
        <f>IF(O81=1,"09:00",Formulario!M89)</f>
        <v>0</v>
      </c>
      <c r="Q81" s="146">
        <f>IF(O81=1,"18:30",Formulario!N89)</f>
        <v>0</v>
      </c>
      <c r="R81" s="146" t="str">
        <f>IF(Formulario!O89&lt;&gt;"",IF(Formulario!O89=" ",".",Formulario!O89),".")</f>
        <v>Post Venta</v>
      </c>
      <c r="S81" s="141" t="s">
        <v>131</v>
      </c>
    </row>
    <row r="82" spans="1:19">
      <c r="A82" s="141" t="str">
        <f>Formulario!B90</f>
        <v/>
      </c>
      <c r="B82" s="144" t="str">
        <f>IF(G82="."," ",Formulario!D$5)</f>
        <v xml:space="preserve"> </v>
      </c>
      <c r="C82" s="144" t="str">
        <f>IF(G82=".","",Formulario!D$6)</f>
        <v/>
      </c>
      <c r="D82" s="144" t="str">
        <f>IF(H82=".","",Formulario!D$7)</f>
        <v/>
      </c>
      <c r="E82" s="144" t="str">
        <f>IF(G82=".","",Formulario!J$5)</f>
        <v/>
      </c>
      <c r="F82" s="145" t="str">
        <f>IF(G82=".","",Formulario!J$6)</f>
        <v/>
      </c>
      <c r="G82" s="180" t="str">
        <f>IF(Formulario!C90&lt;&gt;"",IF(Formulario!C90=" ","Falta Depto",IF(H82=".","Error En Descripción",Formulario!C90)),IF(H82=".",".","Falta Datos"))</f>
        <v>.</v>
      </c>
      <c r="H82" s="144" t="str">
        <f>IF(Formulario!D90&lt;&gt;"",IF(Formulario!D90=" ",".",Formulario!D90),".")</f>
        <v>.</v>
      </c>
      <c r="I82" s="144" t="str">
        <f>IF(Formulario!E90&lt;&gt;"",IF(Formulario!E90=" "," ",Formulario!E90),IF(G82=".",".","Falta Propietario"))</f>
        <v>.</v>
      </c>
      <c r="J82" s="144" t="str">
        <f>IF(Formulario!F90&lt;&gt;"",IF(Formulario!F90=" "," ",Formulario!F90)," ")</f>
        <v xml:space="preserve"> </v>
      </c>
      <c r="K82" s="144" t="str">
        <f>IF(Formulario!G90&lt;&gt;"",IF(Formulario!G90=" "," ",Formulario!G90)," ")</f>
        <v xml:space="preserve"> </v>
      </c>
      <c r="L82" s="144" t="str">
        <f>IF(Formulario!H90&lt;&gt;"",IF(Formulario!H90=" "," ",Formulario!H90)," ")</f>
        <v xml:space="preserve"> </v>
      </c>
      <c r="M82" s="144" t="str">
        <f>IF(Formulario!I90&lt;&gt;"",IF(Formulario!I90=" "," ",Formulario!I90)," ")</f>
        <v xml:space="preserve"> </v>
      </c>
      <c r="N82" s="145" t="str">
        <f>IF(Formulario!J90&lt;&gt;"",IF(Formulario!J90=" "," ",Formulario!J90),IF(G82=".",".","Falta Fecha"))</f>
        <v>.</v>
      </c>
      <c r="O82" s="155">
        <f>Formulario!L90</f>
        <v>0</v>
      </c>
      <c r="P82" s="146">
        <f>IF(O82=1,"09:00",Formulario!M90)</f>
        <v>0</v>
      </c>
      <c r="Q82" s="146">
        <f>IF(O82=1,"18:30",Formulario!N90)</f>
        <v>0</v>
      </c>
      <c r="R82" s="146" t="str">
        <f>IF(Formulario!O90&lt;&gt;"",IF(Formulario!O90=" ",".",Formulario!O90),".")</f>
        <v>Post Venta</v>
      </c>
      <c r="S82" s="141" t="s">
        <v>131</v>
      </c>
    </row>
    <row r="83" spans="1:19">
      <c r="A83" s="141" t="str">
        <f>Formulario!B91</f>
        <v/>
      </c>
      <c r="B83" s="144" t="str">
        <f>IF(G83="."," ",Formulario!D$5)</f>
        <v xml:space="preserve"> </v>
      </c>
      <c r="C83" s="144" t="str">
        <f>IF(G83=".","",Formulario!D$6)</f>
        <v/>
      </c>
      <c r="D83" s="144" t="str">
        <f>IF(H83=".","",Formulario!D$7)</f>
        <v/>
      </c>
      <c r="E83" s="144" t="str">
        <f>IF(G83=".","",Formulario!J$5)</f>
        <v/>
      </c>
      <c r="F83" s="145" t="str">
        <f>IF(G83=".","",Formulario!J$6)</f>
        <v/>
      </c>
      <c r="G83" s="180" t="str">
        <f>IF(Formulario!C91&lt;&gt;"",IF(Formulario!C91=" ","Falta Depto",IF(H83=".","Error En Descripción",Formulario!C91)),IF(H83=".",".","Falta Datos"))</f>
        <v>.</v>
      </c>
      <c r="H83" s="144" t="str">
        <f>IF(Formulario!D91&lt;&gt;"",IF(Formulario!D91=" ",".",Formulario!D91),".")</f>
        <v>.</v>
      </c>
      <c r="I83" s="144" t="str">
        <f>IF(Formulario!E91&lt;&gt;"",IF(Formulario!E91=" "," ",Formulario!E91),IF(G83=".",".","Falta Propietario"))</f>
        <v>.</v>
      </c>
      <c r="J83" s="144" t="str">
        <f>IF(Formulario!F91&lt;&gt;"",IF(Formulario!F91=" "," ",Formulario!F91)," ")</f>
        <v xml:space="preserve"> </v>
      </c>
      <c r="K83" s="144" t="str">
        <f>IF(Formulario!G91&lt;&gt;"",IF(Formulario!G91=" "," ",Formulario!G91)," ")</f>
        <v xml:space="preserve"> </v>
      </c>
      <c r="L83" s="144" t="str">
        <f>IF(Formulario!H91&lt;&gt;"",IF(Formulario!H91=" "," ",Formulario!H91)," ")</f>
        <v xml:space="preserve"> </v>
      </c>
      <c r="M83" s="144" t="str">
        <f>IF(Formulario!I91&lt;&gt;"",IF(Formulario!I91=" "," ",Formulario!I91)," ")</f>
        <v xml:space="preserve"> </v>
      </c>
      <c r="N83" s="145" t="str">
        <f>IF(Formulario!J91&lt;&gt;"",IF(Formulario!J91=" "," ",Formulario!J91),IF(G83=".",".","Falta Fecha"))</f>
        <v>.</v>
      </c>
      <c r="O83" s="155">
        <f>Formulario!L91</f>
        <v>0</v>
      </c>
      <c r="P83" s="146">
        <f>IF(O83=1,"09:00",Formulario!M91)</f>
        <v>0</v>
      </c>
      <c r="Q83" s="146">
        <f>IF(O83=1,"18:30",Formulario!N91)</f>
        <v>0</v>
      </c>
      <c r="R83" s="146" t="str">
        <f>IF(Formulario!O91&lt;&gt;"",IF(Formulario!O91=" ",".",Formulario!O91),".")</f>
        <v>Post Venta</v>
      </c>
      <c r="S83" s="141" t="s">
        <v>131</v>
      </c>
    </row>
    <row r="84" spans="1:19">
      <c r="A84" s="141" t="str">
        <f>Formulario!B92</f>
        <v/>
      </c>
      <c r="B84" s="144" t="str">
        <f>IF(G84="."," ",Formulario!D$5)</f>
        <v xml:space="preserve"> </v>
      </c>
      <c r="C84" s="144" t="str">
        <f>IF(G84=".","",Formulario!D$6)</f>
        <v/>
      </c>
      <c r="D84" s="144" t="str">
        <f>IF(H84=".","",Formulario!D$7)</f>
        <v/>
      </c>
      <c r="E84" s="144" t="str">
        <f>IF(G84=".","",Formulario!J$5)</f>
        <v/>
      </c>
      <c r="F84" s="145" t="str">
        <f>IF(G84=".","",Formulario!J$6)</f>
        <v/>
      </c>
      <c r="G84" s="180" t="str">
        <f>IF(Formulario!C92&lt;&gt;"",IF(Formulario!C92=" ","Falta Depto",IF(H84=".","Error En Descripción",Formulario!C92)),IF(H84=".",".","Falta Datos"))</f>
        <v>.</v>
      </c>
      <c r="H84" s="144" t="str">
        <f>IF(Formulario!D92&lt;&gt;"",IF(Formulario!D92=" ",".",Formulario!D92),".")</f>
        <v>.</v>
      </c>
      <c r="I84" s="144" t="str">
        <f>IF(Formulario!E92&lt;&gt;"",IF(Formulario!E92=" "," ",Formulario!E92),IF(G84=".",".","Falta Propietario"))</f>
        <v>.</v>
      </c>
      <c r="J84" s="144" t="str">
        <f>IF(Formulario!F92&lt;&gt;"",IF(Formulario!F92=" "," ",Formulario!F92)," ")</f>
        <v xml:space="preserve"> </v>
      </c>
      <c r="K84" s="144" t="str">
        <f>IF(Formulario!G92&lt;&gt;"",IF(Formulario!G92=" "," ",Formulario!G92)," ")</f>
        <v xml:space="preserve"> </v>
      </c>
      <c r="L84" s="144" t="str">
        <f>IF(Formulario!H92&lt;&gt;"",IF(Formulario!H92=" "," ",Formulario!H92)," ")</f>
        <v xml:space="preserve"> </v>
      </c>
      <c r="M84" s="144" t="str">
        <f>IF(Formulario!I92&lt;&gt;"",IF(Formulario!I92=" "," ",Formulario!I92)," ")</f>
        <v xml:space="preserve"> </v>
      </c>
      <c r="N84" s="145" t="str">
        <f>IF(Formulario!J92&lt;&gt;"",IF(Formulario!J92=" "," ",Formulario!J92),IF(G84=".",".","Falta Fecha"))</f>
        <v>.</v>
      </c>
      <c r="O84" s="155">
        <f>Formulario!L92</f>
        <v>0</v>
      </c>
      <c r="P84" s="146">
        <f>IF(O84=1,"09:00",Formulario!M92)</f>
        <v>0</v>
      </c>
      <c r="Q84" s="146">
        <f>IF(O84=1,"18:30",Formulario!N92)</f>
        <v>0</v>
      </c>
      <c r="R84" s="146" t="str">
        <f>IF(Formulario!O92&lt;&gt;"",IF(Formulario!O92=" ",".",Formulario!O92),".")</f>
        <v>Post Venta</v>
      </c>
      <c r="S84" s="141" t="s">
        <v>131</v>
      </c>
    </row>
    <row r="85" spans="1:19">
      <c r="A85" s="141" t="str">
        <f>Formulario!B93</f>
        <v/>
      </c>
      <c r="B85" s="144" t="str">
        <f>IF(G85="."," ",Formulario!D$5)</f>
        <v xml:space="preserve"> </v>
      </c>
      <c r="C85" s="144" t="str">
        <f>IF(G85=".","",Formulario!D$6)</f>
        <v/>
      </c>
      <c r="D85" s="144" t="str">
        <f>IF(H85=".","",Formulario!D$7)</f>
        <v/>
      </c>
      <c r="E85" s="144" t="str">
        <f>IF(G85=".","",Formulario!J$5)</f>
        <v/>
      </c>
      <c r="F85" s="145" t="str">
        <f>IF(G85=".","",Formulario!J$6)</f>
        <v/>
      </c>
      <c r="G85" s="180" t="str">
        <f>IF(Formulario!C93&lt;&gt;"",IF(Formulario!C93=" ","Falta Depto",IF(H85=".","Error En Descripción",Formulario!C93)),IF(H85=".",".","Falta Datos"))</f>
        <v>.</v>
      </c>
      <c r="H85" s="144" t="str">
        <f>IF(Formulario!D93&lt;&gt;"",IF(Formulario!D93=" ",".",Formulario!D93),".")</f>
        <v>.</v>
      </c>
      <c r="I85" s="144" t="str">
        <f>IF(Formulario!E93&lt;&gt;"",IF(Formulario!E93=" "," ",Formulario!E93),IF(G85=".",".","Falta Propietario"))</f>
        <v>.</v>
      </c>
      <c r="J85" s="144" t="str">
        <f>IF(Formulario!F93&lt;&gt;"",IF(Formulario!F93=" "," ",Formulario!F93)," ")</f>
        <v xml:space="preserve"> </v>
      </c>
      <c r="K85" s="144" t="str">
        <f>IF(Formulario!G93&lt;&gt;"",IF(Formulario!G93=" "," ",Formulario!G93)," ")</f>
        <v xml:space="preserve"> </v>
      </c>
      <c r="L85" s="144" t="str">
        <f>IF(Formulario!H93&lt;&gt;"",IF(Formulario!H93=" "," ",Formulario!H93)," ")</f>
        <v xml:space="preserve"> </v>
      </c>
      <c r="M85" s="144" t="str">
        <f>IF(Formulario!I93&lt;&gt;"",IF(Formulario!I93=" "," ",Formulario!I93)," ")</f>
        <v xml:space="preserve"> </v>
      </c>
      <c r="N85" s="145" t="str">
        <f>IF(Formulario!J93&lt;&gt;"",IF(Formulario!J93=" "," ",Formulario!J93),IF(G85=".",".","Falta Fecha"))</f>
        <v>.</v>
      </c>
      <c r="O85" s="155">
        <f>Formulario!L93</f>
        <v>0</v>
      </c>
      <c r="P85" s="146">
        <f>IF(O85=1,"09:00",Formulario!M93)</f>
        <v>0</v>
      </c>
      <c r="Q85" s="146">
        <f>IF(O85=1,"18:30",Formulario!N93)</f>
        <v>0</v>
      </c>
      <c r="R85" s="146" t="str">
        <f>IF(Formulario!O93&lt;&gt;"",IF(Formulario!O93=" ",".",Formulario!O93),".")</f>
        <v>Post Venta</v>
      </c>
      <c r="S85" s="141" t="s">
        <v>131</v>
      </c>
    </row>
    <row r="86" spans="1:19">
      <c r="A86" s="141" t="str">
        <f>Formulario!B94</f>
        <v/>
      </c>
      <c r="B86" s="144" t="str">
        <f>IF(G86="."," ",Formulario!D$5)</f>
        <v xml:space="preserve"> </v>
      </c>
      <c r="C86" s="144" t="str">
        <f>IF(G86=".","",Formulario!D$6)</f>
        <v/>
      </c>
      <c r="D86" s="144" t="str">
        <f>IF(H86=".","",Formulario!D$7)</f>
        <v/>
      </c>
      <c r="E86" s="144" t="str">
        <f>IF(G86=".","",Formulario!J$5)</f>
        <v/>
      </c>
      <c r="F86" s="145" t="str">
        <f>IF(G86=".","",Formulario!J$6)</f>
        <v/>
      </c>
      <c r="G86" s="180" t="str">
        <f>IF(Formulario!C94&lt;&gt;"",IF(Formulario!C94=" ","Falta Depto",IF(H86=".","Error En Descripción",Formulario!C94)),IF(H86=".",".","Falta Datos"))</f>
        <v>.</v>
      </c>
      <c r="H86" s="144" t="str">
        <f>IF(Formulario!D94&lt;&gt;"",IF(Formulario!D94=" ",".",Formulario!D94),".")</f>
        <v>.</v>
      </c>
      <c r="I86" s="144" t="str">
        <f>IF(Formulario!E94&lt;&gt;"",IF(Formulario!E94=" "," ",Formulario!E94),IF(G86=".",".","Falta Propietario"))</f>
        <v>.</v>
      </c>
      <c r="J86" s="144" t="str">
        <f>IF(Formulario!F94&lt;&gt;"",IF(Formulario!F94=" "," ",Formulario!F94)," ")</f>
        <v xml:space="preserve"> </v>
      </c>
      <c r="K86" s="144" t="str">
        <f>IF(Formulario!G94&lt;&gt;"",IF(Formulario!G94=" "," ",Formulario!G94)," ")</f>
        <v xml:space="preserve"> </v>
      </c>
      <c r="L86" s="144" t="str">
        <f>IF(Formulario!H94&lt;&gt;"",IF(Formulario!H94=" "," ",Formulario!H94)," ")</f>
        <v xml:space="preserve"> </v>
      </c>
      <c r="M86" s="144" t="str">
        <f>IF(Formulario!I94&lt;&gt;"",IF(Formulario!I94=" "," ",Formulario!I94)," ")</f>
        <v xml:space="preserve"> </v>
      </c>
      <c r="N86" s="145" t="str">
        <f>IF(Formulario!J94&lt;&gt;"",IF(Formulario!J94=" "," ",Formulario!J94),IF(G86=".",".","Falta Fecha"))</f>
        <v>.</v>
      </c>
      <c r="O86" s="155">
        <f>Formulario!L94</f>
        <v>0</v>
      </c>
      <c r="P86" s="146">
        <f>IF(O86=1,"09:00",Formulario!M94)</f>
        <v>0</v>
      </c>
      <c r="Q86" s="146">
        <f>IF(O86=1,"18:30",Formulario!N94)</f>
        <v>0</v>
      </c>
      <c r="R86" s="146" t="str">
        <f>IF(Formulario!O94&lt;&gt;"",IF(Formulario!O94=" ",".",Formulario!O94),".")</f>
        <v>Post Venta</v>
      </c>
      <c r="S86" s="141" t="s">
        <v>131</v>
      </c>
    </row>
    <row r="87" spans="1:19">
      <c r="A87" s="141" t="str">
        <f>Formulario!B95</f>
        <v/>
      </c>
      <c r="B87" s="144" t="str">
        <f>IF(G87="."," ",Formulario!D$5)</f>
        <v xml:space="preserve"> </v>
      </c>
      <c r="C87" s="144" t="str">
        <f>IF(G87=".","",Formulario!D$6)</f>
        <v/>
      </c>
      <c r="D87" s="144" t="str">
        <f>IF(H87=".","",Formulario!D$7)</f>
        <v/>
      </c>
      <c r="E87" s="144" t="str">
        <f>IF(G87=".","",Formulario!J$5)</f>
        <v/>
      </c>
      <c r="F87" s="145" t="str">
        <f>IF(G87=".","",Formulario!J$6)</f>
        <v/>
      </c>
      <c r="G87" s="180" t="str">
        <f>IF(Formulario!C95&lt;&gt;"",IF(Formulario!C95=" ","Falta Depto",IF(H87=".","Error En Descripción",Formulario!C95)),IF(H87=".",".","Falta Datos"))</f>
        <v>.</v>
      </c>
      <c r="H87" s="144" t="str">
        <f>IF(Formulario!D95&lt;&gt;"",IF(Formulario!D95=" ",".",Formulario!D95),".")</f>
        <v>.</v>
      </c>
      <c r="I87" s="144" t="str">
        <f>IF(Formulario!E95&lt;&gt;"",IF(Formulario!E95=" "," ",Formulario!E95),IF(G87=".",".","Falta Propietario"))</f>
        <v>.</v>
      </c>
      <c r="J87" s="144" t="str">
        <f>IF(Formulario!F95&lt;&gt;"",IF(Formulario!F95=" "," ",Formulario!F95)," ")</f>
        <v xml:space="preserve"> </v>
      </c>
      <c r="K87" s="144" t="str">
        <f>IF(Formulario!G95&lt;&gt;"",IF(Formulario!G95=" "," ",Formulario!G95)," ")</f>
        <v xml:space="preserve"> </v>
      </c>
      <c r="L87" s="144" t="str">
        <f>IF(Formulario!H95&lt;&gt;"",IF(Formulario!H95=" "," ",Formulario!H95)," ")</f>
        <v xml:space="preserve"> </v>
      </c>
      <c r="M87" s="144" t="str">
        <f>IF(Formulario!I95&lt;&gt;"",IF(Formulario!I95=" "," ",Formulario!I95)," ")</f>
        <v xml:space="preserve"> </v>
      </c>
      <c r="N87" s="145" t="str">
        <f>IF(Formulario!J95&lt;&gt;"",IF(Formulario!J95=" "," ",Formulario!J95),IF(G87=".",".","Falta Fecha"))</f>
        <v>.</v>
      </c>
      <c r="O87" s="155">
        <f>Formulario!L95</f>
        <v>0</v>
      </c>
      <c r="P87" s="146">
        <f>IF(O87=1,"09:00",Formulario!M95)</f>
        <v>0</v>
      </c>
      <c r="Q87" s="146">
        <f>IF(O87=1,"18:30",Formulario!N95)</f>
        <v>0</v>
      </c>
      <c r="R87" s="146" t="str">
        <f>IF(Formulario!O95&lt;&gt;"",IF(Formulario!O95=" ",".",Formulario!O95),".")</f>
        <v>Post Venta</v>
      </c>
      <c r="S87" s="141" t="s">
        <v>131</v>
      </c>
    </row>
    <row r="88" spans="1:19">
      <c r="A88" s="141" t="str">
        <f>Formulario!B96</f>
        <v/>
      </c>
      <c r="B88" s="144" t="str">
        <f>IF(G88="."," ",Formulario!D$5)</f>
        <v xml:space="preserve"> </v>
      </c>
      <c r="C88" s="144" t="str">
        <f>IF(G88=".","",Formulario!D$6)</f>
        <v/>
      </c>
      <c r="D88" s="144" t="str">
        <f>IF(H88=".","",Formulario!D$7)</f>
        <v/>
      </c>
      <c r="E88" s="144" t="str">
        <f>IF(G88=".","",Formulario!J$5)</f>
        <v/>
      </c>
      <c r="F88" s="145" t="str">
        <f>IF(G88=".","",Formulario!J$6)</f>
        <v/>
      </c>
      <c r="G88" s="180" t="str">
        <f>IF(Formulario!C96&lt;&gt;"",IF(Formulario!C96=" ","Falta Depto",IF(H88=".","Error En Descripción",Formulario!C96)),IF(H88=".",".","Falta Datos"))</f>
        <v>.</v>
      </c>
      <c r="H88" s="144" t="str">
        <f>IF(Formulario!D96&lt;&gt;"",IF(Formulario!D96=" ",".",Formulario!D96),".")</f>
        <v>.</v>
      </c>
      <c r="I88" s="144" t="str">
        <f>IF(Formulario!E96&lt;&gt;"",IF(Formulario!E96=" "," ",Formulario!E96),IF(G88=".",".","Falta Propietario"))</f>
        <v>.</v>
      </c>
      <c r="J88" s="144" t="str">
        <f>IF(Formulario!F96&lt;&gt;"",IF(Formulario!F96=" "," ",Formulario!F96)," ")</f>
        <v xml:space="preserve"> </v>
      </c>
      <c r="K88" s="144" t="str">
        <f>IF(Formulario!G96&lt;&gt;"",IF(Formulario!G96=" "," ",Formulario!G96)," ")</f>
        <v xml:space="preserve"> </v>
      </c>
      <c r="L88" s="144" t="str">
        <f>IF(Formulario!H96&lt;&gt;"",IF(Formulario!H96=" "," ",Formulario!H96)," ")</f>
        <v xml:space="preserve"> </v>
      </c>
      <c r="M88" s="144" t="str">
        <f>IF(Formulario!I96&lt;&gt;"",IF(Formulario!I96=" "," ",Formulario!I96)," ")</f>
        <v xml:space="preserve"> </v>
      </c>
      <c r="N88" s="145" t="str">
        <f>IF(Formulario!J96&lt;&gt;"",IF(Formulario!J96=" "," ",Formulario!J96),IF(G88=".",".","Falta Fecha"))</f>
        <v>.</v>
      </c>
      <c r="O88" s="155">
        <f>Formulario!L96</f>
        <v>0</v>
      </c>
      <c r="P88" s="146">
        <f>IF(O88=1,"09:00",Formulario!M96)</f>
        <v>0</v>
      </c>
      <c r="Q88" s="146">
        <f>IF(O88=1,"18:30",Formulario!N96)</f>
        <v>0</v>
      </c>
      <c r="R88" s="146" t="str">
        <f>IF(Formulario!O96&lt;&gt;"",IF(Formulario!O96=" ",".",Formulario!O96),".")</f>
        <v>Post Venta</v>
      </c>
      <c r="S88" s="141" t="s">
        <v>131</v>
      </c>
    </row>
    <row r="89" spans="1:19">
      <c r="A89" s="141" t="str">
        <f>Formulario!B97</f>
        <v/>
      </c>
      <c r="B89" s="144" t="str">
        <f>IF(G89="."," ",Formulario!D$5)</f>
        <v xml:space="preserve"> </v>
      </c>
      <c r="C89" s="144" t="str">
        <f>IF(G89=".","",Formulario!D$6)</f>
        <v/>
      </c>
      <c r="D89" s="144" t="str">
        <f>IF(H89=".","",Formulario!D$7)</f>
        <v/>
      </c>
      <c r="E89" s="144" t="str">
        <f>IF(G89=".","",Formulario!J$5)</f>
        <v/>
      </c>
      <c r="F89" s="145" t="str">
        <f>IF(G89=".","",Formulario!J$6)</f>
        <v/>
      </c>
      <c r="G89" s="180" t="str">
        <f>IF(Formulario!C97&lt;&gt;"",IF(Formulario!C97=" ","Falta Depto",IF(H89=".","Error En Descripción",Formulario!C97)),IF(H89=".",".","Falta Datos"))</f>
        <v>.</v>
      </c>
      <c r="H89" s="144" t="str">
        <f>IF(Formulario!D97&lt;&gt;"",IF(Formulario!D97=" ",".",Formulario!D97),".")</f>
        <v>.</v>
      </c>
      <c r="I89" s="144" t="str">
        <f>IF(Formulario!E97&lt;&gt;"",IF(Formulario!E97=" "," ",Formulario!E97),IF(G89=".",".","Falta Propietario"))</f>
        <v>.</v>
      </c>
      <c r="J89" s="144" t="str">
        <f>IF(Formulario!F97&lt;&gt;"",IF(Formulario!F97=" "," ",Formulario!F97)," ")</f>
        <v xml:space="preserve"> </v>
      </c>
      <c r="K89" s="144" t="str">
        <f>IF(Formulario!G97&lt;&gt;"",IF(Formulario!G97=" "," ",Formulario!G97)," ")</f>
        <v xml:space="preserve"> </v>
      </c>
      <c r="L89" s="144" t="str">
        <f>IF(Formulario!H97&lt;&gt;"",IF(Formulario!H97=" "," ",Formulario!H97)," ")</f>
        <v xml:space="preserve"> </v>
      </c>
      <c r="M89" s="144" t="str">
        <f>IF(Formulario!I97&lt;&gt;"",IF(Formulario!I97=" "," ",Formulario!I97)," ")</f>
        <v xml:space="preserve"> </v>
      </c>
      <c r="N89" s="145" t="str">
        <f>IF(Formulario!J97&lt;&gt;"",IF(Formulario!J97=" "," ",Formulario!J97),IF(G89=".",".","Falta Fecha"))</f>
        <v>.</v>
      </c>
      <c r="O89" s="155">
        <f>Formulario!L97</f>
        <v>0</v>
      </c>
      <c r="P89" s="146">
        <f>IF(O89=1,"09:00",Formulario!M97)</f>
        <v>0</v>
      </c>
      <c r="Q89" s="146">
        <f>IF(O89=1,"18:30",Formulario!N97)</f>
        <v>0</v>
      </c>
      <c r="R89" s="146" t="str">
        <f>IF(Formulario!O97&lt;&gt;"",IF(Formulario!O97=" ",".",Formulario!O97),".")</f>
        <v>Post Venta</v>
      </c>
      <c r="S89" s="141" t="s">
        <v>131</v>
      </c>
    </row>
    <row r="90" spans="1:19">
      <c r="A90" s="141" t="str">
        <f>Formulario!B98</f>
        <v/>
      </c>
      <c r="B90" s="144" t="str">
        <f>IF(G90="."," ",Formulario!D$5)</f>
        <v xml:space="preserve"> </v>
      </c>
      <c r="C90" s="144" t="str">
        <f>IF(G90=".","",Formulario!D$6)</f>
        <v/>
      </c>
      <c r="D90" s="144" t="str">
        <f>IF(H90=".","",Formulario!D$7)</f>
        <v/>
      </c>
      <c r="E90" s="144" t="str">
        <f>IF(G90=".","",Formulario!J$5)</f>
        <v/>
      </c>
      <c r="F90" s="145" t="str">
        <f>IF(G90=".","",Formulario!J$6)</f>
        <v/>
      </c>
      <c r="G90" s="180" t="str">
        <f>IF(Formulario!C98&lt;&gt;"",IF(Formulario!C98=" ","Falta Depto",IF(H90=".","Error En Descripción",Formulario!C98)),IF(H90=".",".","Falta Datos"))</f>
        <v>.</v>
      </c>
      <c r="H90" s="144" t="str">
        <f>IF(Formulario!D98&lt;&gt;"",IF(Formulario!D98=" ",".",Formulario!D98),".")</f>
        <v>.</v>
      </c>
      <c r="I90" s="144" t="str">
        <f>IF(Formulario!E98&lt;&gt;"",IF(Formulario!E98=" "," ",Formulario!E98),IF(G90=".",".","Falta Propietario"))</f>
        <v>.</v>
      </c>
      <c r="J90" s="144" t="str">
        <f>IF(Formulario!F98&lt;&gt;"",IF(Formulario!F98=" "," ",Formulario!F98)," ")</f>
        <v xml:space="preserve"> </v>
      </c>
      <c r="K90" s="144" t="str">
        <f>IF(Formulario!G98&lt;&gt;"",IF(Formulario!G98=" "," ",Formulario!G98)," ")</f>
        <v xml:space="preserve"> </v>
      </c>
      <c r="L90" s="144" t="str">
        <f>IF(Formulario!H98&lt;&gt;"",IF(Formulario!H98=" "," ",Formulario!H98)," ")</f>
        <v xml:space="preserve"> </v>
      </c>
      <c r="M90" s="144" t="str">
        <f>IF(Formulario!I98&lt;&gt;"",IF(Formulario!I98=" "," ",Formulario!I98)," ")</f>
        <v xml:space="preserve"> </v>
      </c>
      <c r="N90" s="145" t="str">
        <f>IF(Formulario!J98&lt;&gt;"",IF(Formulario!J98=" "," ",Formulario!J98),IF(G90=".",".","Falta Fecha"))</f>
        <v>.</v>
      </c>
      <c r="O90" s="155">
        <f>Formulario!L98</f>
        <v>0</v>
      </c>
      <c r="P90" s="146">
        <f>IF(O90=1,"09:00",Formulario!M98)</f>
        <v>0</v>
      </c>
      <c r="Q90" s="146">
        <f>IF(O90=1,"18:30",Formulario!N98)</f>
        <v>0</v>
      </c>
      <c r="R90" s="146" t="str">
        <f>IF(Formulario!O98&lt;&gt;"",IF(Formulario!O98=" ",".",Formulario!O98),".")</f>
        <v>Post Venta</v>
      </c>
      <c r="S90" s="141" t="s">
        <v>131</v>
      </c>
    </row>
    <row r="91" spans="1:19">
      <c r="A91" s="141" t="str">
        <f>Formulario!B99</f>
        <v/>
      </c>
      <c r="B91" s="144" t="str">
        <f>IF(G91="."," ",Formulario!D$5)</f>
        <v xml:space="preserve"> </v>
      </c>
      <c r="C91" s="144" t="str">
        <f>IF(G91=".","",Formulario!D$6)</f>
        <v/>
      </c>
      <c r="D91" s="144" t="str">
        <f>IF(H91=".","",Formulario!D$7)</f>
        <v/>
      </c>
      <c r="E91" s="144" t="str">
        <f>IF(G91=".","",Formulario!J$5)</f>
        <v/>
      </c>
      <c r="F91" s="145" t="str">
        <f>IF(G91=".","",Formulario!J$6)</f>
        <v/>
      </c>
      <c r="G91" s="180" t="str">
        <f>IF(Formulario!C99&lt;&gt;"",IF(Formulario!C99=" ","Falta Depto",IF(H91=".","Error En Descripción",Formulario!C99)),IF(H91=".",".","Falta Datos"))</f>
        <v>.</v>
      </c>
      <c r="H91" s="144" t="str">
        <f>IF(Formulario!D99&lt;&gt;"",IF(Formulario!D99=" ",".",Formulario!D99),".")</f>
        <v>.</v>
      </c>
      <c r="I91" s="144" t="str">
        <f>IF(Formulario!E99&lt;&gt;"",IF(Formulario!E99=" "," ",Formulario!E99),IF(G91=".",".","Falta Propietario"))</f>
        <v>.</v>
      </c>
      <c r="J91" s="144" t="str">
        <f>IF(Formulario!F99&lt;&gt;"",IF(Formulario!F99=" "," ",Formulario!F99)," ")</f>
        <v xml:space="preserve"> </v>
      </c>
      <c r="K91" s="144" t="str">
        <f>IF(Formulario!G99&lt;&gt;"",IF(Formulario!G99=" "," ",Formulario!G99)," ")</f>
        <v xml:space="preserve"> </v>
      </c>
      <c r="L91" s="144" t="str">
        <f>IF(Formulario!H99&lt;&gt;"",IF(Formulario!H99=" "," ",Formulario!H99)," ")</f>
        <v xml:space="preserve"> </v>
      </c>
      <c r="M91" s="144" t="str">
        <f>IF(Formulario!I99&lt;&gt;"",IF(Formulario!I99=" "," ",Formulario!I99)," ")</f>
        <v xml:space="preserve"> </v>
      </c>
      <c r="N91" s="145" t="str">
        <f>IF(Formulario!J99&lt;&gt;"",IF(Formulario!J99=" "," ",Formulario!J99),IF(G91=".",".","Falta Fecha"))</f>
        <v>.</v>
      </c>
      <c r="O91" s="155">
        <f>Formulario!L99</f>
        <v>0</v>
      </c>
      <c r="P91" s="146">
        <f>IF(O91=1,"09:00",Formulario!M99)</f>
        <v>0</v>
      </c>
      <c r="Q91" s="146">
        <f>IF(O91=1,"18:30",Formulario!N99)</f>
        <v>0</v>
      </c>
      <c r="R91" s="146" t="str">
        <f>IF(Formulario!O99&lt;&gt;"",IF(Formulario!O99=" ",".",Formulario!O99),".")</f>
        <v>Post Venta</v>
      </c>
      <c r="S91" s="141" t="s">
        <v>131</v>
      </c>
    </row>
    <row r="92" spans="1:19">
      <c r="A92" s="141" t="str">
        <f>Formulario!B100</f>
        <v/>
      </c>
      <c r="B92" s="144" t="str">
        <f>IF(G92="."," ",Formulario!D$5)</f>
        <v xml:space="preserve"> </v>
      </c>
      <c r="C92" s="144" t="str">
        <f>IF(G92=".","",Formulario!D$6)</f>
        <v/>
      </c>
      <c r="D92" s="144" t="str">
        <f>IF(H92=".","",Formulario!D$7)</f>
        <v/>
      </c>
      <c r="E92" s="144" t="str">
        <f>IF(G92=".","",Formulario!J$5)</f>
        <v/>
      </c>
      <c r="F92" s="145" t="str">
        <f>IF(G92=".","",Formulario!J$6)</f>
        <v/>
      </c>
      <c r="G92" s="180" t="str">
        <f>IF(Formulario!C100&lt;&gt;"",IF(Formulario!C100=" ","Falta Depto",IF(H92=".","Error En Descripción",Formulario!C100)),IF(H92=".",".","Falta Datos"))</f>
        <v>.</v>
      </c>
      <c r="H92" s="144" t="str">
        <f>IF(Formulario!D100&lt;&gt;"",IF(Formulario!D100=" ",".",Formulario!D100),".")</f>
        <v>.</v>
      </c>
      <c r="I92" s="144" t="str">
        <f>IF(Formulario!E100&lt;&gt;"",IF(Formulario!E100=" "," ",Formulario!E100),IF(G92=".",".","Falta Propietario"))</f>
        <v>.</v>
      </c>
      <c r="J92" s="144" t="str">
        <f>IF(Formulario!F100&lt;&gt;"",IF(Formulario!F100=" "," ",Formulario!F100)," ")</f>
        <v xml:space="preserve"> </v>
      </c>
      <c r="K92" s="144" t="str">
        <f>IF(Formulario!G100&lt;&gt;"",IF(Formulario!G100=" "," ",Formulario!G100)," ")</f>
        <v xml:space="preserve"> </v>
      </c>
      <c r="L92" s="144" t="str">
        <f>IF(Formulario!H100&lt;&gt;"",IF(Formulario!H100=" "," ",Formulario!H100)," ")</f>
        <v xml:space="preserve"> </v>
      </c>
      <c r="M92" s="144" t="str">
        <f>IF(Formulario!I100&lt;&gt;"",IF(Formulario!I100=" "," ",Formulario!I100)," ")</f>
        <v xml:space="preserve"> </v>
      </c>
      <c r="N92" s="145" t="str">
        <f>IF(Formulario!J100&lt;&gt;"",IF(Formulario!J100=" "," ",Formulario!J100),IF(G92=".",".","Falta Fecha"))</f>
        <v>.</v>
      </c>
      <c r="O92" s="155">
        <f>Formulario!L100</f>
        <v>0</v>
      </c>
      <c r="P92" s="146">
        <f>IF(O92=1,"09:00",Formulario!M100)</f>
        <v>0</v>
      </c>
      <c r="Q92" s="146">
        <f>IF(O92=1,"18:30",Formulario!N100)</f>
        <v>0</v>
      </c>
      <c r="R92" s="146" t="str">
        <f>IF(Formulario!O100&lt;&gt;"",IF(Formulario!O100=" ",".",Formulario!O100),".")</f>
        <v>Post Venta</v>
      </c>
      <c r="S92" s="141" t="s">
        <v>131</v>
      </c>
    </row>
    <row r="93" spans="1:19">
      <c r="A93" s="141" t="str">
        <f>Formulario!B101</f>
        <v/>
      </c>
      <c r="B93" s="144" t="str">
        <f>IF(G93="."," ",Formulario!D$5)</f>
        <v xml:space="preserve"> </v>
      </c>
      <c r="C93" s="144" t="str">
        <f>IF(G93=".","",Formulario!D$6)</f>
        <v/>
      </c>
      <c r="D93" s="144" t="str">
        <f>IF(H93=".","",Formulario!D$7)</f>
        <v/>
      </c>
      <c r="E93" s="144" t="str">
        <f>IF(G93=".","",Formulario!J$5)</f>
        <v/>
      </c>
      <c r="F93" s="145" t="str">
        <f>IF(G93=".","",Formulario!J$6)</f>
        <v/>
      </c>
      <c r="G93" s="180" t="str">
        <f>IF(Formulario!C101&lt;&gt;"",IF(Formulario!C101=" ","Falta Depto",IF(H93=".","Error En Descripción",Formulario!C101)),IF(H93=".",".","Falta Datos"))</f>
        <v>.</v>
      </c>
      <c r="H93" s="144" t="str">
        <f>IF(Formulario!D101&lt;&gt;"",IF(Formulario!D101=" ",".",Formulario!D101),".")</f>
        <v>.</v>
      </c>
      <c r="I93" s="144" t="str">
        <f>IF(Formulario!E101&lt;&gt;"",IF(Formulario!E101=" "," ",Formulario!E101),IF(G93=".",".","Falta Propietario"))</f>
        <v>.</v>
      </c>
      <c r="J93" s="144" t="str">
        <f>IF(Formulario!F101&lt;&gt;"",IF(Formulario!F101=" "," ",Formulario!F101)," ")</f>
        <v xml:space="preserve"> </v>
      </c>
      <c r="K93" s="144" t="str">
        <f>IF(Formulario!G101&lt;&gt;"",IF(Formulario!G101=" "," ",Formulario!G101)," ")</f>
        <v xml:space="preserve"> </v>
      </c>
      <c r="L93" s="144" t="str">
        <f>IF(Formulario!H101&lt;&gt;"",IF(Formulario!H101=" "," ",Formulario!H101)," ")</f>
        <v xml:space="preserve"> </v>
      </c>
      <c r="M93" s="144" t="str">
        <f>IF(Formulario!I101&lt;&gt;"",IF(Formulario!I101=" "," ",Formulario!I101)," ")</f>
        <v xml:space="preserve"> </v>
      </c>
      <c r="N93" s="145" t="str">
        <f>IF(Formulario!J101&lt;&gt;"",IF(Formulario!J101=" "," ",Formulario!J101),IF(G93=".",".","Falta Fecha"))</f>
        <v>.</v>
      </c>
      <c r="O93" s="155">
        <f>Formulario!L101</f>
        <v>0</v>
      </c>
      <c r="P93" s="146">
        <f>IF(O93=1,"09:00",Formulario!M101)</f>
        <v>0</v>
      </c>
      <c r="Q93" s="146">
        <f>IF(O93=1,"18:30",Formulario!N101)</f>
        <v>0</v>
      </c>
      <c r="R93" s="146" t="str">
        <f>IF(Formulario!O101&lt;&gt;"",IF(Formulario!O101=" ",".",Formulario!O101),".")</f>
        <v>Post Venta</v>
      </c>
      <c r="S93" s="141" t="s">
        <v>131</v>
      </c>
    </row>
    <row r="94" spans="1:19">
      <c r="A94" s="141" t="str">
        <f>Formulario!B102</f>
        <v/>
      </c>
      <c r="B94" s="144" t="str">
        <f>IF(G94="."," ",Formulario!D$5)</f>
        <v xml:space="preserve"> </v>
      </c>
      <c r="C94" s="144" t="str">
        <f>IF(G94=".","",Formulario!D$6)</f>
        <v/>
      </c>
      <c r="D94" s="144" t="str">
        <f>IF(H94=".","",Formulario!D$7)</f>
        <v/>
      </c>
      <c r="E94" s="144" t="str">
        <f>IF(G94=".","",Formulario!J$5)</f>
        <v/>
      </c>
      <c r="F94" s="145" t="str">
        <f>IF(G94=".","",Formulario!J$6)</f>
        <v/>
      </c>
      <c r="G94" s="180" t="str">
        <f>IF(Formulario!C102&lt;&gt;"",IF(Formulario!C102=" ","Falta Depto",IF(H94=".","Error En Descripción",Formulario!C102)),IF(H94=".",".","Falta Datos"))</f>
        <v>.</v>
      </c>
      <c r="H94" s="144" t="str">
        <f>IF(Formulario!D102&lt;&gt;"",IF(Formulario!D102=" ",".",Formulario!D102),".")</f>
        <v>.</v>
      </c>
      <c r="I94" s="144" t="str">
        <f>IF(Formulario!E102&lt;&gt;"",IF(Formulario!E102=" "," ",Formulario!E102),IF(G94=".",".","Falta Propietario"))</f>
        <v>.</v>
      </c>
      <c r="J94" s="144" t="str">
        <f>IF(Formulario!F102&lt;&gt;"",IF(Formulario!F102=" "," ",Formulario!F102)," ")</f>
        <v xml:space="preserve"> </v>
      </c>
      <c r="K94" s="144" t="str">
        <f>IF(Formulario!G102&lt;&gt;"",IF(Formulario!G102=" "," ",Formulario!G102)," ")</f>
        <v xml:space="preserve"> </v>
      </c>
      <c r="L94" s="144" t="str">
        <f>IF(Formulario!H102&lt;&gt;"",IF(Formulario!H102=" "," ",Formulario!H102)," ")</f>
        <v xml:space="preserve"> </v>
      </c>
      <c r="M94" s="144" t="str">
        <f>IF(Formulario!I102&lt;&gt;"",IF(Formulario!I102=" "," ",Formulario!I102)," ")</f>
        <v xml:space="preserve"> </v>
      </c>
      <c r="N94" s="145" t="str">
        <f>IF(Formulario!J102&lt;&gt;"",IF(Formulario!J102=" "," ",Formulario!J102),IF(G94=".",".","Falta Fecha"))</f>
        <v>.</v>
      </c>
      <c r="O94" s="155">
        <f>Formulario!L102</f>
        <v>0</v>
      </c>
      <c r="P94" s="146">
        <f>IF(O94=1,"09:00",Formulario!M102)</f>
        <v>0</v>
      </c>
      <c r="Q94" s="146">
        <f>IF(O94=1,"18:30",Formulario!N102)</f>
        <v>0</v>
      </c>
      <c r="R94" s="146" t="str">
        <f>IF(Formulario!O102&lt;&gt;"",IF(Formulario!O102=" ",".",Formulario!O102),".")</f>
        <v>Post Venta</v>
      </c>
      <c r="S94" s="141" t="s">
        <v>131</v>
      </c>
    </row>
    <row r="95" spans="1:19">
      <c r="A95" s="141" t="str">
        <f>Formulario!B103</f>
        <v/>
      </c>
      <c r="B95" s="144" t="str">
        <f>IF(G95="."," ",Formulario!D$5)</f>
        <v xml:space="preserve"> </v>
      </c>
      <c r="C95" s="144" t="str">
        <f>IF(G95=".","",Formulario!D$6)</f>
        <v/>
      </c>
      <c r="D95" s="144" t="str">
        <f>IF(H95=".","",Formulario!D$7)</f>
        <v/>
      </c>
      <c r="E95" s="144" t="str">
        <f>IF(G95=".","",Formulario!J$5)</f>
        <v/>
      </c>
      <c r="F95" s="145" t="str">
        <f>IF(G95=".","",Formulario!J$6)</f>
        <v/>
      </c>
      <c r="G95" s="180" t="str">
        <f>IF(Formulario!C103&lt;&gt;"",IF(Formulario!C103=" ","Falta Depto",IF(H95=".","Error En Descripción",Formulario!C103)),IF(H95=".",".","Falta Datos"))</f>
        <v>.</v>
      </c>
      <c r="H95" s="144" t="str">
        <f>IF(Formulario!D103&lt;&gt;"",IF(Formulario!D103=" ",".",Formulario!D103),".")</f>
        <v>.</v>
      </c>
      <c r="I95" s="144" t="str">
        <f>IF(Formulario!E103&lt;&gt;"",IF(Formulario!E103=" "," ",Formulario!E103),IF(G95=".",".","Falta Propietario"))</f>
        <v>.</v>
      </c>
      <c r="J95" s="144" t="str">
        <f>IF(Formulario!F103&lt;&gt;"",IF(Formulario!F103=" "," ",Formulario!F103)," ")</f>
        <v xml:space="preserve"> </v>
      </c>
      <c r="K95" s="144" t="str">
        <f>IF(Formulario!G103&lt;&gt;"",IF(Formulario!G103=" "," ",Formulario!G103)," ")</f>
        <v xml:space="preserve"> </v>
      </c>
      <c r="L95" s="144" t="str">
        <f>IF(Formulario!H103&lt;&gt;"",IF(Formulario!H103=" "," ",Formulario!H103)," ")</f>
        <v xml:space="preserve"> </v>
      </c>
      <c r="M95" s="144" t="str">
        <f>IF(Formulario!I103&lt;&gt;"",IF(Formulario!I103=" "," ",Formulario!I103)," ")</f>
        <v xml:space="preserve"> </v>
      </c>
      <c r="N95" s="145" t="str">
        <f>IF(Formulario!J103&lt;&gt;"",IF(Formulario!J103=" "," ",Formulario!J103),IF(G95=".",".","Falta Fecha"))</f>
        <v>.</v>
      </c>
      <c r="O95" s="155">
        <f>Formulario!L103</f>
        <v>0</v>
      </c>
      <c r="P95" s="146">
        <f>IF(O95=1,"09:00",Formulario!M103)</f>
        <v>0</v>
      </c>
      <c r="Q95" s="146">
        <f>IF(O95=1,"18:30",Formulario!N103)</f>
        <v>0</v>
      </c>
      <c r="R95" s="146" t="str">
        <f>IF(Formulario!O103&lt;&gt;"",IF(Formulario!O103=" ",".",Formulario!O103),".")</f>
        <v>Post Venta</v>
      </c>
      <c r="S95" s="141" t="s">
        <v>131</v>
      </c>
    </row>
    <row r="96" spans="1:19">
      <c r="A96" s="141" t="str">
        <f>Formulario!B104</f>
        <v/>
      </c>
      <c r="B96" s="144" t="str">
        <f>IF(G96="."," ",Formulario!D$5)</f>
        <v xml:space="preserve"> </v>
      </c>
      <c r="C96" s="144" t="str">
        <f>IF(G96=".","",Formulario!D$6)</f>
        <v/>
      </c>
      <c r="D96" s="144" t="str">
        <f>IF(H96=".","",Formulario!D$7)</f>
        <v/>
      </c>
      <c r="E96" s="144" t="str">
        <f>IF(G96=".","",Formulario!J$5)</f>
        <v/>
      </c>
      <c r="F96" s="145" t="str">
        <f>IF(G96=".","",Formulario!J$6)</f>
        <v/>
      </c>
      <c r="G96" s="180" t="str">
        <f>IF(Formulario!C104&lt;&gt;"",IF(Formulario!C104=" ","Falta Depto",IF(H96=".","Error En Descripción",Formulario!C104)),IF(H96=".",".","Falta Datos"))</f>
        <v>.</v>
      </c>
      <c r="H96" s="144" t="str">
        <f>IF(Formulario!D104&lt;&gt;"",IF(Formulario!D104=" ",".",Formulario!D104),".")</f>
        <v>.</v>
      </c>
      <c r="I96" s="144" t="str">
        <f>IF(Formulario!E104&lt;&gt;"",IF(Formulario!E104=" "," ",Formulario!E104),IF(G96=".",".","Falta Propietario"))</f>
        <v>.</v>
      </c>
      <c r="J96" s="144" t="str">
        <f>IF(Formulario!F104&lt;&gt;"",IF(Formulario!F104=" "," ",Formulario!F104)," ")</f>
        <v xml:space="preserve"> </v>
      </c>
      <c r="K96" s="144" t="str">
        <f>IF(Formulario!G104&lt;&gt;"",IF(Formulario!G104=" "," ",Formulario!G104)," ")</f>
        <v xml:space="preserve"> </v>
      </c>
      <c r="L96" s="144" t="str">
        <f>IF(Formulario!H104&lt;&gt;"",IF(Formulario!H104=" "," ",Formulario!H104)," ")</f>
        <v xml:space="preserve"> </v>
      </c>
      <c r="M96" s="144" t="str">
        <f>IF(Formulario!I104&lt;&gt;"",IF(Formulario!I104=" "," ",Formulario!I104)," ")</f>
        <v xml:space="preserve"> </v>
      </c>
      <c r="N96" s="145" t="str">
        <f>IF(Formulario!J104&lt;&gt;"",IF(Formulario!J104=" "," ",Formulario!J104),IF(G96=".",".","Falta Fecha"))</f>
        <v>.</v>
      </c>
      <c r="O96" s="155">
        <f>Formulario!L104</f>
        <v>0</v>
      </c>
      <c r="P96" s="146">
        <f>IF(O96=1,"09:00",Formulario!M104)</f>
        <v>0</v>
      </c>
      <c r="Q96" s="146">
        <f>IF(O96=1,"18:30",Formulario!N104)</f>
        <v>0</v>
      </c>
      <c r="R96" s="146" t="str">
        <f>IF(Formulario!O104&lt;&gt;"",IF(Formulario!O104=" ",".",Formulario!O104),".")</f>
        <v>Post Venta</v>
      </c>
      <c r="S96" s="141" t="s">
        <v>131</v>
      </c>
    </row>
    <row r="97" spans="1:19">
      <c r="A97" s="141" t="str">
        <f>Formulario!B105</f>
        <v/>
      </c>
      <c r="B97" s="144" t="str">
        <f>IF(G97="."," ",Formulario!D$5)</f>
        <v xml:space="preserve"> </v>
      </c>
      <c r="C97" s="144" t="str">
        <f>IF(G97=".","",Formulario!D$6)</f>
        <v/>
      </c>
      <c r="D97" s="144" t="str">
        <f>IF(H97=".","",Formulario!D$7)</f>
        <v/>
      </c>
      <c r="E97" s="144" t="str">
        <f>IF(G97=".","",Formulario!J$5)</f>
        <v/>
      </c>
      <c r="F97" s="145" t="str">
        <f>IF(G97=".","",Formulario!J$6)</f>
        <v/>
      </c>
      <c r="G97" s="180" t="str">
        <f>IF(Formulario!C105&lt;&gt;"",IF(Formulario!C105=" ","Falta Depto",IF(H97=".","Error En Descripción",Formulario!C105)),IF(H97=".",".","Falta Datos"))</f>
        <v>.</v>
      </c>
      <c r="H97" s="144" t="str">
        <f>IF(Formulario!D105&lt;&gt;"",IF(Formulario!D105=" ",".",Formulario!D105),".")</f>
        <v>.</v>
      </c>
      <c r="I97" s="144" t="str">
        <f>IF(Formulario!E105&lt;&gt;"",IF(Formulario!E105=" "," ",Formulario!E105),IF(G97=".",".","Falta Propietario"))</f>
        <v>.</v>
      </c>
      <c r="J97" s="144" t="str">
        <f>IF(Formulario!F105&lt;&gt;"",IF(Formulario!F105=" "," ",Formulario!F105)," ")</f>
        <v xml:space="preserve"> </v>
      </c>
      <c r="K97" s="144" t="str">
        <f>IF(Formulario!G105&lt;&gt;"",IF(Formulario!G105=" "," ",Formulario!G105)," ")</f>
        <v xml:space="preserve"> </v>
      </c>
      <c r="L97" s="144" t="str">
        <f>IF(Formulario!H105&lt;&gt;"",IF(Formulario!H105=" "," ",Formulario!H105)," ")</f>
        <v xml:space="preserve"> </v>
      </c>
      <c r="M97" s="144" t="str">
        <f>IF(Formulario!I105&lt;&gt;"",IF(Formulario!I105=" "," ",Formulario!I105)," ")</f>
        <v xml:space="preserve"> </v>
      </c>
      <c r="N97" s="145" t="str">
        <f>IF(Formulario!J105&lt;&gt;"",IF(Formulario!J105=" "," ",Formulario!J105),IF(G97=".",".","Falta Fecha"))</f>
        <v>.</v>
      </c>
      <c r="O97" s="155">
        <f>Formulario!L105</f>
        <v>0</v>
      </c>
      <c r="P97" s="146">
        <f>IF(O97=1,"09:00",Formulario!M105)</f>
        <v>0</v>
      </c>
      <c r="Q97" s="146">
        <f>IF(O97=1,"18:30",Formulario!N105)</f>
        <v>0</v>
      </c>
      <c r="R97" s="146" t="str">
        <f>IF(Formulario!O105&lt;&gt;"",IF(Formulario!O105=" ",".",Formulario!O105),".")</f>
        <v>Post Venta</v>
      </c>
      <c r="S97" s="141" t="s">
        <v>131</v>
      </c>
    </row>
    <row r="98" spans="1:19">
      <c r="A98" s="141" t="str">
        <f>Formulario!B106</f>
        <v/>
      </c>
      <c r="B98" s="144" t="str">
        <f>IF(G98="."," ",Formulario!D$5)</f>
        <v xml:space="preserve"> </v>
      </c>
      <c r="C98" s="144" t="str">
        <f>IF(G98=".","",Formulario!D$6)</f>
        <v/>
      </c>
      <c r="D98" s="144" t="str">
        <f>IF(H98=".","",Formulario!D$7)</f>
        <v/>
      </c>
      <c r="E98" s="144" t="str">
        <f>IF(G98=".","",Formulario!J$5)</f>
        <v/>
      </c>
      <c r="F98" s="145" t="str">
        <f>IF(G98=".","",Formulario!J$6)</f>
        <v/>
      </c>
      <c r="G98" s="180" t="str">
        <f>IF(Formulario!C106&lt;&gt;"",IF(Formulario!C106=" ","Falta Depto",IF(H98=".","Error En Descripción",Formulario!C106)),IF(H98=".",".","Falta Datos"))</f>
        <v>.</v>
      </c>
      <c r="H98" s="144" t="str">
        <f>IF(Formulario!D106&lt;&gt;"",IF(Formulario!D106=" ",".",Formulario!D106),".")</f>
        <v>.</v>
      </c>
      <c r="I98" s="144" t="str">
        <f>IF(Formulario!E106&lt;&gt;"",IF(Formulario!E106=" "," ",Formulario!E106),IF(G98=".",".","Falta Propietario"))</f>
        <v>.</v>
      </c>
      <c r="J98" s="144" t="str">
        <f>IF(Formulario!F106&lt;&gt;"",IF(Formulario!F106=" "," ",Formulario!F106)," ")</f>
        <v xml:space="preserve"> </v>
      </c>
      <c r="K98" s="144" t="str">
        <f>IF(Formulario!G106&lt;&gt;"",IF(Formulario!G106=" "," ",Formulario!G106)," ")</f>
        <v xml:space="preserve"> </v>
      </c>
      <c r="L98" s="144" t="str">
        <f>IF(Formulario!H106&lt;&gt;"",IF(Formulario!H106=" "," ",Formulario!H106)," ")</f>
        <v xml:space="preserve"> </v>
      </c>
      <c r="M98" s="144" t="str">
        <f>IF(Formulario!I106&lt;&gt;"",IF(Formulario!I106=" "," ",Formulario!I106)," ")</f>
        <v xml:space="preserve"> </v>
      </c>
      <c r="N98" s="145" t="str">
        <f>IF(Formulario!J106&lt;&gt;"",IF(Formulario!J106=" "," ",Formulario!J106),IF(G98=".",".","Falta Fecha"))</f>
        <v>.</v>
      </c>
      <c r="O98" s="155">
        <f>Formulario!L106</f>
        <v>0</v>
      </c>
      <c r="P98" s="146">
        <f>IF(O98=1,"09:00",Formulario!M106)</f>
        <v>0</v>
      </c>
      <c r="Q98" s="146">
        <f>IF(O98=1,"18:30",Formulario!N106)</f>
        <v>0</v>
      </c>
      <c r="R98" s="146" t="str">
        <f>IF(Formulario!O106&lt;&gt;"",IF(Formulario!O106=" ",".",Formulario!O106),".")</f>
        <v>Post Venta</v>
      </c>
      <c r="S98" s="141" t="s">
        <v>131</v>
      </c>
    </row>
    <row r="99" spans="1:19">
      <c r="A99" s="141" t="str">
        <f>Formulario!B107</f>
        <v/>
      </c>
      <c r="B99" s="144" t="str">
        <f>IF(G99="."," ",Formulario!D$5)</f>
        <v xml:space="preserve"> </v>
      </c>
      <c r="C99" s="144" t="str">
        <f>IF(G99=".","",Formulario!D$6)</f>
        <v/>
      </c>
      <c r="D99" s="144" t="str">
        <f>IF(H99=".","",Formulario!D$7)</f>
        <v/>
      </c>
      <c r="E99" s="144" t="str">
        <f>IF(G99=".","",Formulario!J$5)</f>
        <v/>
      </c>
      <c r="F99" s="145" t="str">
        <f>IF(G99=".","",Formulario!J$6)</f>
        <v/>
      </c>
      <c r="G99" s="180" t="str">
        <f>IF(Formulario!C107&lt;&gt;"",IF(Formulario!C107=" ","Falta Depto",IF(H99=".","Error En Descripción",Formulario!C107)),IF(H99=".",".","Falta Datos"))</f>
        <v>.</v>
      </c>
      <c r="H99" s="144" t="str">
        <f>IF(Formulario!D107&lt;&gt;"",IF(Formulario!D107=" ",".",Formulario!D107),".")</f>
        <v>.</v>
      </c>
      <c r="I99" s="144" t="str">
        <f>IF(Formulario!E107&lt;&gt;"",IF(Formulario!E107=" "," ",Formulario!E107),IF(G99=".",".","Falta Propietario"))</f>
        <v>.</v>
      </c>
      <c r="J99" s="144" t="str">
        <f>IF(Formulario!F107&lt;&gt;"",IF(Formulario!F107=" "," ",Formulario!F107)," ")</f>
        <v xml:space="preserve"> </v>
      </c>
      <c r="K99" s="144" t="str">
        <f>IF(Formulario!G107&lt;&gt;"",IF(Formulario!G107=" "," ",Formulario!G107)," ")</f>
        <v xml:space="preserve"> </v>
      </c>
      <c r="L99" s="144" t="str">
        <f>IF(Formulario!H107&lt;&gt;"",IF(Formulario!H107=" "," ",Formulario!H107)," ")</f>
        <v xml:space="preserve"> </v>
      </c>
      <c r="M99" s="144" t="str">
        <f>IF(Formulario!I107&lt;&gt;"",IF(Formulario!I107=" "," ",Formulario!I107)," ")</f>
        <v xml:space="preserve"> </v>
      </c>
      <c r="N99" s="145" t="str">
        <f>IF(Formulario!J107&lt;&gt;"",IF(Formulario!J107=" "," ",Formulario!J107),IF(G99=".",".","Falta Fecha"))</f>
        <v>.</v>
      </c>
      <c r="O99" s="155">
        <f>Formulario!L107</f>
        <v>0</v>
      </c>
      <c r="P99" s="146">
        <f>IF(O99=1,"09:00",Formulario!M107)</f>
        <v>0</v>
      </c>
      <c r="Q99" s="146">
        <f>IF(O99=1,"18:30",Formulario!N107)</f>
        <v>0</v>
      </c>
      <c r="R99" s="146" t="str">
        <f>IF(Formulario!O107&lt;&gt;"",IF(Formulario!O107=" ",".",Formulario!O107),".")</f>
        <v>Post Venta</v>
      </c>
      <c r="S99" s="141" t="s">
        <v>131</v>
      </c>
    </row>
    <row r="100" spans="1:19">
      <c r="A100" s="141" t="str">
        <f>Formulario!B108</f>
        <v/>
      </c>
      <c r="B100" s="144" t="str">
        <f>IF(G100="."," ",Formulario!D$5)</f>
        <v xml:space="preserve"> </v>
      </c>
      <c r="C100" s="144" t="str">
        <f>IF(G100=".","",Formulario!D$6)</f>
        <v/>
      </c>
      <c r="D100" s="144" t="str">
        <f>IF(H100=".","",Formulario!D$7)</f>
        <v/>
      </c>
      <c r="E100" s="144" t="str">
        <f>IF(G100=".","",Formulario!J$5)</f>
        <v/>
      </c>
      <c r="F100" s="145" t="str">
        <f>IF(G100=".","",Formulario!J$6)</f>
        <v/>
      </c>
      <c r="G100" s="180" t="str">
        <f>IF(Formulario!C108&lt;&gt;"",IF(Formulario!C108=" ","Falta Depto",IF(H100=".","Error En Descripción",Formulario!C108)),IF(H100=".",".","Falta Datos"))</f>
        <v>.</v>
      </c>
      <c r="H100" s="144" t="str">
        <f>IF(Formulario!D108&lt;&gt;"",IF(Formulario!D108=" ",".",Formulario!D108),".")</f>
        <v>.</v>
      </c>
      <c r="I100" s="144" t="str">
        <f>IF(Formulario!E108&lt;&gt;"",IF(Formulario!E108=" "," ",Formulario!E108),IF(G100=".",".","Falta Propietario"))</f>
        <v>.</v>
      </c>
      <c r="J100" s="144" t="str">
        <f>IF(Formulario!F108&lt;&gt;"",IF(Formulario!F108=" "," ",Formulario!F108)," ")</f>
        <v xml:space="preserve"> </v>
      </c>
      <c r="K100" s="144" t="str">
        <f>IF(Formulario!G108&lt;&gt;"",IF(Formulario!G108=" "," ",Formulario!G108)," ")</f>
        <v xml:space="preserve"> </v>
      </c>
      <c r="L100" s="144" t="str">
        <f>IF(Formulario!H108&lt;&gt;"",IF(Formulario!H108=" "," ",Formulario!H108)," ")</f>
        <v xml:space="preserve"> </v>
      </c>
      <c r="M100" s="144" t="str">
        <f>IF(Formulario!I108&lt;&gt;"",IF(Formulario!I108=" "," ",Formulario!I108)," ")</f>
        <v xml:space="preserve"> </v>
      </c>
      <c r="N100" s="145" t="str">
        <f>IF(Formulario!J108&lt;&gt;"",IF(Formulario!J108=" "," ",Formulario!J108),IF(G100=".",".","Falta Fecha"))</f>
        <v>.</v>
      </c>
      <c r="O100" s="155">
        <f>Formulario!L108</f>
        <v>0</v>
      </c>
      <c r="P100" s="146">
        <f>IF(O100=1,"09:00",Formulario!M108)</f>
        <v>0</v>
      </c>
      <c r="Q100" s="146">
        <f>IF(O100=1,"18:30",Formulario!N108)</f>
        <v>0</v>
      </c>
      <c r="R100" s="146" t="str">
        <f>IF(Formulario!O108&lt;&gt;"",IF(Formulario!O108=" ",".",Formulario!O108),".")</f>
        <v>Post Venta</v>
      </c>
      <c r="S100" s="141" t="s">
        <v>131</v>
      </c>
    </row>
    <row r="101" spans="1:19">
      <c r="A101" s="141" t="str">
        <f>Formulario!B109</f>
        <v/>
      </c>
      <c r="B101" s="144" t="str">
        <f>IF(G101="."," ",Formulario!D$5)</f>
        <v xml:space="preserve"> </v>
      </c>
      <c r="C101" s="144" t="str">
        <f>IF(G101=".","",Formulario!D$6)</f>
        <v/>
      </c>
      <c r="D101" s="144" t="str">
        <f>IF(H101=".","",Formulario!D$7)</f>
        <v/>
      </c>
      <c r="E101" s="144" t="str">
        <f>IF(G101=".","",Formulario!J$5)</f>
        <v/>
      </c>
      <c r="F101" s="145" t="str">
        <f>IF(G101=".","",Formulario!J$6)</f>
        <v/>
      </c>
      <c r="G101" s="180" t="str">
        <f>IF(Formulario!C109&lt;&gt;"",IF(Formulario!C109=" ","Falta Depto",IF(H101=".","Error En Descripción",Formulario!C109)),IF(H101=".",".","Falta Datos"))</f>
        <v>.</v>
      </c>
      <c r="H101" s="144" t="str">
        <f>IF(Formulario!D109&lt;&gt;"",IF(Formulario!D109=" ",".",Formulario!D109),".")</f>
        <v>.</v>
      </c>
      <c r="I101" s="144" t="str">
        <f>IF(Formulario!E109&lt;&gt;"",IF(Formulario!E109=" "," ",Formulario!E109),IF(G101=".",".","Falta Propietario"))</f>
        <v>.</v>
      </c>
      <c r="J101" s="144" t="str">
        <f>IF(Formulario!F109&lt;&gt;"",IF(Formulario!F109=" "," ",Formulario!F109)," ")</f>
        <v xml:space="preserve"> </v>
      </c>
      <c r="K101" s="144" t="str">
        <f>IF(Formulario!G109&lt;&gt;"",IF(Formulario!G109=" "," ",Formulario!G109)," ")</f>
        <v xml:space="preserve"> </v>
      </c>
      <c r="L101" s="144" t="str">
        <f>IF(Formulario!H109&lt;&gt;"",IF(Formulario!H109=" "," ",Formulario!H109)," ")</f>
        <v xml:space="preserve"> </v>
      </c>
      <c r="M101" s="144" t="str">
        <f>IF(Formulario!I109&lt;&gt;"",IF(Formulario!I109=" "," ",Formulario!I109)," ")</f>
        <v xml:space="preserve"> </v>
      </c>
      <c r="N101" s="145" t="str">
        <f>IF(Formulario!J109&lt;&gt;"",IF(Formulario!J109=" "," ",Formulario!J109),IF(G101=".",".","Falta Fecha"))</f>
        <v>.</v>
      </c>
      <c r="O101" s="155">
        <f>Formulario!L109</f>
        <v>0</v>
      </c>
      <c r="P101" s="146">
        <f>IF(O101=1,"09:00",Formulario!M109)</f>
        <v>0</v>
      </c>
      <c r="Q101" s="146">
        <f>IF(O101=1,"18:30",Formulario!N109)</f>
        <v>0</v>
      </c>
      <c r="R101" s="146" t="str">
        <f>IF(Formulario!O109&lt;&gt;"",IF(Formulario!O109=" ",".",Formulario!O109),".")</f>
        <v>Post Venta</v>
      </c>
      <c r="S101" s="141" t="s">
        <v>131</v>
      </c>
    </row>
    <row r="102" spans="1:19">
      <c r="A102" s="141" t="str">
        <f>Formulario!B110</f>
        <v/>
      </c>
      <c r="B102" s="144" t="str">
        <f>IF(G102="."," ",Formulario!D$5)</f>
        <v xml:space="preserve"> </v>
      </c>
      <c r="C102" s="144" t="str">
        <f>IF(G102=".","",Formulario!D$6)</f>
        <v/>
      </c>
      <c r="D102" s="144" t="str">
        <f>IF(H102=".","",Formulario!D$7)</f>
        <v/>
      </c>
      <c r="E102" s="144" t="str">
        <f>IF(G102=".","",Formulario!J$5)</f>
        <v/>
      </c>
      <c r="F102" s="145" t="str">
        <f>IF(G102=".","",Formulario!J$6)</f>
        <v/>
      </c>
      <c r="G102" s="180" t="str">
        <f>IF(Formulario!C110&lt;&gt;"",IF(Formulario!C110=" ","Falta Depto",IF(H102=".","Error En Descripción",Formulario!C110)),IF(H102=".",".","Falta Datos"))</f>
        <v>.</v>
      </c>
      <c r="H102" s="144" t="str">
        <f>IF(Formulario!D110&lt;&gt;"",IF(Formulario!D110=" ",".",Formulario!D110),".")</f>
        <v>.</v>
      </c>
      <c r="I102" s="144" t="str">
        <f>IF(Formulario!E110&lt;&gt;"",IF(Formulario!E110=" "," ",Formulario!E110),IF(G102=".",".","Falta Propietario"))</f>
        <v>.</v>
      </c>
      <c r="J102" s="144" t="str">
        <f>IF(Formulario!F110&lt;&gt;"",IF(Formulario!F110=" "," ",Formulario!F110)," ")</f>
        <v xml:space="preserve"> </v>
      </c>
      <c r="K102" s="144" t="str">
        <f>IF(Formulario!G110&lt;&gt;"",IF(Formulario!G110=" "," ",Formulario!G110)," ")</f>
        <v xml:space="preserve"> </v>
      </c>
      <c r="L102" s="144" t="str">
        <f>IF(Formulario!H110&lt;&gt;"",IF(Formulario!H110=" "," ",Formulario!H110)," ")</f>
        <v xml:space="preserve"> </v>
      </c>
      <c r="M102" s="144" t="str">
        <f>IF(Formulario!I110&lt;&gt;"",IF(Formulario!I110=" "," ",Formulario!I110)," ")</f>
        <v xml:space="preserve"> </v>
      </c>
      <c r="N102" s="145" t="str">
        <f>IF(Formulario!J110&lt;&gt;"",IF(Formulario!J110=" "," ",Formulario!J110),IF(G102=".",".","Falta Fecha"))</f>
        <v>.</v>
      </c>
      <c r="O102" s="155">
        <f>Formulario!L110</f>
        <v>1</v>
      </c>
      <c r="P102" s="146" t="str">
        <f>IF(O102=1,"09:00",Formulario!M110)</f>
        <v>09:00</v>
      </c>
      <c r="Q102" s="146" t="str">
        <f>IF(O102=1,"18:30",Formulario!N110)</f>
        <v>18:30</v>
      </c>
      <c r="R102" s="146" t="str">
        <f>IF(Formulario!O110&lt;&gt;"",IF(Formulario!O110=" ",".",Formulario!O110),".")</f>
        <v>Post Venta</v>
      </c>
      <c r="S102" s="141" t="s">
        <v>131</v>
      </c>
    </row>
    <row r="103" spans="1:19">
      <c r="A103" s="141">
        <f>Formulario!B111</f>
        <v>0</v>
      </c>
      <c r="B103" s="144" t="str">
        <f>IF(G103="."," ",Formulario!D$5)</f>
        <v xml:space="preserve"> </v>
      </c>
      <c r="C103" s="144" t="str">
        <f>IF(G103=".","",Formulario!D$6)</f>
        <v/>
      </c>
      <c r="D103" s="144" t="str">
        <f>IF(H103=".","",Formulario!D$7)</f>
        <v/>
      </c>
      <c r="E103" s="144" t="str">
        <f>IF(G103=".","",Formulario!J$5)</f>
        <v/>
      </c>
      <c r="F103" s="145" t="str">
        <f>IF(G103=".","",Formulario!J$6)</f>
        <v/>
      </c>
      <c r="G103" s="180" t="str">
        <f>IF(Formulario!C111&lt;&gt;"",IF(Formulario!C111=" ","Falta Depto",IF(H103=".","Error En Descripción",Formulario!C111)),IF(H103=".",".","Falta Datos"))</f>
        <v>.</v>
      </c>
      <c r="H103" s="144" t="str">
        <f>IF(Formulario!D111&lt;&gt;"",IF(Formulario!D111=" ",".",Formulario!D111),".")</f>
        <v>.</v>
      </c>
      <c r="I103" s="144" t="str">
        <f>IF(Formulario!E111&lt;&gt;"",IF(Formulario!E111=" "," ",Formulario!E111),IF(G103=".",".","Falta Propietario"))</f>
        <v>.</v>
      </c>
      <c r="J103" s="144" t="str">
        <f>IF(Formulario!F111&lt;&gt;"",IF(Formulario!F111=" "," ",Formulario!F111)," ")</f>
        <v xml:space="preserve"> </v>
      </c>
      <c r="K103" s="144" t="str">
        <f>IF(Formulario!G111&lt;&gt;"",IF(Formulario!G111=" "," ",Formulario!G111)," ")</f>
        <v xml:space="preserve"> </v>
      </c>
      <c r="L103" s="144" t="str">
        <f>IF(Formulario!H111&lt;&gt;"",IF(Formulario!H111=" "," ",Formulario!H111)," ")</f>
        <v xml:space="preserve"> </v>
      </c>
      <c r="M103" s="144" t="str">
        <f>IF(Formulario!I111&lt;&gt;"",IF(Formulario!I111=" "," ",Formulario!I111)," ")</f>
        <v xml:space="preserve"> </v>
      </c>
      <c r="N103" s="145" t="str">
        <f>IF(Formulario!J111&lt;&gt;"",IF(Formulario!J111=" "," ",Formulario!J111),IF(G103=".",".","Falta Fecha"))</f>
        <v>.</v>
      </c>
      <c r="O103" s="155">
        <f>Formulario!L111</f>
        <v>0</v>
      </c>
      <c r="P103" s="146">
        <f>IF(O103=1,"09:00",Formulario!M111)</f>
        <v>0</v>
      </c>
      <c r="Q103" s="146">
        <f>IF(O103=1,"18:30",Formulario!N111)</f>
        <v>0</v>
      </c>
      <c r="R103" s="146" t="str">
        <f>IF(Formulario!O111&lt;&gt;"",IF(Formulario!O111=" ",".",Formulario!O111),".")</f>
        <v>Post Venta</v>
      </c>
      <c r="S103" s="141" t="s">
        <v>131</v>
      </c>
    </row>
    <row r="104" spans="1:19">
      <c r="A104" s="141">
        <f>Formulario!B112</f>
        <v>0</v>
      </c>
      <c r="B104" s="144" t="str">
        <f>IF(G104="."," ",Formulario!D$5)</f>
        <v xml:space="preserve"> </v>
      </c>
      <c r="C104" s="144" t="str">
        <f>IF(G104=".","",Formulario!D$6)</f>
        <v/>
      </c>
      <c r="D104" s="144" t="str">
        <f>IF(H104=".","",Formulario!D$7)</f>
        <v/>
      </c>
      <c r="E104" s="144" t="str">
        <f>IF(G104=".","",Formulario!J$5)</f>
        <v/>
      </c>
      <c r="F104" s="145" t="str">
        <f>IF(G104=".","",Formulario!J$6)</f>
        <v/>
      </c>
      <c r="G104" s="180" t="str">
        <f>IF(Formulario!C112&lt;&gt;"",IF(Formulario!C112=" ","Falta Depto",IF(H104=".","Error En Descripción",Formulario!C112)),IF(H104=".",".","Falta Datos"))</f>
        <v>.</v>
      </c>
      <c r="H104" s="144" t="str">
        <f>IF(Formulario!D112&lt;&gt;"",IF(Formulario!D112=" ",".",Formulario!D112),".")</f>
        <v>.</v>
      </c>
      <c r="I104" s="144" t="str">
        <f>IF(Formulario!E112&lt;&gt;"",IF(Formulario!E112=" "," ",Formulario!E112),IF(G104=".",".","Falta Propietario"))</f>
        <v>.</v>
      </c>
      <c r="J104" s="144" t="str">
        <f>IF(Formulario!F112&lt;&gt;"",IF(Formulario!F112=" "," ",Formulario!F112)," ")</f>
        <v xml:space="preserve"> </v>
      </c>
      <c r="K104" s="144" t="str">
        <f>IF(Formulario!G112&lt;&gt;"",IF(Formulario!G112=" "," ",Formulario!G112)," ")</f>
        <v xml:space="preserve"> </v>
      </c>
      <c r="L104" s="144" t="str">
        <f>IF(Formulario!H112&lt;&gt;"",IF(Formulario!H112=" "," ",Formulario!H112)," ")</f>
        <v xml:space="preserve"> </v>
      </c>
      <c r="M104" s="144" t="str">
        <f>IF(Formulario!I112&lt;&gt;"",IF(Formulario!I112=" "," ",Formulario!I112)," ")</f>
        <v xml:space="preserve"> </v>
      </c>
      <c r="N104" s="145" t="str">
        <f>IF(Formulario!J112&lt;&gt;"",IF(Formulario!J112=" "," ",Formulario!J112),IF(G104=".",".","Falta Fecha"))</f>
        <v>.</v>
      </c>
      <c r="O104" s="155">
        <f>Formulario!L112</f>
        <v>0</v>
      </c>
      <c r="P104" s="146">
        <f>IF(O104=1,"09:00",Formulario!M112)</f>
        <v>0</v>
      </c>
      <c r="Q104" s="146">
        <f>IF(O104=1,"18:30",Formulario!N112)</f>
        <v>0</v>
      </c>
      <c r="R104" s="146" t="str">
        <f>IF(Formulario!O112&lt;&gt;"",IF(Formulario!O112=" ",".",Formulario!O112),".")</f>
        <v>Post Venta</v>
      </c>
      <c r="S104" s="141" t="s">
        <v>131</v>
      </c>
    </row>
    <row r="105" spans="1:19">
      <c r="A105" s="141">
        <f>Formulario!B113</f>
        <v>0</v>
      </c>
      <c r="B105" s="144" t="str">
        <f>IF(G105="."," ",Formulario!D$5)</f>
        <v xml:space="preserve"> </v>
      </c>
      <c r="C105" s="144" t="str">
        <f>IF(G105=".","",Formulario!D$6)</f>
        <v/>
      </c>
      <c r="D105" s="144" t="str">
        <f>IF(H105=".","",Formulario!D$7)</f>
        <v/>
      </c>
      <c r="E105" s="144" t="str">
        <f>IF(G105=".","",Formulario!J$5)</f>
        <v/>
      </c>
      <c r="F105" s="145" t="str">
        <f>IF(G105=".","",Formulario!J$6)</f>
        <v/>
      </c>
      <c r="G105" s="180" t="str">
        <f>IF(Formulario!C113&lt;&gt;"",IF(Formulario!C113=" ","Falta Depto",IF(H105=".","Error En Descripción",Formulario!C113)),IF(H105=".",".","Falta Datos"))</f>
        <v>.</v>
      </c>
      <c r="H105" s="144" t="str">
        <f>IF(Formulario!D113&lt;&gt;"",IF(Formulario!D113=" ",".",Formulario!D113),".")</f>
        <v>.</v>
      </c>
      <c r="I105" s="144" t="str">
        <f>IF(Formulario!E113&lt;&gt;"",IF(Formulario!E113=" "," ",Formulario!E113),IF(G105=".",".","Falta Propietario"))</f>
        <v>.</v>
      </c>
      <c r="J105" s="144" t="str">
        <f>IF(Formulario!F113&lt;&gt;"",IF(Formulario!F113=" "," ",Formulario!F113)," ")</f>
        <v xml:space="preserve"> </v>
      </c>
      <c r="K105" s="144" t="str">
        <f>IF(Formulario!G113&lt;&gt;"",IF(Formulario!G113=" "," ",Formulario!G113)," ")</f>
        <v xml:space="preserve"> </v>
      </c>
      <c r="L105" s="144" t="str">
        <f>IF(Formulario!H113&lt;&gt;"",IF(Formulario!H113=" "," ",Formulario!H113)," ")</f>
        <v xml:space="preserve"> </v>
      </c>
      <c r="M105" s="144" t="str">
        <f>IF(Formulario!I113&lt;&gt;"",IF(Formulario!I113=" "," ",Formulario!I113)," ")</f>
        <v xml:space="preserve"> </v>
      </c>
      <c r="N105" s="145" t="str">
        <f>IF(Formulario!J113&lt;&gt;"",IF(Formulario!J113=" "," ",Formulario!J113),IF(G105=".",".","Falta Fecha"))</f>
        <v>.</v>
      </c>
      <c r="O105" s="155">
        <f>Formulario!L113</f>
        <v>0</v>
      </c>
      <c r="P105" s="146">
        <f>IF(O105=1,"09:00",Formulario!M113)</f>
        <v>0</v>
      </c>
      <c r="Q105" s="146">
        <f>IF(O105=1,"18:30",Formulario!N113)</f>
        <v>0</v>
      </c>
      <c r="R105" s="146" t="str">
        <f>IF(Formulario!O113&lt;&gt;"",IF(Formulario!O113=" ",".",Formulario!O113),".")</f>
        <v>Post Venta</v>
      </c>
      <c r="S105" s="141" t="s">
        <v>131</v>
      </c>
    </row>
    <row r="106" spans="1:19">
      <c r="A106" s="141">
        <f>Formulario!B114</f>
        <v>0</v>
      </c>
      <c r="B106" s="144" t="str">
        <f>IF(G106="."," ",Formulario!D$5)</f>
        <v xml:space="preserve"> </v>
      </c>
      <c r="C106" s="144" t="str">
        <f>IF(G106=".","",Formulario!D$6)</f>
        <v/>
      </c>
      <c r="D106" s="144" t="str">
        <f>IF(H106=".","",Formulario!D$7)</f>
        <v/>
      </c>
      <c r="E106" s="144" t="str">
        <f>IF(G106=".","",Formulario!J$5)</f>
        <v/>
      </c>
      <c r="F106" s="145" t="str">
        <f>IF(G106=".","",Formulario!J$6)</f>
        <v/>
      </c>
      <c r="G106" s="180" t="str">
        <f>IF(Formulario!C114&lt;&gt;"",IF(Formulario!C114=" ","Falta Depto",IF(H106=".","Error En Descripción",Formulario!C114)),IF(H106=".",".","Falta Datos"))</f>
        <v>.</v>
      </c>
      <c r="H106" s="144" t="str">
        <f>IF(Formulario!D114&lt;&gt;"",IF(Formulario!D114=" ",".",Formulario!D114),".")</f>
        <v>.</v>
      </c>
      <c r="I106" s="144" t="str">
        <f>IF(Formulario!E114&lt;&gt;"",IF(Formulario!E114=" "," ",Formulario!E114),IF(G106=".",".","Falta Propietario"))</f>
        <v>.</v>
      </c>
      <c r="J106" s="144" t="str">
        <f>IF(Formulario!F114&lt;&gt;"",IF(Formulario!F114=" "," ",Formulario!F114)," ")</f>
        <v xml:space="preserve"> </v>
      </c>
      <c r="K106" s="144" t="str">
        <f>IF(Formulario!G114&lt;&gt;"",IF(Formulario!G114=" "," ",Formulario!G114)," ")</f>
        <v xml:space="preserve"> </v>
      </c>
      <c r="L106" s="144" t="str">
        <f>IF(Formulario!H114&lt;&gt;"",IF(Formulario!H114=" "," ",Formulario!H114)," ")</f>
        <v xml:space="preserve"> </v>
      </c>
      <c r="M106" s="144" t="str">
        <f>IF(Formulario!I114&lt;&gt;"",IF(Formulario!I114=" "," ",Formulario!I114)," ")</f>
        <v xml:space="preserve"> </v>
      </c>
      <c r="N106" s="145" t="str">
        <f>IF(Formulario!J114&lt;&gt;"",IF(Formulario!J114=" "," ",Formulario!J114),IF(G106=".",".","Falta Fecha"))</f>
        <v>.</v>
      </c>
      <c r="O106" s="155">
        <f>Formulario!L114</f>
        <v>0</v>
      </c>
      <c r="P106" s="146">
        <f>IF(O106=1,"09:00",Formulario!M114)</f>
        <v>0</v>
      </c>
      <c r="Q106" s="146">
        <f>IF(O106=1,"18:30",Formulario!N114)</f>
        <v>0</v>
      </c>
      <c r="R106" s="146" t="str">
        <f>IF(Formulario!O114&lt;&gt;"",IF(Formulario!O114=" ",".",Formulario!O114),".")</f>
        <v>Post Venta</v>
      </c>
      <c r="S106" s="141" t="s">
        <v>131</v>
      </c>
    </row>
    <row r="107" spans="1:19">
      <c r="A107" s="141">
        <f>Formulario!B115</f>
        <v>0</v>
      </c>
      <c r="B107" s="144" t="str">
        <f>IF(G107="."," ",Formulario!D$5)</f>
        <v xml:space="preserve"> </v>
      </c>
      <c r="C107" s="144" t="str">
        <f>IF(G107=".","",Formulario!D$6)</f>
        <v/>
      </c>
      <c r="D107" s="144" t="str">
        <f>IF(H107=".","",Formulario!D$7)</f>
        <v/>
      </c>
      <c r="E107" s="144" t="str">
        <f>IF(G107=".","",Formulario!J$5)</f>
        <v/>
      </c>
      <c r="F107" s="145" t="str">
        <f>IF(G107=".","",Formulario!J$6)</f>
        <v/>
      </c>
      <c r="G107" s="180" t="str">
        <f>IF(Formulario!C115&lt;&gt;"",IF(Formulario!C115=" ","Falta Depto",IF(H107=".","Error En Descripción",Formulario!C115)),IF(H107=".",".","Falta Datos"))</f>
        <v>.</v>
      </c>
      <c r="H107" s="144" t="str">
        <f>IF(Formulario!D115&lt;&gt;"",IF(Formulario!D115=" ",".",Formulario!D115),".")</f>
        <v>.</v>
      </c>
      <c r="I107" s="144" t="str">
        <f>IF(Formulario!E115&lt;&gt;"",IF(Formulario!E115=" "," ",Formulario!E115),IF(G107=".",".","Falta Propietario"))</f>
        <v>.</v>
      </c>
      <c r="J107" s="144" t="str">
        <f>IF(Formulario!F115&lt;&gt;"",IF(Formulario!F115=" "," ",Formulario!F115)," ")</f>
        <v xml:space="preserve"> </v>
      </c>
      <c r="K107" s="144" t="str">
        <f>IF(Formulario!G115&lt;&gt;"",IF(Formulario!G115=" "," ",Formulario!G115)," ")</f>
        <v xml:space="preserve"> </v>
      </c>
      <c r="L107" s="144" t="str">
        <f>IF(Formulario!H115&lt;&gt;"",IF(Formulario!H115=" "," ",Formulario!H115)," ")</f>
        <v xml:space="preserve"> </v>
      </c>
      <c r="M107" s="144" t="str">
        <f>IF(Formulario!I115&lt;&gt;"",IF(Formulario!I115=" "," ",Formulario!I115)," ")</f>
        <v xml:space="preserve"> </v>
      </c>
      <c r="N107" s="145" t="str">
        <f>IF(Formulario!J115&lt;&gt;"",IF(Formulario!J115=" "," ",Formulario!J115),IF(G107=".",".","Falta Fecha"))</f>
        <v>.</v>
      </c>
      <c r="O107" s="155">
        <f>Formulario!L115</f>
        <v>0</v>
      </c>
      <c r="P107" s="146">
        <f>IF(O107=1,"09:00",Formulario!M115)</f>
        <v>0</v>
      </c>
      <c r="Q107" s="146">
        <f>IF(O107=1,"18:30",Formulario!N115)</f>
        <v>0</v>
      </c>
      <c r="R107" s="146" t="str">
        <f>IF(Formulario!O115&lt;&gt;"",IF(Formulario!O115=" ",".",Formulario!O115),".")</f>
        <v>Post Venta</v>
      </c>
      <c r="S107" s="141" t="s">
        <v>131</v>
      </c>
    </row>
    <row r="108" spans="1:19">
      <c r="A108" s="141">
        <f>Formulario!B116</f>
        <v>0</v>
      </c>
      <c r="B108" s="144" t="str">
        <f>IF(G108="."," ",Formulario!D$5)</f>
        <v xml:space="preserve"> </v>
      </c>
      <c r="C108" s="144" t="str">
        <f>IF(G108=".","",Formulario!D$6)</f>
        <v/>
      </c>
      <c r="D108" s="144" t="str">
        <f>IF(H108=".","",Formulario!D$7)</f>
        <v/>
      </c>
      <c r="E108" s="144" t="str">
        <f>IF(G108=".","",Formulario!J$5)</f>
        <v/>
      </c>
      <c r="F108" s="145" t="str">
        <f>IF(G108=".","",Formulario!J$6)</f>
        <v/>
      </c>
      <c r="G108" s="180" t="str">
        <f>IF(Formulario!C116&lt;&gt;"",IF(Formulario!C116=" ","Falta Depto",IF(H108=".","Error En Descripción",Formulario!C116)),IF(H108=".",".","Falta Datos"))</f>
        <v>.</v>
      </c>
      <c r="H108" s="144" t="str">
        <f>IF(Formulario!D116&lt;&gt;"",IF(Formulario!D116=" ",".",Formulario!D116),".")</f>
        <v>.</v>
      </c>
      <c r="I108" s="144" t="str">
        <f>IF(Formulario!E116&lt;&gt;"",IF(Formulario!E116=" "," ",Formulario!E116),IF(G108=".",".","Falta Propietario"))</f>
        <v>.</v>
      </c>
      <c r="J108" s="144" t="str">
        <f>IF(Formulario!F116&lt;&gt;"",IF(Formulario!F116=" "," ",Formulario!F116)," ")</f>
        <v xml:space="preserve"> </v>
      </c>
      <c r="K108" s="144" t="str">
        <f>IF(Formulario!G116&lt;&gt;"",IF(Formulario!G116=" "," ",Formulario!G116)," ")</f>
        <v xml:space="preserve"> </v>
      </c>
      <c r="L108" s="144" t="str">
        <f>IF(Formulario!H116&lt;&gt;"",IF(Formulario!H116=" "," ",Formulario!H116)," ")</f>
        <v xml:space="preserve"> </v>
      </c>
      <c r="M108" s="144" t="str">
        <f>IF(Formulario!I116&lt;&gt;"",IF(Formulario!I116=" "," ",Formulario!I116)," ")</f>
        <v xml:space="preserve"> </v>
      </c>
      <c r="N108" s="145" t="str">
        <f>IF(Formulario!J116&lt;&gt;"",IF(Formulario!J116=" "," ",Formulario!J116),IF(G108=".",".","Falta Fecha"))</f>
        <v>.</v>
      </c>
      <c r="O108" s="155">
        <f>Formulario!L116</f>
        <v>0</v>
      </c>
      <c r="P108" s="146">
        <f>IF(O108=1,"09:00",Formulario!M116)</f>
        <v>0</v>
      </c>
      <c r="Q108" s="146">
        <f>IF(O108=1,"18:30",Formulario!N116)</f>
        <v>0</v>
      </c>
      <c r="R108" s="146" t="str">
        <f>IF(Formulario!O116&lt;&gt;"",IF(Formulario!O116=" ",".",Formulario!O116),".")</f>
        <v>Post Venta</v>
      </c>
      <c r="S108" s="141" t="s">
        <v>131</v>
      </c>
    </row>
    <row r="109" spans="1:19">
      <c r="A109" s="141">
        <f>Formulario!B117</f>
        <v>0</v>
      </c>
      <c r="B109" s="144" t="str">
        <f>IF(G109="."," ",Formulario!D$5)</f>
        <v xml:space="preserve"> </v>
      </c>
      <c r="C109" s="144" t="str">
        <f>IF(G109=".","",Formulario!D$6)</f>
        <v/>
      </c>
      <c r="D109" s="144" t="str">
        <f>IF(H109=".","",Formulario!D$7)</f>
        <v/>
      </c>
      <c r="E109" s="144" t="str">
        <f>IF(G109=".","",Formulario!J$5)</f>
        <v/>
      </c>
      <c r="F109" s="145" t="str">
        <f>IF(G109=".","",Formulario!J$6)</f>
        <v/>
      </c>
      <c r="G109" s="180" t="str">
        <f>IF(Formulario!C117&lt;&gt;"",IF(Formulario!C117=" ","Falta Depto",IF(H109=".","Error En Descripción",Formulario!C117)),IF(H109=".",".","Falta Datos"))</f>
        <v>.</v>
      </c>
      <c r="H109" s="144" t="str">
        <f>IF(Formulario!D117&lt;&gt;"",IF(Formulario!D117=" ",".",Formulario!D117),".")</f>
        <v>.</v>
      </c>
      <c r="I109" s="144" t="str">
        <f>IF(Formulario!E117&lt;&gt;"",IF(Formulario!E117=" "," ",Formulario!E117),IF(G109=".",".","Falta Propietario"))</f>
        <v>.</v>
      </c>
      <c r="J109" s="144" t="str">
        <f>IF(Formulario!F117&lt;&gt;"",IF(Formulario!F117=" "," ",Formulario!F117)," ")</f>
        <v xml:space="preserve"> </v>
      </c>
      <c r="K109" s="144" t="str">
        <f>IF(Formulario!G117&lt;&gt;"",IF(Formulario!G117=" "," ",Formulario!G117)," ")</f>
        <v xml:space="preserve"> </v>
      </c>
      <c r="L109" s="144" t="str">
        <f>IF(Formulario!H117&lt;&gt;"",IF(Formulario!H117=" "," ",Formulario!H117)," ")</f>
        <v xml:space="preserve"> </v>
      </c>
      <c r="M109" s="144" t="str">
        <f>IF(Formulario!I117&lt;&gt;"",IF(Formulario!I117=" "," ",Formulario!I117)," ")</f>
        <v xml:space="preserve"> </v>
      </c>
      <c r="N109" s="145" t="str">
        <f>IF(Formulario!J117&lt;&gt;"",IF(Formulario!J117=" "," ",Formulario!J117),IF(G109=".",".","Falta Fecha"))</f>
        <v>.</v>
      </c>
      <c r="O109" s="155">
        <f>Formulario!L117</f>
        <v>0</v>
      </c>
      <c r="P109" s="146">
        <f>IF(O109=1,"09:00",Formulario!M117)</f>
        <v>0</v>
      </c>
      <c r="Q109" s="146">
        <f>IF(O109=1,"18:30",Formulario!N117)</f>
        <v>0</v>
      </c>
      <c r="R109" s="146" t="str">
        <f>IF(Formulario!O117&lt;&gt;"",IF(Formulario!O117=" ",".",Formulario!O117),".")</f>
        <v>Post Venta</v>
      </c>
      <c r="S109" s="141" t="s">
        <v>131</v>
      </c>
    </row>
    <row r="110" spans="1:19">
      <c r="A110" s="141">
        <f>Formulario!B118</f>
        <v>0</v>
      </c>
      <c r="B110" s="144" t="str">
        <f>IF(G110="."," ",Formulario!D$5)</f>
        <v xml:space="preserve"> </v>
      </c>
      <c r="C110" s="144" t="str">
        <f>IF(G110=".","",Formulario!D$6)</f>
        <v/>
      </c>
      <c r="D110" s="144" t="str">
        <f>IF(H110=".","",Formulario!D$7)</f>
        <v/>
      </c>
      <c r="E110" s="144" t="str">
        <f>IF(G110=".","",Formulario!J$5)</f>
        <v/>
      </c>
      <c r="F110" s="145" t="str">
        <f>IF(G110=".","",Formulario!J$6)</f>
        <v/>
      </c>
      <c r="G110" s="180" t="str">
        <f>IF(Formulario!C118&lt;&gt;"",IF(Formulario!C118=" ","Falta Depto",IF(H110=".","Error En Descripción",Formulario!C118)),IF(H110=".",".","Falta Datos"))</f>
        <v>.</v>
      </c>
      <c r="H110" s="144" t="str">
        <f>IF(Formulario!D118&lt;&gt;"",IF(Formulario!D118=" ",".",Formulario!D118),".")</f>
        <v>.</v>
      </c>
      <c r="I110" s="144" t="str">
        <f>IF(Formulario!E118&lt;&gt;"",IF(Formulario!E118=" "," ",Formulario!E118),IF(G110=".",".","Falta Propietario"))</f>
        <v>.</v>
      </c>
      <c r="J110" s="144" t="str">
        <f>IF(Formulario!F118&lt;&gt;"",IF(Formulario!F118=" "," ",Formulario!F118)," ")</f>
        <v xml:space="preserve"> </v>
      </c>
      <c r="K110" s="144" t="str">
        <f>IF(Formulario!G118&lt;&gt;"",IF(Formulario!G118=" "," ",Formulario!G118)," ")</f>
        <v xml:space="preserve"> </v>
      </c>
      <c r="L110" s="144" t="str">
        <f>IF(Formulario!H118&lt;&gt;"",IF(Formulario!H118=" "," ",Formulario!H118)," ")</f>
        <v xml:space="preserve"> </v>
      </c>
      <c r="M110" s="144" t="str">
        <f>IF(Formulario!I118&lt;&gt;"",IF(Formulario!I118=" "," ",Formulario!I118)," ")</f>
        <v xml:space="preserve"> </v>
      </c>
      <c r="N110" s="145" t="str">
        <f>IF(Formulario!J118&lt;&gt;"",IF(Formulario!J118=" "," ",Formulario!J118),IF(G110=".",".","Falta Fecha"))</f>
        <v>.</v>
      </c>
      <c r="O110" s="155">
        <f>Formulario!L118</f>
        <v>0</v>
      </c>
      <c r="P110" s="146">
        <f>IF(O110=1,"09:00",Formulario!M118)</f>
        <v>0</v>
      </c>
      <c r="Q110" s="146">
        <f>IF(O110=1,"18:30",Formulario!N118)</f>
        <v>0</v>
      </c>
      <c r="R110" s="146" t="str">
        <f>IF(Formulario!O118&lt;&gt;"",IF(Formulario!O118=" ",".",Formulario!O118),".")</f>
        <v>Post Venta</v>
      </c>
      <c r="S110" s="141" t="s">
        <v>131</v>
      </c>
    </row>
    <row r="111" spans="1:19">
      <c r="A111" s="141">
        <f>Formulario!B119</f>
        <v>0</v>
      </c>
      <c r="B111" s="144" t="str">
        <f>IF(G111="."," ",Formulario!D$5)</f>
        <v xml:space="preserve"> </v>
      </c>
      <c r="C111" s="144" t="str">
        <f>IF(G111=".","",Formulario!D$6)</f>
        <v/>
      </c>
      <c r="D111" s="144" t="str">
        <f>IF(H111=".","",Formulario!D$7)</f>
        <v/>
      </c>
      <c r="E111" s="144" t="str">
        <f>IF(G111=".","",Formulario!J$5)</f>
        <v/>
      </c>
      <c r="F111" s="145" t="str">
        <f>IF(G111=".","",Formulario!J$6)</f>
        <v/>
      </c>
      <c r="G111" s="180" t="str">
        <f>IF(Formulario!C119&lt;&gt;"",IF(Formulario!C119=" ","Falta Depto",IF(H111=".","Error En Descripción",Formulario!C119)),IF(H111=".",".","Falta Datos"))</f>
        <v>.</v>
      </c>
      <c r="H111" s="144" t="str">
        <f>IF(Formulario!D119&lt;&gt;"",IF(Formulario!D119=" ",".",Formulario!D119),".")</f>
        <v>.</v>
      </c>
      <c r="I111" s="144" t="str">
        <f>IF(Formulario!E119&lt;&gt;"",IF(Formulario!E119=" "," ",Formulario!E119),IF(G111=".",".","Falta Propietario"))</f>
        <v>.</v>
      </c>
      <c r="J111" s="144" t="str">
        <f>IF(Formulario!F119&lt;&gt;"",IF(Formulario!F119=" "," ",Formulario!F119)," ")</f>
        <v xml:space="preserve"> </v>
      </c>
      <c r="K111" s="144" t="str">
        <f>IF(Formulario!G119&lt;&gt;"",IF(Formulario!G119=" "," ",Formulario!G119)," ")</f>
        <v xml:space="preserve"> </v>
      </c>
      <c r="L111" s="144" t="str">
        <f>IF(Formulario!H119&lt;&gt;"",IF(Formulario!H119=" "," ",Formulario!H119)," ")</f>
        <v xml:space="preserve"> </v>
      </c>
      <c r="M111" s="144" t="str">
        <f>IF(Formulario!I119&lt;&gt;"",IF(Formulario!I119=" "," ",Formulario!I119)," ")</f>
        <v xml:space="preserve"> </v>
      </c>
      <c r="N111" s="145" t="str">
        <f>IF(Formulario!J119&lt;&gt;"",IF(Formulario!J119=" "," ",Formulario!J119),IF(G111=".",".","Falta Fecha"))</f>
        <v>.</v>
      </c>
      <c r="O111" s="155">
        <f>Formulario!L119</f>
        <v>0</v>
      </c>
      <c r="P111" s="146">
        <f>IF(O111=1,"09:00",Formulario!M119)</f>
        <v>0</v>
      </c>
      <c r="Q111" s="146">
        <f>IF(O111=1,"18:30",Formulario!N119)</f>
        <v>0</v>
      </c>
      <c r="R111" s="146" t="str">
        <f>IF(Formulario!O119&lt;&gt;"",IF(Formulario!O119=" ",".",Formulario!O119),".")</f>
        <v>Post Venta</v>
      </c>
      <c r="S111" s="141" t="s">
        <v>131</v>
      </c>
    </row>
    <row r="112" spans="1:19">
      <c r="A112" s="141">
        <f>Formulario!B120</f>
        <v>0</v>
      </c>
      <c r="B112" s="144" t="str">
        <f>IF(G112="."," ",Formulario!D$5)</f>
        <v xml:space="preserve"> </v>
      </c>
      <c r="C112" s="144" t="str">
        <f>IF(G112=".","",Formulario!D$6)</f>
        <v/>
      </c>
      <c r="D112" s="144" t="str">
        <f>IF(H112=".","",Formulario!D$7)</f>
        <v/>
      </c>
      <c r="E112" s="144" t="str">
        <f>IF(G112=".","",Formulario!J$5)</f>
        <v/>
      </c>
      <c r="F112" s="145" t="str">
        <f>IF(G112=".","",Formulario!J$6)</f>
        <v/>
      </c>
      <c r="G112" s="180" t="str">
        <f>IF(Formulario!C120&lt;&gt;"",IF(Formulario!C120=" ","Falta Depto",IF(H112=".","Error En Descripción",Formulario!C120)),IF(H112=".",".","Falta Datos"))</f>
        <v>.</v>
      </c>
      <c r="H112" s="144" t="str">
        <f>IF(Formulario!D120&lt;&gt;"",IF(Formulario!D120=" ",".",Formulario!D120),".")</f>
        <v>.</v>
      </c>
      <c r="I112" s="144" t="str">
        <f>IF(Formulario!E120&lt;&gt;"",IF(Formulario!E120=" "," ",Formulario!E120),IF(G112=".",".","Falta Propietario"))</f>
        <v>.</v>
      </c>
      <c r="J112" s="144" t="str">
        <f>IF(Formulario!F120&lt;&gt;"",IF(Formulario!F120=" "," ",Formulario!F120)," ")</f>
        <v xml:space="preserve"> </v>
      </c>
      <c r="K112" s="144" t="str">
        <f>IF(Formulario!G120&lt;&gt;"",IF(Formulario!G120=" "," ",Formulario!G120)," ")</f>
        <v xml:space="preserve"> </v>
      </c>
      <c r="L112" s="144" t="str">
        <f>IF(Formulario!H120&lt;&gt;"",IF(Formulario!H120=" "," ",Formulario!H120)," ")</f>
        <v xml:space="preserve"> </v>
      </c>
      <c r="M112" s="144" t="str">
        <f>IF(Formulario!I120&lt;&gt;"",IF(Formulario!I120=" "," ",Formulario!I120)," ")</f>
        <v xml:space="preserve"> </v>
      </c>
      <c r="N112" s="145" t="str">
        <f>IF(Formulario!J120&lt;&gt;"",IF(Formulario!J120=" "," ",Formulario!J120),IF(G112=".",".","Falta Fecha"))</f>
        <v>.</v>
      </c>
      <c r="O112" s="155">
        <f>Formulario!L120</f>
        <v>0</v>
      </c>
      <c r="P112" s="146">
        <f>IF(O112=1,"09:00",Formulario!M120)</f>
        <v>0</v>
      </c>
      <c r="Q112" s="146">
        <f>IF(O112=1,"18:30",Formulario!N120)</f>
        <v>0</v>
      </c>
      <c r="R112" s="146" t="str">
        <f>IF(Formulario!O120&lt;&gt;"",IF(Formulario!O120=" ",".",Formulario!O120),".")</f>
        <v>Post Venta</v>
      </c>
      <c r="S112" s="141" t="s">
        <v>131</v>
      </c>
    </row>
    <row r="113" spans="1:19">
      <c r="A113" s="141">
        <f>Formulario!B121</f>
        <v>0</v>
      </c>
      <c r="B113" s="144" t="str">
        <f>IF(G113="."," ",Formulario!D$5)</f>
        <v xml:space="preserve"> </v>
      </c>
      <c r="C113" s="144" t="str">
        <f>IF(G113=".","",Formulario!D$6)</f>
        <v/>
      </c>
      <c r="D113" s="144" t="str">
        <f>IF(H113=".","",Formulario!D$7)</f>
        <v/>
      </c>
      <c r="E113" s="144" t="str">
        <f>IF(G113=".","",Formulario!J$5)</f>
        <v/>
      </c>
      <c r="F113" s="145" t="str">
        <f>IF(G113=".","",Formulario!J$6)</f>
        <v/>
      </c>
      <c r="G113" s="180" t="str">
        <f>IF(Formulario!C121&lt;&gt;"",IF(Formulario!C121=" ","Falta Depto",IF(H113=".","Error En Descripción",Formulario!C121)),IF(H113=".",".","Falta Datos"))</f>
        <v>.</v>
      </c>
      <c r="H113" s="144" t="str">
        <f>IF(Formulario!D121&lt;&gt;"",IF(Formulario!D121=" ",".",Formulario!D121),".")</f>
        <v>.</v>
      </c>
      <c r="I113" s="144" t="str">
        <f>IF(Formulario!E121&lt;&gt;"",IF(Formulario!E121=" "," ",Formulario!E121),IF(G113=".",".","Falta Propietario"))</f>
        <v>.</v>
      </c>
      <c r="J113" s="144" t="str">
        <f>IF(Formulario!F121&lt;&gt;"",IF(Formulario!F121=" "," ",Formulario!F121)," ")</f>
        <v xml:space="preserve"> </v>
      </c>
      <c r="K113" s="144" t="str">
        <f>IF(Formulario!G121&lt;&gt;"",IF(Formulario!G121=" "," ",Formulario!G121)," ")</f>
        <v xml:space="preserve"> </v>
      </c>
      <c r="L113" s="144" t="str">
        <f>IF(Formulario!H121&lt;&gt;"",IF(Formulario!H121=" "," ",Formulario!H121)," ")</f>
        <v xml:space="preserve"> </v>
      </c>
      <c r="M113" s="144" t="str">
        <f>IF(Formulario!I121&lt;&gt;"",IF(Formulario!I121=" "," ",Formulario!I121)," ")</f>
        <v xml:space="preserve"> </v>
      </c>
      <c r="N113" s="145" t="str">
        <f>IF(Formulario!J121&lt;&gt;"",IF(Formulario!J121=" "," ",Formulario!J121),IF(G113=".",".","Falta Fecha"))</f>
        <v>.</v>
      </c>
      <c r="O113" s="155">
        <f>Formulario!L121</f>
        <v>0</v>
      </c>
      <c r="P113" s="146">
        <f>IF(O113=1,"09:00",Formulario!M121)</f>
        <v>0</v>
      </c>
      <c r="Q113" s="146">
        <f>IF(O113=1,"18:30",Formulario!N121)</f>
        <v>0</v>
      </c>
      <c r="R113" s="146" t="str">
        <f>IF(Formulario!O121&lt;&gt;"",IF(Formulario!O121=" ",".",Formulario!O121),".")</f>
        <v>Post Venta</v>
      </c>
      <c r="S113" s="141" t="s">
        <v>131</v>
      </c>
    </row>
    <row r="114" spans="1:19">
      <c r="A114" s="141">
        <f>Formulario!B122</f>
        <v>0</v>
      </c>
      <c r="B114" s="144" t="str">
        <f>IF(G114="."," ",Formulario!D$5)</f>
        <v xml:space="preserve"> </v>
      </c>
      <c r="C114" s="144" t="str">
        <f>IF(G114=".","",Formulario!D$6)</f>
        <v/>
      </c>
      <c r="D114" s="144" t="str">
        <f>IF(H114=".","",Formulario!D$7)</f>
        <v/>
      </c>
      <c r="E114" s="144" t="str">
        <f>IF(G114=".","",Formulario!J$5)</f>
        <v/>
      </c>
      <c r="F114" s="145" t="str">
        <f>IF(G114=".","",Formulario!J$6)</f>
        <v/>
      </c>
      <c r="G114" s="180" t="str">
        <f>IF(Formulario!C122&lt;&gt;"",IF(Formulario!C122=" ","Falta Depto",IF(H114=".","Error En Descripción",Formulario!C122)),IF(H114=".",".","Falta Datos"))</f>
        <v>.</v>
      </c>
      <c r="H114" s="144" t="str">
        <f>IF(Formulario!D122&lt;&gt;"",IF(Formulario!D122=" ",".",Formulario!D122),".")</f>
        <v>.</v>
      </c>
      <c r="I114" s="144" t="str">
        <f>IF(Formulario!E122&lt;&gt;"",IF(Formulario!E122=" "," ",Formulario!E122),IF(G114=".",".","Falta Propietario"))</f>
        <v>.</v>
      </c>
      <c r="J114" s="144" t="str">
        <f>IF(Formulario!F122&lt;&gt;"",IF(Formulario!F122=" "," ",Formulario!F122)," ")</f>
        <v xml:space="preserve"> </v>
      </c>
      <c r="K114" s="144" t="str">
        <f>IF(Formulario!G122&lt;&gt;"",IF(Formulario!G122=" "," ",Formulario!G122)," ")</f>
        <v xml:space="preserve"> </v>
      </c>
      <c r="L114" s="144" t="str">
        <f>IF(Formulario!H122&lt;&gt;"",IF(Formulario!H122=" "," ",Formulario!H122)," ")</f>
        <v xml:space="preserve"> </v>
      </c>
      <c r="M114" s="144" t="str">
        <f>IF(Formulario!I122&lt;&gt;"",IF(Formulario!I122=" "," ",Formulario!I122)," ")</f>
        <v xml:space="preserve"> </v>
      </c>
      <c r="N114" s="145" t="str">
        <f>IF(Formulario!J122&lt;&gt;"",IF(Formulario!J122=" "," ",Formulario!J122),IF(G114=".",".","Falta Fecha"))</f>
        <v>.</v>
      </c>
      <c r="O114" s="155">
        <f>Formulario!L122</f>
        <v>0</v>
      </c>
      <c r="P114" s="146">
        <f>IF(O114=1,"09:00",Formulario!M122)</f>
        <v>0</v>
      </c>
      <c r="Q114" s="146">
        <f>IF(O114=1,"18:30",Formulario!N122)</f>
        <v>0</v>
      </c>
      <c r="R114" s="146" t="str">
        <f>IF(Formulario!O122&lt;&gt;"",IF(Formulario!O122=" ",".",Formulario!O122),".")</f>
        <v>Post Venta</v>
      </c>
      <c r="S114" s="141" t="s">
        <v>131</v>
      </c>
    </row>
    <row r="115" spans="1:19">
      <c r="A115" s="141">
        <f>Formulario!B123</f>
        <v>0</v>
      </c>
      <c r="B115" s="144" t="str">
        <f>IF(G115="."," ",Formulario!D$5)</f>
        <v xml:space="preserve"> </v>
      </c>
      <c r="C115" s="144" t="str">
        <f>IF(G115=".","",Formulario!D$6)</f>
        <v/>
      </c>
      <c r="D115" s="144" t="str">
        <f>IF(H115=".","",Formulario!D$7)</f>
        <v/>
      </c>
      <c r="E115" s="144" t="str">
        <f>IF(G115=".","",Formulario!J$5)</f>
        <v/>
      </c>
      <c r="F115" s="145" t="str">
        <f>IF(G115=".","",Formulario!J$6)</f>
        <v/>
      </c>
      <c r="G115" s="180" t="str">
        <f>IF(Formulario!C123&lt;&gt;"",IF(Formulario!C123=" ","Falta Depto",IF(H115=".","Error En Descripción",Formulario!C123)),IF(H115=".",".","Falta Datos"))</f>
        <v>.</v>
      </c>
      <c r="H115" s="144" t="str">
        <f>IF(Formulario!D123&lt;&gt;"",IF(Formulario!D123=" ",".",Formulario!D123),".")</f>
        <v>.</v>
      </c>
      <c r="I115" s="144" t="str">
        <f>IF(Formulario!E123&lt;&gt;"",IF(Formulario!E123=" "," ",Formulario!E123),IF(G115=".",".","Falta Propietario"))</f>
        <v>.</v>
      </c>
      <c r="J115" s="144" t="str">
        <f>IF(Formulario!F123&lt;&gt;"",IF(Formulario!F123=" "," ",Formulario!F123)," ")</f>
        <v xml:space="preserve"> </v>
      </c>
      <c r="K115" s="144" t="str">
        <f>IF(Formulario!G123&lt;&gt;"",IF(Formulario!G123=" "," ",Formulario!G123)," ")</f>
        <v xml:space="preserve"> </v>
      </c>
      <c r="L115" s="144" t="str">
        <f>IF(Formulario!H123&lt;&gt;"",IF(Formulario!H123=" "," ",Formulario!H123)," ")</f>
        <v xml:space="preserve"> </v>
      </c>
      <c r="M115" s="144" t="str">
        <f>IF(Formulario!I123&lt;&gt;"",IF(Formulario!I123=" "," ",Formulario!I123)," ")</f>
        <v xml:space="preserve"> </v>
      </c>
      <c r="N115" s="145" t="str">
        <f>IF(Formulario!J123&lt;&gt;"",IF(Formulario!J123=" "," ",Formulario!J123),IF(G115=".",".","Falta Fecha"))</f>
        <v>.</v>
      </c>
      <c r="O115" s="155">
        <f>Formulario!L123</f>
        <v>0</v>
      </c>
      <c r="P115" s="146">
        <f>IF(O115=1,"09:00",Formulario!M123)</f>
        <v>0</v>
      </c>
      <c r="Q115" s="146">
        <f>IF(O115=1,"18:30",Formulario!N123)</f>
        <v>0</v>
      </c>
      <c r="R115" s="146" t="str">
        <f>IF(Formulario!O123&lt;&gt;"",IF(Formulario!O123=" ",".",Formulario!O123),".")</f>
        <v>Post Venta</v>
      </c>
      <c r="S115" s="141" t="s">
        <v>131</v>
      </c>
    </row>
    <row r="116" spans="1:19">
      <c r="A116" s="141">
        <f>Formulario!B124</f>
        <v>0</v>
      </c>
      <c r="B116" s="144" t="str">
        <f>IF(G116="."," ",Formulario!D$5)</f>
        <v xml:space="preserve"> </v>
      </c>
      <c r="C116" s="144" t="str">
        <f>IF(G116=".","",Formulario!D$6)</f>
        <v/>
      </c>
      <c r="D116" s="144" t="str">
        <f>IF(H116=".","",Formulario!D$7)</f>
        <v/>
      </c>
      <c r="E116" s="144" t="str">
        <f>IF(G116=".","",Formulario!J$5)</f>
        <v/>
      </c>
      <c r="F116" s="145" t="str">
        <f>IF(G116=".","",Formulario!J$6)</f>
        <v/>
      </c>
      <c r="G116" s="180" t="str">
        <f>IF(Formulario!C124&lt;&gt;"",IF(Formulario!C124=" ","Falta Depto",IF(H116=".","Error En Descripción",Formulario!C124)),IF(H116=".",".","Falta Datos"))</f>
        <v>.</v>
      </c>
      <c r="H116" s="144" t="str">
        <f>IF(Formulario!D124&lt;&gt;"",IF(Formulario!D124=" ",".",Formulario!D124),".")</f>
        <v>.</v>
      </c>
      <c r="I116" s="144" t="str">
        <f>IF(Formulario!E124&lt;&gt;"",IF(Formulario!E124=" "," ",Formulario!E124),IF(G116=".",".","Falta Propietario"))</f>
        <v>.</v>
      </c>
      <c r="J116" s="144" t="str">
        <f>IF(Formulario!F124&lt;&gt;"",IF(Formulario!F124=" "," ",Formulario!F124)," ")</f>
        <v xml:space="preserve"> </v>
      </c>
      <c r="K116" s="144" t="str">
        <f>IF(Formulario!G124&lt;&gt;"",IF(Formulario!G124=" "," ",Formulario!G124)," ")</f>
        <v xml:space="preserve"> </v>
      </c>
      <c r="L116" s="144" t="str">
        <f>IF(Formulario!H124&lt;&gt;"",IF(Formulario!H124=" "," ",Formulario!H124)," ")</f>
        <v xml:space="preserve"> </v>
      </c>
      <c r="M116" s="144" t="str">
        <f>IF(Formulario!I124&lt;&gt;"",IF(Formulario!I124=" "," ",Formulario!I124)," ")</f>
        <v xml:space="preserve"> </v>
      </c>
      <c r="N116" s="145" t="str">
        <f>IF(Formulario!J124&lt;&gt;"",IF(Formulario!J124=" "," ",Formulario!J124),IF(G116=".",".","Falta Fecha"))</f>
        <v>.</v>
      </c>
      <c r="O116" s="155">
        <f>Formulario!L124</f>
        <v>0</v>
      </c>
      <c r="P116" s="146">
        <f>IF(O116=1,"09:00",Formulario!M124)</f>
        <v>0</v>
      </c>
      <c r="Q116" s="146">
        <f>IF(O116=1,"18:30",Formulario!N124)</f>
        <v>0</v>
      </c>
      <c r="R116" s="146" t="str">
        <f>IF(Formulario!O124&lt;&gt;"",IF(Formulario!O124=" ",".",Formulario!O124),".")</f>
        <v>Post Venta</v>
      </c>
      <c r="S116" s="141" t="s">
        <v>131</v>
      </c>
    </row>
    <row r="117" spans="1:19">
      <c r="A117" s="141">
        <f>Formulario!B125</f>
        <v>0</v>
      </c>
      <c r="B117" s="144" t="str">
        <f>IF(G117="."," ",Formulario!D$5)</f>
        <v xml:space="preserve"> </v>
      </c>
      <c r="C117" s="144" t="str">
        <f>IF(G117=".","",Formulario!D$6)</f>
        <v/>
      </c>
      <c r="D117" s="144" t="str">
        <f>IF(H117=".","",Formulario!D$7)</f>
        <v/>
      </c>
      <c r="E117" s="144" t="str">
        <f>IF(G117=".","",Formulario!J$5)</f>
        <v/>
      </c>
      <c r="F117" s="145" t="str">
        <f>IF(G117=".","",Formulario!J$6)</f>
        <v/>
      </c>
      <c r="G117" s="180" t="str">
        <f>IF(Formulario!C125&lt;&gt;"",IF(Formulario!C125=" ","Falta Depto",IF(H117=".","Error En Descripción",Formulario!C125)),IF(H117=".",".","Falta Datos"))</f>
        <v>.</v>
      </c>
      <c r="H117" s="144" t="str">
        <f>IF(Formulario!D125&lt;&gt;"",IF(Formulario!D125=" ",".",Formulario!D125),".")</f>
        <v>.</v>
      </c>
      <c r="I117" s="144" t="str">
        <f>IF(Formulario!E125&lt;&gt;"",IF(Formulario!E125=" "," ",Formulario!E125),IF(G117=".",".","Falta Propietario"))</f>
        <v>.</v>
      </c>
      <c r="J117" s="144" t="str">
        <f>IF(Formulario!F125&lt;&gt;"",IF(Formulario!F125=" "," ",Formulario!F125)," ")</f>
        <v xml:space="preserve"> </v>
      </c>
      <c r="K117" s="144" t="str">
        <f>IF(Formulario!G125&lt;&gt;"",IF(Formulario!G125=" "," ",Formulario!G125)," ")</f>
        <v xml:space="preserve"> </v>
      </c>
      <c r="L117" s="144" t="str">
        <f>IF(Formulario!H125&lt;&gt;"",IF(Formulario!H125=" "," ",Formulario!H125)," ")</f>
        <v xml:space="preserve"> </v>
      </c>
      <c r="M117" s="144" t="str">
        <f>IF(Formulario!I125&lt;&gt;"",IF(Formulario!I125=" "," ",Formulario!I125)," ")</f>
        <v xml:space="preserve"> </v>
      </c>
      <c r="N117" s="145" t="str">
        <f>IF(Formulario!J125&lt;&gt;"",IF(Formulario!J125=" "," ",Formulario!J125),IF(G117=".",".","Falta Fecha"))</f>
        <v>.</v>
      </c>
      <c r="O117" s="155">
        <f>Formulario!L125</f>
        <v>0</v>
      </c>
      <c r="P117" s="146">
        <f>IF(O117=1,"09:00",Formulario!M125)</f>
        <v>0</v>
      </c>
      <c r="Q117" s="146">
        <f>IF(O117=1,"18:30",Formulario!N125)</f>
        <v>0</v>
      </c>
      <c r="R117" s="146" t="str">
        <f>IF(Formulario!O125&lt;&gt;"",IF(Formulario!O125=" ",".",Formulario!O125),".")</f>
        <v>Post Venta</v>
      </c>
      <c r="S117" s="141" t="s">
        <v>131</v>
      </c>
    </row>
    <row r="118" spans="1:19">
      <c r="A118" s="141">
        <f>Formulario!B126</f>
        <v>0</v>
      </c>
      <c r="B118" s="144" t="str">
        <f>IF(G118="."," ",Formulario!D$5)</f>
        <v xml:space="preserve"> </v>
      </c>
      <c r="C118" s="144" t="str">
        <f>IF(G118=".","",Formulario!D$6)</f>
        <v/>
      </c>
      <c r="D118" s="144" t="str">
        <f>IF(H118=".","",Formulario!D$7)</f>
        <v/>
      </c>
      <c r="E118" s="144" t="str">
        <f>IF(G118=".","",Formulario!J$5)</f>
        <v/>
      </c>
      <c r="F118" s="145" t="str">
        <f>IF(G118=".","",Formulario!J$6)</f>
        <v/>
      </c>
      <c r="G118" s="180" t="str">
        <f>IF(Formulario!C126&lt;&gt;"",IF(Formulario!C126=" ","Falta Depto",IF(H118=".","Error En Descripción",Formulario!C126)),IF(H118=".",".","Falta Datos"))</f>
        <v>.</v>
      </c>
      <c r="H118" s="144" t="str">
        <f>IF(Formulario!D126&lt;&gt;"",IF(Formulario!D126=" ",".",Formulario!D126),".")</f>
        <v>.</v>
      </c>
      <c r="I118" s="144" t="str">
        <f>IF(Formulario!E126&lt;&gt;"",IF(Formulario!E126=" "," ",Formulario!E126),IF(G118=".",".","Falta Propietario"))</f>
        <v>.</v>
      </c>
      <c r="J118" s="144" t="str">
        <f>IF(Formulario!F126&lt;&gt;"",IF(Formulario!F126=" "," ",Formulario!F126)," ")</f>
        <v xml:space="preserve"> </v>
      </c>
      <c r="K118" s="144" t="str">
        <f>IF(Formulario!G126&lt;&gt;"",IF(Formulario!G126=" "," ",Formulario!G126)," ")</f>
        <v xml:space="preserve"> </v>
      </c>
      <c r="L118" s="144" t="str">
        <f>IF(Formulario!H126&lt;&gt;"",IF(Formulario!H126=" "," ",Formulario!H126)," ")</f>
        <v xml:space="preserve"> </v>
      </c>
      <c r="M118" s="144" t="str">
        <f>IF(Formulario!I126&lt;&gt;"",IF(Formulario!I126=" "," ",Formulario!I126)," ")</f>
        <v xml:space="preserve"> </v>
      </c>
      <c r="N118" s="145" t="str">
        <f>IF(Formulario!J126&lt;&gt;"",IF(Formulario!J126=" "," ",Formulario!J126),IF(G118=".",".","Falta Fecha"))</f>
        <v>.</v>
      </c>
      <c r="O118" s="155">
        <f>Formulario!L126</f>
        <v>0</v>
      </c>
      <c r="P118" s="146">
        <f>IF(O118=1,"09:00",Formulario!M126)</f>
        <v>0</v>
      </c>
      <c r="Q118" s="146">
        <f>IF(O118=1,"18:30",Formulario!N126)</f>
        <v>0</v>
      </c>
      <c r="R118" s="146" t="str">
        <f>IF(Formulario!O126&lt;&gt;"",IF(Formulario!O126=" ",".",Formulario!O126),".")</f>
        <v>Post Venta</v>
      </c>
      <c r="S118" s="141" t="s">
        <v>131</v>
      </c>
    </row>
    <row r="119" spans="1:19">
      <c r="A119" s="141">
        <f>Formulario!B127</f>
        <v>0</v>
      </c>
      <c r="B119" s="144" t="str">
        <f>IF(G119="."," ",Formulario!D$5)</f>
        <v xml:space="preserve"> </v>
      </c>
      <c r="C119" s="144" t="str">
        <f>IF(G119=".","",Formulario!D$6)</f>
        <v/>
      </c>
      <c r="D119" s="144" t="str">
        <f>IF(H119=".","",Formulario!D$7)</f>
        <v/>
      </c>
      <c r="E119" s="144" t="str">
        <f>IF(G119=".","",Formulario!J$5)</f>
        <v/>
      </c>
      <c r="F119" s="145" t="str">
        <f>IF(G119=".","",Formulario!J$6)</f>
        <v/>
      </c>
      <c r="G119" s="180" t="str">
        <f>IF(Formulario!C127&lt;&gt;"",IF(Formulario!C127=" ","Falta Depto",IF(H119=".","Error En Descripción",Formulario!C127)),IF(H119=".",".","Falta Datos"))</f>
        <v>.</v>
      </c>
      <c r="H119" s="144" t="str">
        <f>IF(Formulario!D127&lt;&gt;"",IF(Formulario!D127=" ",".",Formulario!D127),".")</f>
        <v>.</v>
      </c>
      <c r="I119" s="144" t="str">
        <f>IF(Formulario!E127&lt;&gt;"",IF(Formulario!E127=" "," ",Formulario!E127),IF(G119=".",".","Falta Propietario"))</f>
        <v>.</v>
      </c>
      <c r="J119" s="144" t="str">
        <f>IF(Formulario!F127&lt;&gt;"",IF(Formulario!F127=" "," ",Formulario!F127)," ")</f>
        <v xml:space="preserve"> </v>
      </c>
      <c r="K119" s="144" t="str">
        <f>IF(Formulario!G127&lt;&gt;"",IF(Formulario!G127=" "," ",Formulario!G127)," ")</f>
        <v xml:space="preserve"> </v>
      </c>
      <c r="L119" s="144" t="str">
        <f>IF(Formulario!H127&lt;&gt;"",IF(Formulario!H127=" "," ",Formulario!H127)," ")</f>
        <v xml:space="preserve"> </v>
      </c>
      <c r="M119" s="144" t="str">
        <f>IF(Formulario!I127&lt;&gt;"",IF(Formulario!I127=" "," ",Formulario!I127)," ")</f>
        <v xml:space="preserve"> </v>
      </c>
      <c r="N119" s="145" t="str">
        <f>IF(Formulario!J127&lt;&gt;"",IF(Formulario!J127=" "," ",Formulario!J127),IF(G119=".",".","Falta Fecha"))</f>
        <v>.</v>
      </c>
      <c r="O119" s="155">
        <f>Formulario!L127</f>
        <v>0</v>
      </c>
      <c r="P119" s="146">
        <f>IF(O119=1,"09:00",Formulario!M127)</f>
        <v>0</v>
      </c>
      <c r="Q119" s="146">
        <f>IF(O119=1,"18:30",Formulario!N127)</f>
        <v>0</v>
      </c>
      <c r="R119" s="146" t="str">
        <f>IF(Formulario!O127&lt;&gt;"",IF(Formulario!O127=" ",".",Formulario!O127),".")</f>
        <v>Post Venta</v>
      </c>
      <c r="S119" s="141" t="s">
        <v>131</v>
      </c>
    </row>
    <row r="120" spans="1:19">
      <c r="A120" s="141">
        <f>Formulario!B128</f>
        <v>0</v>
      </c>
      <c r="B120" s="144" t="str">
        <f>IF(G120="."," ",Formulario!D$5)</f>
        <v xml:space="preserve"> </v>
      </c>
      <c r="C120" s="144" t="str">
        <f>IF(G120=".","",Formulario!D$6)</f>
        <v/>
      </c>
      <c r="D120" s="144" t="str">
        <f>IF(H120=".","",Formulario!D$7)</f>
        <v/>
      </c>
      <c r="E120" s="144" t="str">
        <f>IF(G120=".","",Formulario!J$5)</f>
        <v/>
      </c>
      <c r="F120" s="145" t="str">
        <f>IF(G120=".","",Formulario!J$6)</f>
        <v/>
      </c>
      <c r="G120" s="180" t="str">
        <f>IF(Formulario!C128&lt;&gt;"",IF(Formulario!C128=" ","Falta Depto",IF(H120=".","Error En Descripción",Formulario!C128)),IF(H120=".",".","Falta Datos"))</f>
        <v>.</v>
      </c>
      <c r="H120" s="144" t="str">
        <f>IF(Formulario!D128&lt;&gt;"",IF(Formulario!D128=" ",".",Formulario!D128),".")</f>
        <v>.</v>
      </c>
      <c r="I120" s="144" t="str">
        <f>IF(Formulario!E128&lt;&gt;"",IF(Formulario!E128=" "," ",Formulario!E128),IF(G120=".",".","Falta Propietario"))</f>
        <v>.</v>
      </c>
      <c r="J120" s="144" t="str">
        <f>IF(Formulario!F128&lt;&gt;"",IF(Formulario!F128=" "," ",Formulario!F128)," ")</f>
        <v xml:space="preserve"> </v>
      </c>
      <c r="K120" s="144" t="str">
        <f>IF(Formulario!G128&lt;&gt;"",IF(Formulario!G128=" "," ",Formulario!G128)," ")</f>
        <v xml:space="preserve"> </v>
      </c>
      <c r="L120" s="144" t="str">
        <f>IF(Formulario!H128&lt;&gt;"",IF(Formulario!H128=" "," ",Formulario!H128)," ")</f>
        <v xml:space="preserve"> </v>
      </c>
      <c r="M120" s="144" t="str">
        <f>IF(Formulario!I128&lt;&gt;"",IF(Formulario!I128=" "," ",Formulario!I128)," ")</f>
        <v xml:space="preserve"> </v>
      </c>
      <c r="N120" s="145" t="str">
        <f>IF(Formulario!J128&lt;&gt;"",IF(Formulario!J128=" "," ",Formulario!J128),IF(G120=".",".","Falta Fecha"))</f>
        <v>.</v>
      </c>
      <c r="O120" s="155">
        <f>Formulario!L128</f>
        <v>0</v>
      </c>
      <c r="P120" s="146">
        <f>IF(O120=1,"09:00",Formulario!M128)</f>
        <v>0</v>
      </c>
      <c r="Q120" s="146">
        <f>IF(O120=1,"18:30",Formulario!N128)</f>
        <v>0</v>
      </c>
      <c r="R120" s="146" t="str">
        <f>IF(Formulario!O128&lt;&gt;"",IF(Formulario!O128=" ",".",Formulario!O128),".")</f>
        <v>Post Venta</v>
      </c>
      <c r="S120" s="141" t="s">
        <v>131</v>
      </c>
    </row>
    <row r="121" spans="1:19">
      <c r="A121" s="141">
        <f>Formulario!B129</f>
        <v>0</v>
      </c>
      <c r="B121" s="144" t="str">
        <f>IF(G121="."," ",Formulario!D$5)</f>
        <v xml:space="preserve"> </v>
      </c>
      <c r="C121" s="144" t="str">
        <f>IF(G121=".","",Formulario!D$6)</f>
        <v/>
      </c>
      <c r="D121" s="144" t="str">
        <f>IF(H121=".","",Formulario!D$7)</f>
        <v/>
      </c>
      <c r="E121" s="144" t="str">
        <f>IF(G121=".","",Formulario!J$5)</f>
        <v/>
      </c>
      <c r="F121" s="145" t="str">
        <f>IF(G121=".","",Formulario!J$6)</f>
        <v/>
      </c>
      <c r="G121" s="180" t="str">
        <f>IF(Formulario!C129&lt;&gt;"",IF(Formulario!C129=" ","Falta Depto",IF(H121=".","Error En Descripción",Formulario!C129)),IF(H121=".",".","Falta Datos"))</f>
        <v>.</v>
      </c>
      <c r="H121" s="144" t="str">
        <f>IF(Formulario!D129&lt;&gt;"",IF(Formulario!D129=" ",".",Formulario!D129),".")</f>
        <v>.</v>
      </c>
      <c r="I121" s="144" t="str">
        <f>IF(Formulario!E129&lt;&gt;"",IF(Formulario!E129=" "," ",Formulario!E129),IF(G121=".",".","Falta Propietario"))</f>
        <v>.</v>
      </c>
      <c r="J121" s="144" t="str">
        <f>IF(Formulario!F129&lt;&gt;"",IF(Formulario!F129=" "," ",Formulario!F129)," ")</f>
        <v xml:space="preserve"> </v>
      </c>
      <c r="K121" s="144" t="str">
        <f>IF(Formulario!G129&lt;&gt;"",IF(Formulario!G129=" "," ",Formulario!G129)," ")</f>
        <v xml:space="preserve"> </v>
      </c>
      <c r="L121" s="144" t="str">
        <f>IF(Formulario!H129&lt;&gt;"",IF(Formulario!H129=" "," ",Formulario!H129)," ")</f>
        <v xml:space="preserve"> </v>
      </c>
      <c r="M121" s="144" t="str">
        <f>IF(Formulario!I129&lt;&gt;"",IF(Formulario!I129=" "," ",Formulario!I129)," ")</f>
        <v xml:space="preserve"> </v>
      </c>
      <c r="N121" s="145" t="str">
        <f>IF(Formulario!J129&lt;&gt;"",IF(Formulario!J129=" "," ",Formulario!J129),IF(G121=".",".","Falta Fecha"))</f>
        <v>.</v>
      </c>
      <c r="O121" s="155">
        <f>Formulario!L129</f>
        <v>0</v>
      </c>
      <c r="P121" s="146">
        <f>IF(O121=1,"09:00",Formulario!M129)</f>
        <v>0</v>
      </c>
      <c r="Q121" s="146">
        <f>IF(O121=1,"18:30",Formulario!N129)</f>
        <v>0</v>
      </c>
      <c r="R121" s="146" t="str">
        <f>IF(Formulario!O129&lt;&gt;"",IF(Formulario!O129=" ",".",Formulario!O129),".")</f>
        <v>Post Venta</v>
      </c>
      <c r="S121" s="141" t="s">
        <v>131</v>
      </c>
    </row>
    <row r="122" spans="1:19">
      <c r="A122" s="141">
        <f>Formulario!B130</f>
        <v>0</v>
      </c>
      <c r="B122" s="144" t="str">
        <f>IF(G122="."," ",Formulario!D$5)</f>
        <v xml:space="preserve"> </v>
      </c>
      <c r="C122" s="144" t="str">
        <f>IF(G122=".","",Formulario!D$6)</f>
        <v/>
      </c>
      <c r="D122" s="144" t="str">
        <f>IF(H122=".","",Formulario!D$7)</f>
        <v/>
      </c>
      <c r="E122" s="144" t="str">
        <f>IF(G122=".","",Formulario!J$5)</f>
        <v/>
      </c>
      <c r="F122" s="145" t="str">
        <f>IF(G122=".","",Formulario!J$6)</f>
        <v/>
      </c>
      <c r="G122" s="180" t="str">
        <f>IF(Formulario!C130&lt;&gt;"",IF(Formulario!C130=" ","Falta Depto",IF(H122=".","Error En Descripción",Formulario!C130)),IF(H122=".",".","Falta Datos"))</f>
        <v>.</v>
      </c>
      <c r="H122" s="144" t="str">
        <f>IF(Formulario!D130&lt;&gt;"",IF(Formulario!D130=" ",".",Formulario!D130),".")</f>
        <v>.</v>
      </c>
      <c r="I122" s="144" t="str">
        <f>IF(Formulario!E130&lt;&gt;"",IF(Formulario!E130=" "," ",Formulario!E130),IF(G122=".",".","Falta Propietario"))</f>
        <v>.</v>
      </c>
      <c r="J122" s="144" t="str">
        <f>IF(Formulario!F130&lt;&gt;"",IF(Formulario!F130=" "," ",Formulario!F130)," ")</f>
        <v xml:space="preserve"> </v>
      </c>
      <c r="K122" s="144" t="str">
        <f>IF(Formulario!G130&lt;&gt;"",IF(Formulario!G130=" "," ",Formulario!G130)," ")</f>
        <v xml:space="preserve"> </v>
      </c>
      <c r="L122" s="144" t="str">
        <f>IF(Formulario!H130&lt;&gt;"",IF(Formulario!H130=" "," ",Formulario!H130)," ")</f>
        <v xml:space="preserve"> </v>
      </c>
      <c r="M122" s="144" t="str">
        <f>IF(Formulario!I130&lt;&gt;"",IF(Formulario!I130=" "," ",Formulario!I130)," ")</f>
        <v xml:space="preserve"> </v>
      </c>
      <c r="N122" s="145" t="str">
        <f>IF(Formulario!J130&lt;&gt;"",IF(Formulario!J130=" "," ",Formulario!J130),IF(G122=".",".","Falta Fecha"))</f>
        <v>.</v>
      </c>
      <c r="O122" s="155">
        <f>Formulario!L130</f>
        <v>0</v>
      </c>
      <c r="P122" s="146">
        <f>IF(O122=1,"09:00",Formulario!M130)</f>
        <v>0</v>
      </c>
      <c r="Q122" s="146">
        <f>IF(O122=1,"18:30",Formulario!N130)</f>
        <v>0</v>
      </c>
      <c r="R122" s="146" t="str">
        <f>IF(Formulario!O130&lt;&gt;"",IF(Formulario!O130=" ",".",Formulario!O130),".")</f>
        <v>Post Venta</v>
      </c>
      <c r="S122" s="141" t="s">
        <v>131</v>
      </c>
    </row>
    <row r="123" spans="1:19">
      <c r="A123" s="141">
        <f>Formulario!B131</f>
        <v>0</v>
      </c>
      <c r="B123" s="144" t="str">
        <f>IF(G123="."," ",Formulario!D$5)</f>
        <v xml:space="preserve"> </v>
      </c>
      <c r="C123" s="144" t="str">
        <f>IF(G123=".","",Formulario!D$6)</f>
        <v/>
      </c>
      <c r="D123" s="144" t="str">
        <f>IF(H123=".","",Formulario!D$7)</f>
        <v/>
      </c>
      <c r="E123" s="144" t="str">
        <f>IF(G123=".","",Formulario!J$5)</f>
        <v/>
      </c>
      <c r="F123" s="145" t="str">
        <f>IF(G123=".","",Formulario!J$6)</f>
        <v/>
      </c>
      <c r="G123" s="180" t="str">
        <f>IF(Formulario!C131&lt;&gt;"",IF(Formulario!C131=" ","Falta Depto",IF(H123=".","Error En Descripción",Formulario!C131)),IF(H123=".",".","Falta Datos"))</f>
        <v>.</v>
      </c>
      <c r="H123" s="144" t="str">
        <f>IF(Formulario!D131&lt;&gt;"",IF(Formulario!D131=" ",".",Formulario!D131),".")</f>
        <v>.</v>
      </c>
      <c r="I123" s="144" t="str">
        <f>IF(Formulario!E131&lt;&gt;"",IF(Formulario!E131=" "," ",Formulario!E131),IF(G123=".",".","Falta Propietario"))</f>
        <v>.</v>
      </c>
      <c r="J123" s="144" t="str">
        <f>IF(Formulario!F131&lt;&gt;"",IF(Formulario!F131=" "," ",Formulario!F131)," ")</f>
        <v xml:space="preserve"> </v>
      </c>
      <c r="K123" s="144" t="str">
        <f>IF(Formulario!G131&lt;&gt;"",IF(Formulario!G131=" "," ",Formulario!G131)," ")</f>
        <v xml:space="preserve"> </v>
      </c>
      <c r="L123" s="144" t="str">
        <f>IF(Formulario!H131&lt;&gt;"",IF(Formulario!H131=" "," ",Formulario!H131)," ")</f>
        <v xml:space="preserve"> </v>
      </c>
      <c r="M123" s="144" t="str">
        <f>IF(Formulario!I131&lt;&gt;"",IF(Formulario!I131=" "," ",Formulario!I131)," ")</f>
        <v xml:space="preserve"> </v>
      </c>
      <c r="N123" s="145" t="str">
        <f>IF(Formulario!J131&lt;&gt;"",IF(Formulario!J131=" "," ",Formulario!J131),IF(G123=".",".","Falta Fecha"))</f>
        <v>.</v>
      </c>
      <c r="O123" s="155">
        <f>Formulario!L131</f>
        <v>0</v>
      </c>
      <c r="P123" s="146">
        <f>IF(O123=1,"09:00",Formulario!M131)</f>
        <v>0</v>
      </c>
      <c r="Q123" s="146">
        <f>IF(O123=1,"18:30",Formulario!N131)</f>
        <v>0</v>
      </c>
      <c r="R123" s="146" t="str">
        <f>IF(Formulario!O131&lt;&gt;"",IF(Formulario!O131=" ",".",Formulario!O131),".")</f>
        <v>Post Venta</v>
      </c>
      <c r="S123" s="141" t="s">
        <v>131</v>
      </c>
    </row>
    <row r="124" spans="1:19">
      <c r="A124" s="141">
        <f>Formulario!B132</f>
        <v>0</v>
      </c>
      <c r="B124" s="144" t="str">
        <f>IF(G124="."," ",Formulario!D$5)</f>
        <v xml:space="preserve"> </v>
      </c>
      <c r="C124" s="144" t="str">
        <f>IF(G124=".","",Formulario!D$6)</f>
        <v/>
      </c>
      <c r="D124" s="144" t="str">
        <f>IF(H124=".","",Formulario!D$7)</f>
        <v/>
      </c>
      <c r="E124" s="144" t="str">
        <f>IF(G124=".","",Formulario!J$5)</f>
        <v/>
      </c>
      <c r="F124" s="145" t="str">
        <f>IF(G124=".","",Formulario!J$6)</f>
        <v/>
      </c>
      <c r="G124" s="180" t="str">
        <f>IF(Formulario!C132&lt;&gt;"",IF(Formulario!C132=" ","Falta Depto",IF(H124=".","Error En Descripción",Formulario!C132)),IF(H124=".",".","Falta Datos"))</f>
        <v>.</v>
      </c>
      <c r="H124" s="144" t="str">
        <f>IF(Formulario!D132&lt;&gt;"",IF(Formulario!D132=" ",".",Formulario!D132),".")</f>
        <v>.</v>
      </c>
      <c r="I124" s="144" t="str">
        <f>IF(Formulario!E132&lt;&gt;"",IF(Formulario!E132=" "," ",Formulario!E132),IF(G124=".",".","Falta Propietario"))</f>
        <v>.</v>
      </c>
      <c r="J124" s="144" t="str">
        <f>IF(Formulario!F132&lt;&gt;"",IF(Formulario!F132=" "," ",Formulario!F132)," ")</f>
        <v xml:space="preserve"> </v>
      </c>
      <c r="K124" s="144" t="str">
        <f>IF(Formulario!G132&lt;&gt;"",IF(Formulario!G132=" "," ",Formulario!G132)," ")</f>
        <v xml:space="preserve"> </v>
      </c>
      <c r="L124" s="144" t="str">
        <f>IF(Formulario!H132&lt;&gt;"",IF(Formulario!H132=" "," ",Formulario!H132)," ")</f>
        <v xml:space="preserve"> </v>
      </c>
      <c r="M124" s="144" t="str">
        <f>IF(Formulario!I132&lt;&gt;"",IF(Formulario!I132=" "," ",Formulario!I132)," ")</f>
        <v xml:space="preserve"> </v>
      </c>
      <c r="N124" s="145" t="str">
        <f>IF(Formulario!J132&lt;&gt;"",IF(Formulario!J132=" "," ",Formulario!J132),IF(G124=".",".","Falta Fecha"))</f>
        <v>.</v>
      </c>
      <c r="O124" s="155">
        <f>Formulario!L132</f>
        <v>0</v>
      </c>
      <c r="P124" s="146">
        <f>IF(O124=1,"09:00",Formulario!M132)</f>
        <v>0</v>
      </c>
      <c r="Q124" s="146">
        <f>IF(O124=1,"18:30",Formulario!N132)</f>
        <v>0</v>
      </c>
      <c r="R124" s="146" t="str">
        <f>IF(Formulario!O132&lt;&gt;"",IF(Formulario!O132=" ",".",Formulario!O132),".")</f>
        <v>Post Venta</v>
      </c>
      <c r="S124" s="141" t="s">
        <v>131</v>
      </c>
    </row>
    <row r="125" spans="1:19">
      <c r="A125" s="141">
        <f>Formulario!B133</f>
        <v>0</v>
      </c>
      <c r="B125" s="144" t="str">
        <f>IF(G125="."," ",Formulario!D$5)</f>
        <v xml:space="preserve"> </v>
      </c>
      <c r="C125" s="144" t="str">
        <f>IF(G125=".","",Formulario!D$6)</f>
        <v/>
      </c>
      <c r="D125" s="144" t="str">
        <f>IF(H125=".","",Formulario!D$7)</f>
        <v/>
      </c>
      <c r="E125" s="144" t="str">
        <f>IF(G125=".","",Formulario!J$5)</f>
        <v/>
      </c>
      <c r="F125" s="145" t="str">
        <f>IF(G125=".","",Formulario!J$6)</f>
        <v/>
      </c>
      <c r="G125" s="180" t="str">
        <f>IF(Formulario!C133&lt;&gt;"",IF(Formulario!C133=" ","Falta Depto",IF(H125=".","Error En Descripción",Formulario!C133)),IF(H125=".",".","Falta Datos"))</f>
        <v>.</v>
      </c>
      <c r="H125" s="144" t="str">
        <f>IF(Formulario!D133&lt;&gt;"",IF(Formulario!D133=" ",".",Formulario!D133),".")</f>
        <v>.</v>
      </c>
      <c r="I125" s="144" t="str">
        <f>IF(Formulario!E133&lt;&gt;"",IF(Formulario!E133=" "," ",Formulario!E133),IF(G125=".",".","Falta Propietario"))</f>
        <v>.</v>
      </c>
      <c r="J125" s="144" t="str">
        <f>IF(Formulario!F133&lt;&gt;"",IF(Formulario!F133=" "," ",Formulario!F133)," ")</f>
        <v xml:space="preserve"> </v>
      </c>
      <c r="K125" s="144" t="str">
        <f>IF(Formulario!G133&lt;&gt;"",IF(Formulario!G133=" "," ",Formulario!G133)," ")</f>
        <v xml:space="preserve"> </v>
      </c>
      <c r="L125" s="144" t="str">
        <f>IF(Formulario!H133&lt;&gt;"",IF(Formulario!H133=" "," ",Formulario!H133)," ")</f>
        <v xml:space="preserve"> </v>
      </c>
      <c r="M125" s="144" t="str">
        <f>IF(Formulario!I133&lt;&gt;"",IF(Formulario!I133=" "," ",Formulario!I133)," ")</f>
        <v xml:space="preserve"> </v>
      </c>
      <c r="N125" s="145" t="str">
        <f>IF(Formulario!J133&lt;&gt;"",IF(Formulario!J133=" "," ",Formulario!J133),IF(G125=".",".","Falta Fecha"))</f>
        <v>.</v>
      </c>
      <c r="O125" s="155">
        <f>Formulario!L133</f>
        <v>0</v>
      </c>
      <c r="P125" s="146">
        <f>IF(O125=1,"09:00",Formulario!M133)</f>
        <v>0</v>
      </c>
      <c r="Q125" s="146">
        <f>IF(O125=1,"18:30",Formulario!N133)</f>
        <v>0</v>
      </c>
      <c r="R125" s="146" t="str">
        <f>IF(Formulario!O133&lt;&gt;"",IF(Formulario!O133=" ",".",Formulario!O133),".")</f>
        <v>Post Venta</v>
      </c>
      <c r="S125" s="141" t="s">
        <v>131</v>
      </c>
    </row>
    <row r="126" spans="1:19">
      <c r="A126" s="141">
        <f>Formulario!B134</f>
        <v>0</v>
      </c>
      <c r="B126" s="144" t="str">
        <f>IF(G126="."," ",Formulario!D$5)</f>
        <v xml:space="preserve"> </v>
      </c>
      <c r="C126" s="144" t="str">
        <f>IF(G126=".","",Formulario!D$6)</f>
        <v/>
      </c>
      <c r="D126" s="144" t="str">
        <f>IF(H126=".","",Formulario!D$7)</f>
        <v/>
      </c>
      <c r="E126" s="144" t="str">
        <f>IF(G126=".","",Formulario!J$5)</f>
        <v/>
      </c>
      <c r="F126" s="145" t="str">
        <f>IF(G126=".","",Formulario!J$6)</f>
        <v/>
      </c>
      <c r="G126" s="180" t="str">
        <f>IF(Formulario!C134&lt;&gt;"",IF(Formulario!C134=" ","Falta Depto",IF(H126=".","Error En Descripción",Formulario!C134)),IF(H126=".",".","Falta Datos"))</f>
        <v>.</v>
      </c>
      <c r="H126" s="144" t="str">
        <f>IF(Formulario!D134&lt;&gt;"",IF(Formulario!D134=" ",".",Formulario!D134),".")</f>
        <v>.</v>
      </c>
      <c r="I126" s="144" t="str">
        <f>IF(Formulario!E134&lt;&gt;"",IF(Formulario!E134=" "," ",Formulario!E134),IF(G126=".",".","Falta Propietario"))</f>
        <v>.</v>
      </c>
      <c r="J126" s="144" t="str">
        <f>IF(Formulario!F134&lt;&gt;"",IF(Formulario!F134=" "," ",Formulario!F134)," ")</f>
        <v xml:space="preserve"> </v>
      </c>
      <c r="K126" s="144" t="str">
        <f>IF(Formulario!G134&lt;&gt;"",IF(Formulario!G134=" "," ",Formulario!G134)," ")</f>
        <v xml:space="preserve"> </v>
      </c>
      <c r="L126" s="144" t="str">
        <f>IF(Formulario!H134&lt;&gt;"",IF(Formulario!H134=" "," ",Formulario!H134)," ")</f>
        <v xml:space="preserve"> </v>
      </c>
      <c r="M126" s="144" t="str">
        <f>IF(Formulario!I134&lt;&gt;"",IF(Formulario!I134=" "," ",Formulario!I134)," ")</f>
        <v xml:space="preserve"> </v>
      </c>
      <c r="N126" s="145" t="str">
        <f>IF(Formulario!J134&lt;&gt;"",IF(Formulario!J134=" "," ",Formulario!J134),IF(G126=".",".","Falta Fecha"))</f>
        <v>.</v>
      </c>
      <c r="O126" s="155">
        <f>Formulario!L134</f>
        <v>0</v>
      </c>
      <c r="P126" s="146">
        <f>IF(O126=1,"09:00",Formulario!M134)</f>
        <v>0</v>
      </c>
      <c r="Q126" s="146">
        <f>IF(O126=1,"18:30",Formulario!N134)</f>
        <v>0</v>
      </c>
      <c r="R126" s="146" t="str">
        <f>IF(Formulario!O134&lt;&gt;"",IF(Formulario!O134=" ",".",Formulario!O134),".")</f>
        <v>Post Venta</v>
      </c>
      <c r="S126" s="141" t="s">
        <v>131</v>
      </c>
    </row>
    <row r="127" spans="1:19">
      <c r="A127" s="141">
        <f>Formulario!B135</f>
        <v>0</v>
      </c>
      <c r="B127" s="144" t="str">
        <f>IF(G127="."," ",Formulario!D$5)</f>
        <v xml:space="preserve"> </v>
      </c>
      <c r="C127" s="144" t="str">
        <f>IF(G127=".","",Formulario!D$6)</f>
        <v/>
      </c>
      <c r="D127" s="144" t="str">
        <f>IF(H127=".","",Formulario!D$7)</f>
        <v/>
      </c>
      <c r="E127" s="144" t="str">
        <f>IF(G127=".","",Formulario!J$5)</f>
        <v/>
      </c>
      <c r="F127" s="145" t="str">
        <f>IF(G127=".","",Formulario!J$6)</f>
        <v/>
      </c>
      <c r="G127" s="180" t="str">
        <f>IF(Formulario!C135&lt;&gt;"",IF(Formulario!C135=" ","Falta Depto",IF(H127=".","Error En Descripción",Formulario!C135)),IF(H127=".",".","Falta Datos"))</f>
        <v>.</v>
      </c>
      <c r="H127" s="144" t="str">
        <f>IF(Formulario!D135&lt;&gt;"",IF(Formulario!D135=" ",".",Formulario!D135),".")</f>
        <v>.</v>
      </c>
      <c r="I127" s="144" t="str">
        <f>IF(Formulario!E135&lt;&gt;"",IF(Formulario!E135=" "," ",Formulario!E135),IF(G127=".",".","Falta Propietario"))</f>
        <v>.</v>
      </c>
      <c r="J127" s="144" t="str">
        <f>IF(Formulario!F135&lt;&gt;"",IF(Formulario!F135=" "," ",Formulario!F135)," ")</f>
        <v xml:space="preserve"> </v>
      </c>
      <c r="K127" s="144" t="str">
        <f>IF(Formulario!G135&lt;&gt;"",IF(Formulario!G135=" "," ",Formulario!G135)," ")</f>
        <v xml:space="preserve"> </v>
      </c>
      <c r="L127" s="144" t="str">
        <f>IF(Formulario!H135&lt;&gt;"",IF(Formulario!H135=" "," ",Formulario!H135)," ")</f>
        <v xml:space="preserve"> </v>
      </c>
      <c r="M127" s="144" t="str">
        <f>IF(Formulario!I135&lt;&gt;"",IF(Formulario!I135=" "," ",Formulario!I135)," ")</f>
        <v xml:space="preserve"> </v>
      </c>
      <c r="N127" s="145" t="str">
        <f>IF(Formulario!J135&lt;&gt;"",IF(Formulario!J135=" "," ",Formulario!J135),IF(G127=".",".","Falta Fecha"))</f>
        <v>.</v>
      </c>
      <c r="O127" s="155">
        <f>Formulario!L135</f>
        <v>0</v>
      </c>
      <c r="P127" s="146">
        <f>IF(O127=1,"09:00",Formulario!M135)</f>
        <v>0</v>
      </c>
      <c r="Q127" s="146">
        <f>IF(O127=1,"18:30",Formulario!N135)</f>
        <v>0</v>
      </c>
      <c r="R127" s="146" t="str">
        <f>IF(Formulario!O135&lt;&gt;"",IF(Formulario!O135=" ",".",Formulario!O135),".")</f>
        <v>Post Venta</v>
      </c>
      <c r="S127" s="141" t="s">
        <v>131</v>
      </c>
    </row>
    <row r="128" spans="1:19">
      <c r="A128" s="141">
        <f>Formulario!B136</f>
        <v>0</v>
      </c>
      <c r="B128" s="144" t="str">
        <f>IF(G128="."," ",Formulario!D$5)</f>
        <v xml:space="preserve"> </v>
      </c>
      <c r="C128" s="144" t="str">
        <f>IF(G128=".","",Formulario!D$6)</f>
        <v/>
      </c>
      <c r="D128" s="144" t="str">
        <f>IF(H128=".","",Formulario!D$7)</f>
        <v/>
      </c>
      <c r="E128" s="144" t="str">
        <f>IF(G128=".","",Formulario!J$5)</f>
        <v/>
      </c>
      <c r="F128" s="145" t="str">
        <f>IF(G128=".","",Formulario!J$6)</f>
        <v/>
      </c>
      <c r="G128" s="180" t="str">
        <f>IF(Formulario!C136&lt;&gt;"",IF(Formulario!C136=" ","Falta Depto",IF(H128=".","Error En Descripción",Formulario!C136)),IF(H128=".",".","Falta Datos"))</f>
        <v>.</v>
      </c>
      <c r="H128" s="144" t="str">
        <f>IF(Formulario!D136&lt;&gt;"",IF(Formulario!D136=" ",".",Formulario!D136),".")</f>
        <v>.</v>
      </c>
      <c r="I128" s="144" t="str">
        <f>IF(Formulario!E136&lt;&gt;"",IF(Formulario!E136=" "," ",Formulario!E136),IF(G128=".",".","Falta Propietario"))</f>
        <v>.</v>
      </c>
      <c r="J128" s="144" t="str">
        <f>IF(Formulario!F136&lt;&gt;"",IF(Formulario!F136=" "," ",Formulario!F136)," ")</f>
        <v xml:space="preserve"> </v>
      </c>
      <c r="K128" s="144" t="str">
        <f>IF(Formulario!G136&lt;&gt;"",IF(Formulario!G136=" "," ",Formulario!G136)," ")</f>
        <v xml:space="preserve"> </v>
      </c>
      <c r="L128" s="144" t="str">
        <f>IF(Formulario!H136&lt;&gt;"",IF(Formulario!H136=" "," ",Formulario!H136)," ")</f>
        <v xml:space="preserve"> </v>
      </c>
      <c r="M128" s="144" t="str">
        <f>IF(Formulario!I136&lt;&gt;"",IF(Formulario!I136=" "," ",Formulario!I136)," ")</f>
        <v xml:space="preserve"> </v>
      </c>
      <c r="N128" s="145" t="str">
        <f>IF(Formulario!J136&lt;&gt;"",IF(Formulario!J136=" "," ",Formulario!J136),IF(G128=".",".","Falta Fecha"))</f>
        <v>.</v>
      </c>
      <c r="O128" s="155">
        <f>Formulario!L136</f>
        <v>0</v>
      </c>
      <c r="P128" s="146">
        <f>IF(O128=1,"09:00",Formulario!M136)</f>
        <v>0</v>
      </c>
      <c r="Q128" s="146">
        <f>IF(O128=1,"18:30",Formulario!N136)</f>
        <v>0</v>
      </c>
      <c r="R128" s="146" t="str">
        <f>IF(Formulario!O136&lt;&gt;"",IF(Formulario!O136=" ",".",Formulario!O136),".")</f>
        <v>Post Venta</v>
      </c>
      <c r="S128" s="141" t="s">
        <v>131</v>
      </c>
    </row>
    <row r="129" spans="1:19">
      <c r="A129" s="141">
        <f>Formulario!B137</f>
        <v>0</v>
      </c>
      <c r="B129" s="144" t="str">
        <f>IF(G129="."," ",Formulario!D$5)</f>
        <v xml:space="preserve"> </v>
      </c>
      <c r="C129" s="144" t="str">
        <f>IF(G129=".","",Formulario!D$6)</f>
        <v/>
      </c>
      <c r="D129" s="144" t="str">
        <f>IF(H129=".","",Formulario!D$7)</f>
        <v/>
      </c>
      <c r="E129" s="144" t="str">
        <f>IF(G129=".","",Formulario!J$5)</f>
        <v/>
      </c>
      <c r="F129" s="145" t="str">
        <f>IF(G129=".","",Formulario!J$6)</f>
        <v/>
      </c>
      <c r="G129" s="180" t="str">
        <f>IF(Formulario!C137&lt;&gt;"",IF(Formulario!C137=" ","Falta Depto",IF(H129=".","Error En Descripción",Formulario!C137)),IF(H129=".",".","Falta Datos"))</f>
        <v>.</v>
      </c>
      <c r="H129" s="144" t="str">
        <f>IF(Formulario!D137&lt;&gt;"",IF(Formulario!D137=" ",".",Formulario!D137),".")</f>
        <v>.</v>
      </c>
      <c r="I129" s="144" t="str">
        <f>IF(Formulario!E137&lt;&gt;"",IF(Formulario!E137=" "," ",Formulario!E137),IF(G129=".",".","Falta Propietario"))</f>
        <v>.</v>
      </c>
      <c r="J129" s="144" t="str">
        <f>IF(Formulario!F137&lt;&gt;"",IF(Formulario!F137=" "," ",Formulario!F137)," ")</f>
        <v xml:space="preserve"> </v>
      </c>
      <c r="K129" s="144" t="str">
        <f>IF(Formulario!G137&lt;&gt;"",IF(Formulario!G137=" "," ",Formulario!G137)," ")</f>
        <v xml:space="preserve"> </v>
      </c>
      <c r="L129" s="144" t="str">
        <f>IF(Formulario!H137&lt;&gt;"",IF(Formulario!H137=" "," ",Formulario!H137)," ")</f>
        <v xml:space="preserve"> </v>
      </c>
      <c r="M129" s="144" t="str">
        <f>IF(Formulario!I137&lt;&gt;"",IF(Formulario!I137=" "," ",Formulario!I137)," ")</f>
        <v xml:space="preserve"> </v>
      </c>
      <c r="N129" s="145" t="str">
        <f>IF(Formulario!J137&lt;&gt;"",IF(Formulario!J137=" "," ",Formulario!J137),IF(G129=".",".","Falta Fecha"))</f>
        <v>.</v>
      </c>
      <c r="O129" s="155">
        <f>Formulario!L137</f>
        <v>0</v>
      </c>
      <c r="P129" s="146">
        <f>IF(O129=1,"09:00",Formulario!M137)</f>
        <v>0</v>
      </c>
      <c r="Q129" s="146">
        <f>IF(O129=1,"18:30",Formulario!N137)</f>
        <v>0</v>
      </c>
      <c r="R129" s="146" t="str">
        <f>IF(Formulario!O137&lt;&gt;"",IF(Formulario!O137=" ",".",Formulario!O137),".")</f>
        <v>Post Venta</v>
      </c>
      <c r="S129" s="141" t="s">
        <v>131</v>
      </c>
    </row>
    <row r="130" spans="1:19">
      <c r="A130" s="141">
        <f>Formulario!B138</f>
        <v>0</v>
      </c>
      <c r="B130" s="144" t="str">
        <f>IF(G130="."," ",Formulario!D$5)</f>
        <v xml:space="preserve"> </v>
      </c>
      <c r="C130" s="144" t="str">
        <f>IF(G130=".","",Formulario!D$6)</f>
        <v/>
      </c>
      <c r="D130" s="144" t="str">
        <f>IF(H130=".","",Formulario!D$7)</f>
        <v/>
      </c>
      <c r="E130" s="144" t="str">
        <f>IF(G130=".","",Formulario!J$5)</f>
        <v/>
      </c>
      <c r="F130" s="145" t="str">
        <f>IF(G130=".","",Formulario!J$6)</f>
        <v/>
      </c>
      <c r="G130" s="180" t="str">
        <f>IF(Formulario!C138&lt;&gt;"",IF(Formulario!C138=" ","Falta Depto",IF(H130=".","Error En Descripción",Formulario!C138)),IF(H130=".",".","Falta Datos"))</f>
        <v>.</v>
      </c>
      <c r="H130" s="144" t="str">
        <f>IF(Formulario!D138&lt;&gt;"",IF(Formulario!D138=" ",".",Formulario!D138),".")</f>
        <v>.</v>
      </c>
      <c r="I130" s="144" t="str">
        <f>IF(Formulario!E138&lt;&gt;"",IF(Formulario!E138=" "," ",Formulario!E138),IF(G130=".",".","Falta Propietario"))</f>
        <v>.</v>
      </c>
      <c r="J130" s="144" t="str">
        <f>IF(Formulario!F138&lt;&gt;"",IF(Formulario!F138=" "," ",Formulario!F138)," ")</f>
        <v xml:space="preserve"> </v>
      </c>
      <c r="K130" s="144" t="str">
        <f>IF(Formulario!G138&lt;&gt;"",IF(Formulario!G138=" "," ",Formulario!G138)," ")</f>
        <v xml:space="preserve"> </v>
      </c>
      <c r="L130" s="144" t="str">
        <f>IF(Formulario!H138&lt;&gt;"",IF(Formulario!H138=" "," ",Formulario!H138)," ")</f>
        <v xml:space="preserve"> </v>
      </c>
      <c r="M130" s="144" t="str">
        <f>IF(Formulario!I138&lt;&gt;"",IF(Formulario!I138=" "," ",Formulario!I138)," ")</f>
        <v xml:space="preserve"> </v>
      </c>
      <c r="N130" s="145" t="str">
        <f>IF(Formulario!J138&lt;&gt;"",IF(Formulario!J138=" "," ",Formulario!J138),IF(G130=".",".","Falta Fecha"))</f>
        <v>.</v>
      </c>
      <c r="O130" s="155">
        <f>Formulario!L138</f>
        <v>0</v>
      </c>
      <c r="P130" s="146">
        <f>IF(O130=1,"09:00",Formulario!M138)</f>
        <v>0</v>
      </c>
      <c r="Q130" s="146">
        <f>IF(O130=1,"18:30",Formulario!N138)</f>
        <v>0</v>
      </c>
      <c r="R130" s="146" t="str">
        <f>IF(Formulario!O138&lt;&gt;"",IF(Formulario!O138=" ",".",Formulario!O138),".")</f>
        <v>Post Venta</v>
      </c>
      <c r="S130" s="141" t="s">
        <v>131</v>
      </c>
    </row>
    <row r="131" spans="1:19">
      <c r="A131" s="141">
        <f>Formulario!B139</f>
        <v>0</v>
      </c>
      <c r="B131" s="144" t="str">
        <f>IF(G131="."," ",Formulario!D$5)</f>
        <v xml:space="preserve"> </v>
      </c>
      <c r="C131" s="144" t="str">
        <f>IF(G131=".","",Formulario!D$6)</f>
        <v/>
      </c>
      <c r="D131" s="144" t="str">
        <f>IF(H131=".","",Formulario!D$7)</f>
        <v/>
      </c>
      <c r="E131" s="144" t="str">
        <f>IF(G131=".","",Formulario!J$5)</f>
        <v/>
      </c>
      <c r="F131" s="145" t="str">
        <f>IF(G131=".","",Formulario!J$6)</f>
        <v/>
      </c>
      <c r="G131" s="180" t="str">
        <f>IF(Formulario!C139&lt;&gt;"",IF(Formulario!C139=" ","Falta Depto",IF(H131=".","Error En Descripción",Formulario!C139)),IF(H131=".",".","Falta Datos"))</f>
        <v>.</v>
      </c>
      <c r="H131" s="144" t="str">
        <f>IF(Formulario!D139&lt;&gt;"",IF(Formulario!D139=" ",".",Formulario!D139),".")</f>
        <v>.</v>
      </c>
      <c r="I131" s="144" t="str">
        <f>IF(Formulario!E139&lt;&gt;"",IF(Formulario!E139=" "," ",Formulario!E139),IF(G131=".",".","Falta Propietario"))</f>
        <v>.</v>
      </c>
      <c r="J131" s="144" t="str">
        <f>IF(Formulario!F139&lt;&gt;"",IF(Formulario!F139=" "," ",Formulario!F139)," ")</f>
        <v xml:space="preserve"> </v>
      </c>
      <c r="K131" s="144" t="str">
        <f>IF(Formulario!G139&lt;&gt;"",IF(Formulario!G139=" "," ",Formulario!G139)," ")</f>
        <v xml:space="preserve"> </v>
      </c>
      <c r="L131" s="144" t="str">
        <f>IF(Formulario!H139&lt;&gt;"",IF(Formulario!H139=" "," ",Formulario!H139)," ")</f>
        <v xml:space="preserve"> </v>
      </c>
      <c r="M131" s="144" t="str">
        <f>IF(Formulario!I139&lt;&gt;"",IF(Formulario!I139=" "," ",Formulario!I139)," ")</f>
        <v xml:space="preserve"> </v>
      </c>
      <c r="N131" s="145" t="str">
        <f>IF(Formulario!J139&lt;&gt;"",IF(Formulario!J139=" "," ",Formulario!J139),IF(G131=".",".","Falta Fecha"))</f>
        <v>.</v>
      </c>
      <c r="O131" s="155">
        <f>Formulario!L139</f>
        <v>0</v>
      </c>
      <c r="P131" s="146">
        <f>IF(O131=1,"09:00",Formulario!M139)</f>
        <v>0</v>
      </c>
      <c r="Q131" s="146">
        <f>IF(O131=1,"18:30",Formulario!N139)</f>
        <v>0</v>
      </c>
      <c r="R131" s="146" t="str">
        <f>IF(Formulario!O139&lt;&gt;"",IF(Formulario!O139=" ",".",Formulario!O139),".")</f>
        <v>Post Venta</v>
      </c>
      <c r="S131" s="141" t="s">
        <v>131</v>
      </c>
    </row>
    <row r="132" spans="1:19">
      <c r="A132" s="141">
        <f>Formulario!B140</f>
        <v>0</v>
      </c>
      <c r="B132" s="144" t="str">
        <f>IF(G132="."," ",Formulario!D$5)</f>
        <v xml:space="preserve"> </v>
      </c>
      <c r="C132" s="144" t="str">
        <f>IF(G132=".","",Formulario!D$6)</f>
        <v/>
      </c>
      <c r="D132" s="144" t="str">
        <f>IF(H132=".","",Formulario!D$7)</f>
        <v/>
      </c>
      <c r="E132" s="144" t="str">
        <f>IF(G132=".","",Formulario!J$5)</f>
        <v/>
      </c>
      <c r="F132" s="145" t="str">
        <f>IF(G132=".","",Formulario!J$6)</f>
        <v/>
      </c>
      <c r="G132" s="180" t="str">
        <f>IF(Formulario!C140&lt;&gt;"",IF(Formulario!C140=" ","Falta Depto",IF(H132=".","Error En Descripción",Formulario!C140)),IF(H132=".",".","Falta Datos"))</f>
        <v>.</v>
      </c>
      <c r="H132" s="144" t="str">
        <f>IF(Formulario!D140&lt;&gt;"",IF(Formulario!D140=" ",".",Formulario!D140),".")</f>
        <v>.</v>
      </c>
      <c r="I132" s="144" t="str">
        <f>IF(Formulario!E140&lt;&gt;"",IF(Formulario!E140=" "," ",Formulario!E140),IF(G132=".",".","Falta Propietario"))</f>
        <v>.</v>
      </c>
      <c r="J132" s="144" t="str">
        <f>IF(Formulario!F140&lt;&gt;"",IF(Formulario!F140=" "," ",Formulario!F140)," ")</f>
        <v xml:space="preserve"> </v>
      </c>
      <c r="K132" s="144" t="str">
        <f>IF(Formulario!G140&lt;&gt;"",IF(Formulario!G140=" "," ",Formulario!G140)," ")</f>
        <v xml:space="preserve"> </v>
      </c>
      <c r="L132" s="144" t="str">
        <f>IF(Formulario!H140&lt;&gt;"",IF(Formulario!H140=" "," ",Formulario!H140)," ")</f>
        <v xml:space="preserve"> </v>
      </c>
      <c r="M132" s="144" t="str">
        <f>IF(Formulario!I140&lt;&gt;"",IF(Formulario!I140=" "," ",Formulario!I140)," ")</f>
        <v xml:space="preserve"> </v>
      </c>
      <c r="N132" s="145" t="str">
        <f>IF(Formulario!J140&lt;&gt;"",IF(Formulario!J140=" "," ",Formulario!J140),IF(G132=".",".","Falta Fecha"))</f>
        <v>.</v>
      </c>
      <c r="O132" s="155">
        <f>Formulario!L140</f>
        <v>0</v>
      </c>
      <c r="P132" s="146">
        <f>IF(O132=1,"09:00",Formulario!M140)</f>
        <v>0</v>
      </c>
      <c r="Q132" s="146">
        <f>IF(O132=1,"18:30",Formulario!N140)</f>
        <v>0</v>
      </c>
      <c r="R132" s="146" t="str">
        <f>IF(Formulario!O140&lt;&gt;"",IF(Formulario!O140=" ",".",Formulario!O140),".")</f>
        <v>Post Venta</v>
      </c>
      <c r="S132" s="141" t="s">
        <v>131</v>
      </c>
    </row>
    <row r="133" spans="1:19">
      <c r="A133" s="141">
        <f>Formulario!B141</f>
        <v>0</v>
      </c>
      <c r="B133" s="144" t="str">
        <f>IF(G133="."," ",Formulario!D$5)</f>
        <v xml:space="preserve"> </v>
      </c>
      <c r="C133" s="144" t="str">
        <f>IF(G133=".","",Formulario!D$6)</f>
        <v/>
      </c>
      <c r="D133" s="144" t="str">
        <f>IF(H133=".","",Formulario!D$7)</f>
        <v/>
      </c>
      <c r="E133" s="144" t="str">
        <f>IF(G133=".","",Formulario!J$5)</f>
        <v/>
      </c>
      <c r="F133" s="145" t="str">
        <f>IF(G133=".","",Formulario!J$6)</f>
        <v/>
      </c>
      <c r="G133" s="180" t="str">
        <f>IF(Formulario!C141&lt;&gt;"",IF(Formulario!C141=" ","Falta Depto",IF(H133=".","Error En Descripción",Formulario!C141)),IF(H133=".",".","Falta Datos"))</f>
        <v>.</v>
      </c>
      <c r="H133" s="144" t="str">
        <f>IF(Formulario!D141&lt;&gt;"",IF(Formulario!D141=" ",".",Formulario!D141),".")</f>
        <v>.</v>
      </c>
      <c r="I133" s="144" t="str">
        <f>IF(Formulario!E141&lt;&gt;"",IF(Formulario!E141=" "," ",Formulario!E141),IF(G133=".",".","Falta Propietario"))</f>
        <v>.</v>
      </c>
      <c r="J133" s="144" t="str">
        <f>IF(Formulario!F141&lt;&gt;"",IF(Formulario!F141=" "," ",Formulario!F141)," ")</f>
        <v xml:space="preserve"> </v>
      </c>
      <c r="K133" s="144" t="str">
        <f>IF(Formulario!G141&lt;&gt;"",IF(Formulario!G141=" "," ",Formulario!G141)," ")</f>
        <v xml:space="preserve"> </v>
      </c>
      <c r="L133" s="144" t="str">
        <f>IF(Formulario!H141&lt;&gt;"",IF(Formulario!H141=" "," ",Formulario!H141)," ")</f>
        <v xml:space="preserve"> </v>
      </c>
      <c r="M133" s="144" t="str">
        <f>IF(Formulario!I141&lt;&gt;"",IF(Formulario!I141=" "," ",Formulario!I141)," ")</f>
        <v xml:space="preserve"> </v>
      </c>
      <c r="N133" s="145" t="str">
        <f>IF(Formulario!J141&lt;&gt;"",IF(Formulario!J141=" "," ",Formulario!J141),IF(G133=".",".","Falta Fecha"))</f>
        <v>.</v>
      </c>
      <c r="O133" s="155">
        <f>Formulario!L141</f>
        <v>0</v>
      </c>
      <c r="P133" s="146">
        <f>IF(O133=1,"09:00",Formulario!M141)</f>
        <v>0</v>
      </c>
      <c r="Q133" s="146">
        <f>IF(O133=1,"18:30",Formulario!N141)</f>
        <v>0</v>
      </c>
      <c r="R133" s="146" t="str">
        <f>IF(Formulario!O141&lt;&gt;"",IF(Formulario!O141=" ",".",Formulario!O141),".")</f>
        <v>Post Venta</v>
      </c>
      <c r="S133" s="141" t="s">
        <v>131</v>
      </c>
    </row>
    <row r="134" spans="1:19">
      <c r="A134" s="141">
        <f>Formulario!B142</f>
        <v>0</v>
      </c>
      <c r="B134" s="144" t="str">
        <f>IF(G134="."," ",Formulario!D$5)</f>
        <v xml:space="preserve"> </v>
      </c>
      <c r="C134" s="144" t="str">
        <f>IF(G134=".","",Formulario!D$6)</f>
        <v/>
      </c>
      <c r="D134" s="144" t="str">
        <f>IF(H134=".","",Formulario!D$7)</f>
        <v/>
      </c>
      <c r="E134" s="144" t="str">
        <f>IF(G134=".","",Formulario!J$5)</f>
        <v/>
      </c>
      <c r="F134" s="145" t="str">
        <f>IF(G134=".","",Formulario!J$6)</f>
        <v/>
      </c>
      <c r="G134" s="180" t="str">
        <f>IF(Formulario!C142&lt;&gt;"",IF(Formulario!C142=" ","Falta Depto",IF(H134=".","Error En Descripción",Formulario!C142)),IF(H134=".",".","Falta Datos"))</f>
        <v>.</v>
      </c>
      <c r="H134" s="144" t="str">
        <f>IF(Formulario!D142&lt;&gt;"",IF(Formulario!D142=" ",".",Formulario!D142),".")</f>
        <v>.</v>
      </c>
      <c r="I134" s="144" t="str">
        <f>IF(Formulario!E142&lt;&gt;"",IF(Formulario!E142=" "," ",Formulario!E142),IF(G134=".",".","Falta Propietario"))</f>
        <v>.</v>
      </c>
      <c r="J134" s="144" t="str">
        <f>IF(Formulario!F142&lt;&gt;"",IF(Formulario!F142=" "," ",Formulario!F142)," ")</f>
        <v xml:space="preserve"> </v>
      </c>
      <c r="K134" s="144" t="str">
        <f>IF(Formulario!G142&lt;&gt;"",IF(Formulario!G142=" "," ",Formulario!G142)," ")</f>
        <v xml:space="preserve"> </v>
      </c>
      <c r="L134" s="144" t="str">
        <f>IF(Formulario!H142&lt;&gt;"",IF(Formulario!H142=" "," ",Formulario!H142)," ")</f>
        <v xml:space="preserve"> </v>
      </c>
      <c r="M134" s="144" t="str">
        <f>IF(Formulario!I142&lt;&gt;"",IF(Formulario!I142=" "," ",Formulario!I142)," ")</f>
        <v xml:space="preserve"> </v>
      </c>
      <c r="N134" s="145" t="str">
        <f>IF(Formulario!J142&lt;&gt;"",IF(Formulario!J142=" "," ",Formulario!J142),IF(G134=".",".","Falta Fecha"))</f>
        <v>.</v>
      </c>
      <c r="O134" s="155">
        <f>Formulario!L142</f>
        <v>0</v>
      </c>
      <c r="P134" s="146">
        <f>IF(O134=1,"09:00",Formulario!M142)</f>
        <v>0</v>
      </c>
      <c r="Q134" s="146">
        <f>IF(O134=1,"18:30",Formulario!N142)</f>
        <v>0</v>
      </c>
      <c r="R134" s="146" t="str">
        <f>IF(Formulario!O142&lt;&gt;"",IF(Formulario!O142=" ",".",Formulario!O142),".")</f>
        <v>Post Venta</v>
      </c>
      <c r="S134" s="141" t="s">
        <v>131</v>
      </c>
    </row>
    <row r="135" spans="1:19">
      <c r="A135" s="141">
        <f>Formulario!B143</f>
        <v>0</v>
      </c>
      <c r="B135" s="144" t="str">
        <f>IF(G135="."," ",Formulario!D$5)</f>
        <v xml:space="preserve"> </v>
      </c>
      <c r="C135" s="144" t="str">
        <f>IF(G135=".","",Formulario!D$6)</f>
        <v/>
      </c>
      <c r="D135" s="144" t="str">
        <f>IF(H135=".","",Formulario!D$7)</f>
        <v/>
      </c>
      <c r="E135" s="144" t="str">
        <f>IF(G135=".","",Formulario!J$5)</f>
        <v/>
      </c>
      <c r="F135" s="145" t="str">
        <f>IF(G135=".","",Formulario!J$6)</f>
        <v/>
      </c>
      <c r="G135" s="180" t="str">
        <f>IF(Formulario!C143&lt;&gt;"",IF(Formulario!C143=" ","Falta Depto",IF(H135=".","Error En Descripción",Formulario!C143)),IF(H135=".",".","Falta Datos"))</f>
        <v>.</v>
      </c>
      <c r="H135" s="144" t="str">
        <f>IF(Formulario!D143&lt;&gt;"",IF(Formulario!D143=" ",".",Formulario!D143),".")</f>
        <v>.</v>
      </c>
      <c r="I135" s="144" t="str">
        <f>IF(Formulario!E143&lt;&gt;"",IF(Formulario!E143=" "," ",Formulario!E143),IF(G135=".",".","Falta Propietario"))</f>
        <v>.</v>
      </c>
      <c r="J135" s="144" t="str">
        <f>IF(Formulario!F143&lt;&gt;"",IF(Formulario!F143=" "," ",Formulario!F143)," ")</f>
        <v xml:space="preserve"> </v>
      </c>
      <c r="K135" s="144" t="str">
        <f>IF(Formulario!G143&lt;&gt;"",IF(Formulario!G143=" "," ",Formulario!G143)," ")</f>
        <v xml:space="preserve"> </v>
      </c>
      <c r="L135" s="144" t="str">
        <f>IF(Formulario!H143&lt;&gt;"",IF(Formulario!H143=" "," ",Formulario!H143)," ")</f>
        <v xml:space="preserve"> </v>
      </c>
      <c r="M135" s="144" t="str">
        <f>IF(Formulario!I143&lt;&gt;"",IF(Formulario!I143=" "," ",Formulario!I143)," ")</f>
        <v xml:space="preserve"> </v>
      </c>
      <c r="N135" s="145" t="str">
        <f>IF(Formulario!J143&lt;&gt;"",IF(Formulario!J143=" "," ",Formulario!J143),IF(G135=".",".","Falta Fecha"))</f>
        <v>.</v>
      </c>
      <c r="O135" s="155">
        <f>Formulario!L143</f>
        <v>0</v>
      </c>
      <c r="P135" s="146">
        <f>IF(O135=1,"09:00",Formulario!M143)</f>
        <v>0</v>
      </c>
      <c r="Q135" s="146">
        <f>IF(O135=1,"18:30",Formulario!N143)</f>
        <v>0</v>
      </c>
      <c r="R135" s="146" t="str">
        <f>IF(Formulario!O143&lt;&gt;"",IF(Formulario!O143=" ",".",Formulario!O143),".")</f>
        <v>Post Venta</v>
      </c>
      <c r="S135" s="141" t="s">
        <v>131</v>
      </c>
    </row>
    <row r="136" spans="1:19">
      <c r="A136" s="141">
        <f>Formulario!B144</f>
        <v>0</v>
      </c>
      <c r="B136" s="144" t="str">
        <f>IF(G136="."," ",Formulario!D$5)</f>
        <v xml:space="preserve"> </v>
      </c>
      <c r="C136" s="144" t="str">
        <f>IF(G136=".","",Formulario!D$6)</f>
        <v/>
      </c>
      <c r="D136" s="144" t="str">
        <f>IF(H136=".","",Formulario!D$7)</f>
        <v/>
      </c>
      <c r="E136" s="144" t="str">
        <f>IF(G136=".","",Formulario!J$5)</f>
        <v/>
      </c>
      <c r="F136" s="145" t="str">
        <f>IF(G136=".","",Formulario!J$6)</f>
        <v/>
      </c>
      <c r="G136" s="180" t="str">
        <f>IF(Formulario!C144&lt;&gt;"",IF(Formulario!C144=" ","Falta Depto",IF(H136=".","Error En Descripción",Formulario!C144)),IF(H136=".",".","Falta Datos"))</f>
        <v>.</v>
      </c>
      <c r="H136" s="144" t="str">
        <f>IF(Formulario!D144&lt;&gt;"",IF(Formulario!D144=" ",".",Formulario!D144),".")</f>
        <v>.</v>
      </c>
      <c r="I136" s="144" t="str">
        <f>IF(Formulario!E144&lt;&gt;"",IF(Formulario!E144=" "," ",Formulario!E144),IF(G136=".",".","Falta Propietario"))</f>
        <v>.</v>
      </c>
      <c r="J136" s="144" t="str">
        <f>IF(Formulario!F144&lt;&gt;"",IF(Formulario!F144=" "," ",Formulario!F144)," ")</f>
        <v xml:space="preserve"> </v>
      </c>
      <c r="K136" s="144" t="str">
        <f>IF(Formulario!G144&lt;&gt;"",IF(Formulario!G144=" "," ",Formulario!G144)," ")</f>
        <v xml:space="preserve"> </v>
      </c>
      <c r="L136" s="144" t="str">
        <f>IF(Formulario!H144&lt;&gt;"",IF(Formulario!H144=" "," ",Formulario!H144)," ")</f>
        <v xml:space="preserve"> </v>
      </c>
      <c r="M136" s="144" t="str">
        <f>IF(Formulario!I144&lt;&gt;"",IF(Formulario!I144=" "," ",Formulario!I144)," ")</f>
        <v xml:space="preserve"> </v>
      </c>
      <c r="N136" s="145" t="str">
        <f>IF(Formulario!J144&lt;&gt;"",IF(Formulario!J144=" "," ",Formulario!J144),IF(G136=".",".","Falta Fecha"))</f>
        <v>.</v>
      </c>
      <c r="O136" s="155">
        <f>Formulario!L144</f>
        <v>0</v>
      </c>
      <c r="P136" s="146">
        <f>IF(O136=1,"09:00",Formulario!M144)</f>
        <v>0</v>
      </c>
      <c r="Q136" s="146">
        <f>IF(O136=1,"18:30",Formulario!N144)</f>
        <v>0</v>
      </c>
      <c r="R136" s="146" t="str">
        <f>IF(Formulario!O144&lt;&gt;"",IF(Formulario!O144=" ",".",Formulario!O144),".")</f>
        <v>Post Venta</v>
      </c>
      <c r="S136" s="141" t="s">
        <v>131</v>
      </c>
    </row>
    <row r="137" spans="1:19">
      <c r="A137" s="141">
        <f>Formulario!B145</f>
        <v>0</v>
      </c>
      <c r="B137" s="144" t="str">
        <f>IF(G137="."," ",Formulario!D$5)</f>
        <v xml:space="preserve"> </v>
      </c>
      <c r="C137" s="144" t="str">
        <f>IF(G137=".","",Formulario!D$6)</f>
        <v/>
      </c>
      <c r="D137" s="144" t="str">
        <f>IF(H137=".","",Formulario!D$7)</f>
        <v/>
      </c>
      <c r="E137" s="144" t="str">
        <f>IF(G137=".","",Formulario!J$5)</f>
        <v/>
      </c>
      <c r="F137" s="145" t="str">
        <f>IF(G137=".","",Formulario!J$6)</f>
        <v/>
      </c>
      <c r="G137" s="180" t="str">
        <f>IF(Formulario!C145&lt;&gt;"",IF(Formulario!C145=" ","Falta Depto",IF(H137=".","Error En Descripción",Formulario!C145)),IF(H137=".",".","Falta Datos"))</f>
        <v>.</v>
      </c>
      <c r="H137" s="144" t="str">
        <f>IF(Formulario!D145&lt;&gt;"",IF(Formulario!D145=" ",".",Formulario!D145),".")</f>
        <v>.</v>
      </c>
      <c r="I137" s="144" t="str">
        <f>IF(Formulario!E145&lt;&gt;"",IF(Formulario!E145=" "," ",Formulario!E145),IF(G137=".",".","Falta Propietario"))</f>
        <v>.</v>
      </c>
      <c r="J137" s="144" t="str">
        <f>IF(Formulario!F145&lt;&gt;"",IF(Formulario!F145=" "," ",Formulario!F145)," ")</f>
        <v xml:space="preserve"> </v>
      </c>
      <c r="K137" s="144" t="str">
        <f>IF(Formulario!G145&lt;&gt;"",IF(Formulario!G145=" "," ",Formulario!G145)," ")</f>
        <v xml:space="preserve"> </v>
      </c>
      <c r="L137" s="144" t="str">
        <f>IF(Formulario!H145&lt;&gt;"",IF(Formulario!H145=" "," ",Formulario!H145)," ")</f>
        <v xml:space="preserve"> </v>
      </c>
      <c r="M137" s="144" t="str">
        <f>IF(Formulario!I145&lt;&gt;"",IF(Formulario!I145=" "," ",Formulario!I145)," ")</f>
        <v xml:space="preserve"> </v>
      </c>
      <c r="N137" s="145" t="str">
        <f>IF(Formulario!J145&lt;&gt;"",IF(Formulario!J145=" "," ",Formulario!J145),IF(G137=".",".","Falta Fecha"))</f>
        <v>.</v>
      </c>
      <c r="O137" s="155">
        <f>Formulario!L145</f>
        <v>0</v>
      </c>
      <c r="P137" s="146">
        <f>IF(O137=1,"09:00",Formulario!M145)</f>
        <v>0</v>
      </c>
      <c r="Q137" s="146">
        <f>IF(O137=1,"18:30",Formulario!N145)</f>
        <v>0</v>
      </c>
      <c r="R137" s="146" t="str">
        <f>IF(Formulario!O145&lt;&gt;"",IF(Formulario!O145=" ",".",Formulario!O145),".")</f>
        <v>Post Venta</v>
      </c>
      <c r="S137" s="141" t="s">
        <v>131</v>
      </c>
    </row>
    <row r="138" spans="1:19">
      <c r="A138" s="141">
        <f>Formulario!B146</f>
        <v>0</v>
      </c>
      <c r="B138" s="144" t="str">
        <f>IF(G138="."," ",Formulario!D$5)</f>
        <v xml:space="preserve"> </v>
      </c>
      <c r="C138" s="144" t="str">
        <f>IF(G138=".","",Formulario!D$6)</f>
        <v/>
      </c>
      <c r="D138" s="144" t="str">
        <f>IF(H138=".","",Formulario!D$7)</f>
        <v/>
      </c>
      <c r="E138" s="144" t="str">
        <f>IF(G138=".","",Formulario!J$5)</f>
        <v/>
      </c>
      <c r="F138" s="145" t="str">
        <f>IF(G138=".","",Formulario!J$6)</f>
        <v/>
      </c>
      <c r="G138" s="180" t="str">
        <f>IF(Formulario!C146&lt;&gt;"",IF(Formulario!C146=" ","Falta Depto",IF(H138=".","Error En Descripción",Formulario!C146)),IF(H138=".",".","Falta Datos"))</f>
        <v>.</v>
      </c>
      <c r="H138" s="144" t="str">
        <f>IF(Formulario!D146&lt;&gt;"",IF(Formulario!D146=" ",".",Formulario!D146),".")</f>
        <v>.</v>
      </c>
      <c r="I138" s="144" t="str">
        <f>IF(Formulario!E146&lt;&gt;"",IF(Formulario!E146=" "," ",Formulario!E146),IF(G138=".",".","Falta Propietario"))</f>
        <v>.</v>
      </c>
      <c r="J138" s="144" t="str">
        <f>IF(Formulario!F146&lt;&gt;"",IF(Formulario!F146=" "," ",Formulario!F146)," ")</f>
        <v xml:space="preserve"> </v>
      </c>
      <c r="K138" s="144" t="str">
        <f>IF(Formulario!G146&lt;&gt;"",IF(Formulario!G146=" "," ",Formulario!G146)," ")</f>
        <v xml:space="preserve"> </v>
      </c>
      <c r="L138" s="144" t="str">
        <f>IF(Formulario!H146&lt;&gt;"",IF(Formulario!H146=" "," ",Formulario!H146)," ")</f>
        <v xml:space="preserve"> </v>
      </c>
      <c r="M138" s="144" t="str">
        <f>IF(Formulario!I146&lt;&gt;"",IF(Formulario!I146=" "," ",Formulario!I146)," ")</f>
        <v xml:space="preserve"> </v>
      </c>
      <c r="N138" s="145" t="str">
        <f>IF(Formulario!J146&lt;&gt;"",IF(Formulario!J146=" "," ",Formulario!J146),IF(G138=".",".","Falta Fecha"))</f>
        <v>.</v>
      </c>
      <c r="O138" s="155">
        <f>Formulario!L146</f>
        <v>0</v>
      </c>
      <c r="P138" s="146">
        <f>IF(O138=1,"09:00",Formulario!M146)</f>
        <v>0</v>
      </c>
      <c r="Q138" s="146">
        <f>IF(O138=1,"18:30",Formulario!N146)</f>
        <v>0</v>
      </c>
      <c r="R138" s="146" t="str">
        <f>IF(Formulario!O146&lt;&gt;"",IF(Formulario!O146=" ",".",Formulario!O146),".")</f>
        <v>Post Venta</v>
      </c>
      <c r="S138" s="141" t="s">
        <v>131</v>
      </c>
    </row>
    <row r="139" spans="1:19">
      <c r="A139" s="141">
        <f>Formulario!B147</f>
        <v>0</v>
      </c>
      <c r="B139" s="144" t="str">
        <f>IF(G139="."," ",Formulario!D$5)</f>
        <v xml:space="preserve"> </v>
      </c>
      <c r="C139" s="144" t="str">
        <f>IF(G139=".","",Formulario!D$6)</f>
        <v/>
      </c>
      <c r="D139" s="144" t="str">
        <f>IF(H139=".","",Formulario!D$7)</f>
        <v/>
      </c>
      <c r="E139" s="144" t="str">
        <f>IF(G139=".","",Formulario!J$5)</f>
        <v/>
      </c>
      <c r="F139" s="145" t="str">
        <f>IF(G139=".","",Formulario!J$6)</f>
        <v/>
      </c>
      <c r="G139" s="180" t="str">
        <f>IF(Formulario!C147&lt;&gt;"",IF(Formulario!C147=" ","Falta Depto",IF(H139=".","Error En Descripción",Formulario!C147)),IF(H139=".",".","Falta Datos"))</f>
        <v>.</v>
      </c>
      <c r="H139" s="144" t="str">
        <f>IF(Formulario!D147&lt;&gt;"",IF(Formulario!D147=" ",".",Formulario!D147),".")</f>
        <v>.</v>
      </c>
      <c r="I139" s="144" t="str">
        <f>IF(Formulario!E147&lt;&gt;"",IF(Formulario!E147=" "," ",Formulario!E147),IF(G139=".",".","Falta Propietario"))</f>
        <v>.</v>
      </c>
      <c r="J139" s="144" t="str">
        <f>IF(Formulario!F147&lt;&gt;"",IF(Formulario!F147=" "," ",Formulario!F147)," ")</f>
        <v xml:space="preserve"> </v>
      </c>
      <c r="K139" s="144" t="str">
        <f>IF(Formulario!G147&lt;&gt;"",IF(Formulario!G147=" "," ",Formulario!G147)," ")</f>
        <v xml:space="preserve"> </v>
      </c>
      <c r="L139" s="144" t="str">
        <f>IF(Formulario!H147&lt;&gt;"",IF(Formulario!H147=" "," ",Formulario!H147)," ")</f>
        <v xml:space="preserve"> </v>
      </c>
      <c r="M139" s="144" t="str">
        <f>IF(Formulario!I147&lt;&gt;"",IF(Formulario!I147=" "," ",Formulario!I147)," ")</f>
        <v xml:space="preserve"> </v>
      </c>
      <c r="N139" s="145" t="str">
        <f>IF(Formulario!J147&lt;&gt;"",IF(Formulario!J147=" "," ",Formulario!J147),IF(G139=".",".","Falta Fecha"))</f>
        <v>.</v>
      </c>
      <c r="O139" s="155">
        <f>Formulario!L147</f>
        <v>0</v>
      </c>
      <c r="P139" s="146">
        <f>IF(O139=1,"09:00",Formulario!M147)</f>
        <v>0</v>
      </c>
      <c r="Q139" s="146">
        <f>IF(O139=1,"18:30",Formulario!N147)</f>
        <v>0</v>
      </c>
      <c r="R139" s="146" t="str">
        <f>IF(Formulario!O147&lt;&gt;"",IF(Formulario!O147=" ",".",Formulario!O147),".")</f>
        <v>Post Venta</v>
      </c>
      <c r="S139" s="141" t="s">
        <v>131</v>
      </c>
    </row>
    <row r="140" spans="1:19">
      <c r="A140" s="141">
        <f>Formulario!B148</f>
        <v>0</v>
      </c>
      <c r="B140" s="144" t="str">
        <f>IF(G140="."," ",Formulario!D$5)</f>
        <v xml:space="preserve"> </v>
      </c>
      <c r="C140" s="144" t="str">
        <f>IF(G140=".","",Formulario!D$6)</f>
        <v/>
      </c>
      <c r="D140" s="144" t="str">
        <f>IF(H140=".","",Formulario!D$7)</f>
        <v/>
      </c>
      <c r="E140" s="144" t="str">
        <f>IF(G140=".","",Formulario!J$5)</f>
        <v/>
      </c>
      <c r="F140" s="145" t="str">
        <f>IF(G140=".","",Formulario!J$6)</f>
        <v/>
      </c>
      <c r="G140" s="180" t="str">
        <f>IF(Formulario!C148&lt;&gt;"",IF(Formulario!C148=" ","Falta Depto",IF(H140=".","Error En Descripción",Formulario!C148)),IF(H140=".",".","Falta Datos"))</f>
        <v>.</v>
      </c>
      <c r="H140" s="144" t="str">
        <f>IF(Formulario!D148&lt;&gt;"",IF(Formulario!D148=" ",".",Formulario!D148),".")</f>
        <v>.</v>
      </c>
      <c r="I140" s="144" t="str">
        <f>IF(Formulario!E148&lt;&gt;"",IF(Formulario!E148=" "," ",Formulario!E148),IF(G140=".",".","Falta Propietario"))</f>
        <v>.</v>
      </c>
      <c r="J140" s="144" t="str">
        <f>IF(Formulario!F148&lt;&gt;"",IF(Formulario!F148=" "," ",Formulario!F148)," ")</f>
        <v xml:space="preserve"> </v>
      </c>
      <c r="K140" s="144" t="str">
        <f>IF(Formulario!G148&lt;&gt;"",IF(Formulario!G148=" "," ",Formulario!G148)," ")</f>
        <v xml:space="preserve"> </v>
      </c>
      <c r="L140" s="144" t="str">
        <f>IF(Formulario!H148&lt;&gt;"",IF(Formulario!H148=" "," ",Formulario!H148)," ")</f>
        <v xml:space="preserve"> </v>
      </c>
      <c r="M140" s="144" t="str">
        <f>IF(Formulario!I148&lt;&gt;"",IF(Formulario!I148=" "," ",Formulario!I148)," ")</f>
        <v xml:space="preserve"> </v>
      </c>
      <c r="N140" s="145" t="str">
        <f>IF(Formulario!J148&lt;&gt;"",IF(Formulario!J148=" "," ",Formulario!J148),IF(G140=".",".","Falta Fecha"))</f>
        <v>.</v>
      </c>
      <c r="O140" s="155">
        <f>Formulario!L148</f>
        <v>0</v>
      </c>
      <c r="P140" s="146">
        <f>IF(O140=1,"09:00",Formulario!M148)</f>
        <v>0</v>
      </c>
      <c r="Q140" s="146">
        <f>IF(O140=1,"18:30",Formulario!N148)</f>
        <v>0</v>
      </c>
      <c r="R140" s="146" t="str">
        <f>IF(Formulario!O148&lt;&gt;"",IF(Formulario!O148=" ",".",Formulario!O148),".")</f>
        <v>Post Venta</v>
      </c>
      <c r="S140" s="141" t="s">
        <v>131</v>
      </c>
    </row>
    <row r="141" spans="1:19">
      <c r="A141" s="141">
        <f>Formulario!B149</f>
        <v>0</v>
      </c>
      <c r="B141" s="144" t="str">
        <f>IF(G141="."," ",Formulario!D$5)</f>
        <v xml:space="preserve"> </v>
      </c>
      <c r="C141" s="144" t="str">
        <f>IF(G141=".","",Formulario!D$6)</f>
        <v/>
      </c>
      <c r="D141" s="144" t="str">
        <f>IF(H141=".","",Formulario!D$7)</f>
        <v/>
      </c>
      <c r="E141" s="144" t="str">
        <f>IF(G141=".","",Formulario!J$5)</f>
        <v/>
      </c>
      <c r="F141" s="145" t="str">
        <f>IF(G141=".","",Formulario!J$6)</f>
        <v/>
      </c>
      <c r="G141" s="180" t="str">
        <f>IF(Formulario!C149&lt;&gt;"",IF(Formulario!C149=" ","Falta Depto",IF(H141=".","Error En Descripción",Formulario!C149)),IF(H141=".",".","Falta Datos"))</f>
        <v>.</v>
      </c>
      <c r="H141" s="144" t="str">
        <f>IF(Formulario!D149&lt;&gt;"",IF(Formulario!D149=" ",".",Formulario!D149),".")</f>
        <v>.</v>
      </c>
      <c r="I141" s="144" t="str">
        <f>IF(Formulario!E149&lt;&gt;"",IF(Formulario!E149=" "," ",Formulario!E149),IF(G141=".",".","Falta Propietario"))</f>
        <v>.</v>
      </c>
      <c r="J141" s="144" t="str">
        <f>IF(Formulario!F149&lt;&gt;"",IF(Formulario!F149=" "," ",Formulario!F149)," ")</f>
        <v xml:space="preserve"> </v>
      </c>
      <c r="K141" s="144" t="str">
        <f>IF(Formulario!G149&lt;&gt;"",IF(Formulario!G149=" "," ",Formulario!G149)," ")</f>
        <v xml:space="preserve"> </v>
      </c>
      <c r="L141" s="144" t="str">
        <f>IF(Formulario!H149&lt;&gt;"",IF(Formulario!H149=" "," ",Formulario!H149)," ")</f>
        <v xml:space="preserve"> </v>
      </c>
      <c r="M141" s="144" t="str">
        <f>IF(Formulario!I149&lt;&gt;"",IF(Formulario!I149=" "," ",Formulario!I149)," ")</f>
        <v xml:space="preserve"> </v>
      </c>
      <c r="N141" s="145" t="str">
        <f>IF(Formulario!J149&lt;&gt;"",IF(Formulario!J149=" "," ",Formulario!J149),IF(G141=".",".","Falta Fecha"))</f>
        <v>.</v>
      </c>
      <c r="O141" s="155">
        <f>Formulario!L149</f>
        <v>0</v>
      </c>
      <c r="P141" s="146">
        <f>IF(O141=1,"09:00",Formulario!M149)</f>
        <v>0</v>
      </c>
      <c r="Q141" s="146">
        <f>IF(O141=1,"18:30",Formulario!N149)</f>
        <v>0</v>
      </c>
      <c r="R141" s="146" t="str">
        <f>IF(Formulario!O149&lt;&gt;"",IF(Formulario!O149=" ",".",Formulario!O149),".")</f>
        <v>Post Venta</v>
      </c>
      <c r="S141" s="141" t="s">
        <v>131</v>
      </c>
    </row>
    <row r="142" spans="1:19">
      <c r="A142" s="141">
        <f>Formulario!B150</f>
        <v>0</v>
      </c>
      <c r="B142" s="144" t="str">
        <f>IF(G142="."," ",Formulario!D$5)</f>
        <v xml:space="preserve"> </v>
      </c>
      <c r="C142" s="144" t="str">
        <f>IF(G142=".","",Formulario!D$6)</f>
        <v/>
      </c>
      <c r="D142" s="144" t="str">
        <f>IF(H142=".","",Formulario!D$7)</f>
        <v/>
      </c>
      <c r="E142" s="144" t="str">
        <f>IF(G142=".","",Formulario!J$5)</f>
        <v/>
      </c>
      <c r="F142" s="145" t="str">
        <f>IF(G142=".","",Formulario!J$6)</f>
        <v/>
      </c>
      <c r="G142" s="180" t="str">
        <f>IF(Formulario!C150&lt;&gt;"",IF(Formulario!C150=" ","Falta Depto",IF(H142=".","Error En Descripción",Formulario!C150)),IF(H142=".",".","Falta Datos"))</f>
        <v>.</v>
      </c>
      <c r="H142" s="144" t="str">
        <f>IF(Formulario!D150&lt;&gt;"",IF(Formulario!D150=" ",".",Formulario!D150),".")</f>
        <v>.</v>
      </c>
      <c r="I142" s="144" t="str">
        <f>IF(Formulario!E150&lt;&gt;"",IF(Formulario!E150=" "," ",Formulario!E150),IF(G142=".",".","Falta Propietario"))</f>
        <v>.</v>
      </c>
      <c r="J142" s="144" t="str">
        <f>IF(Formulario!F150&lt;&gt;"",IF(Formulario!F150=" "," ",Formulario!F150)," ")</f>
        <v xml:space="preserve"> </v>
      </c>
      <c r="K142" s="144" t="str">
        <f>IF(Formulario!G150&lt;&gt;"",IF(Formulario!G150=" "," ",Formulario!G150)," ")</f>
        <v xml:space="preserve"> </v>
      </c>
      <c r="L142" s="144" t="str">
        <f>IF(Formulario!H150&lt;&gt;"",IF(Formulario!H150=" "," ",Formulario!H150)," ")</f>
        <v xml:space="preserve"> </v>
      </c>
      <c r="M142" s="144" t="str">
        <f>IF(Formulario!I150&lt;&gt;"",IF(Formulario!I150=" "," ",Formulario!I150)," ")</f>
        <v xml:space="preserve"> </v>
      </c>
      <c r="N142" s="145" t="str">
        <f>IF(Formulario!J150&lt;&gt;"",IF(Formulario!J150=" "," ",Formulario!J150),IF(G142=".",".","Falta Fecha"))</f>
        <v>.</v>
      </c>
      <c r="O142" s="155">
        <f>Formulario!L150</f>
        <v>0</v>
      </c>
      <c r="P142" s="146">
        <f>IF(O142=1,"09:00",Formulario!M150)</f>
        <v>0</v>
      </c>
      <c r="Q142" s="146">
        <f>IF(O142=1,"18:30",Formulario!N150)</f>
        <v>0</v>
      </c>
      <c r="R142" s="146" t="str">
        <f>IF(Formulario!O150&lt;&gt;"",IF(Formulario!O150=" ",".",Formulario!O150),".")</f>
        <v>Post Venta</v>
      </c>
      <c r="S142" s="141" t="s">
        <v>131</v>
      </c>
    </row>
    <row r="143" spans="1:19">
      <c r="A143" s="141">
        <f>Formulario!B151</f>
        <v>0</v>
      </c>
      <c r="B143" s="144" t="str">
        <f>IF(G143="."," ",Formulario!D$5)</f>
        <v xml:space="preserve"> </v>
      </c>
      <c r="C143" s="144" t="str">
        <f>IF(G143=".","",Formulario!D$6)</f>
        <v/>
      </c>
      <c r="D143" s="144" t="str">
        <f>IF(H143=".","",Formulario!D$7)</f>
        <v/>
      </c>
      <c r="E143" s="144" t="str">
        <f>IF(G143=".","",Formulario!J$5)</f>
        <v/>
      </c>
      <c r="F143" s="145" t="str">
        <f>IF(G143=".","",Formulario!J$6)</f>
        <v/>
      </c>
      <c r="G143" s="180" t="str">
        <f>IF(Formulario!C151&lt;&gt;"",IF(Formulario!C151=" ","Falta Depto",IF(H143=".","Error En Descripción",Formulario!C151)),IF(H143=".",".","Falta Datos"))</f>
        <v>.</v>
      </c>
      <c r="H143" s="144" t="str">
        <f>IF(Formulario!D151&lt;&gt;"",IF(Formulario!D151=" ",".",Formulario!D151),".")</f>
        <v>.</v>
      </c>
      <c r="I143" s="144" t="str">
        <f>IF(Formulario!E151&lt;&gt;"",IF(Formulario!E151=" "," ",Formulario!E151),IF(G143=".",".","Falta Propietario"))</f>
        <v>.</v>
      </c>
      <c r="J143" s="144" t="str">
        <f>IF(Formulario!F151&lt;&gt;"",IF(Formulario!F151=" "," ",Formulario!F151)," ")</f>
        <v xml:space="preserve"> </v>
      </c>
      <c r="K143" s="144" t="str">
        <f>IF(Formulario!G151&lt;&gt;"",IF(Formulario!G151=" "," ",Formulario!G151)," ")</f>
        <v xml:space="preserve"> </v>
      </c>
      <c r="L143" s="144" t="str">
        <f>IF(Formulario!H151&lt;&gt;"",IF(Formulario!H151=" "," ",Formulario!H151)," ")</f>
        <v xml:space="preserve"> </v>
      </c>
      <c r="M143" s="144" t="str">
        <f>IF(Formulario!I151&lt;&gt;"",IF(Formulario!I151=" "," ",Formulario!I151)," ")</f>
        <v xml:space="preserve"> </v>
      </c>
      <c r="N143" s="145" t="str">
        <f>IF(Formulario!J151&lt;&gt;"",IF(Formulario!J151=" "," ",Formulario!J151),IF(G143=".",".","Falta Fecha"))</f>
        <v>.</v>
      </c>
      <c r="O143" s="155">
        <f>Formulario!L151</f>
        <v>0</v>
      </c>
      <c r="P143" s="146">
        <f>IF(O143=1,"09:00",Formulario!M151)</f>
        <v>0</v>
      </c>
      <c r="Q143" s="146">
        <f>IF(O143=1,"18:30",Formulario!N151)</f>
        <v>0</v>
      </c>
      <c r="R143" s="146" t="str">
        <f>IF(Formulario!O151&lt;&gt;"",IF(Formulario!O151=" ",".",Formulario!O151),".")</f>
        <v>Post Venta</v>
      </c>
      <c r="S143" s="141" t="s">
        <v>131</v>
      </c>
    </row>
    <row r="144" spans="1:19">
      <c r="A144" s="141">
        <f>Formulario!B152</f>
        <v>0</v>
      </c>
      <c r="B144" s="144" t="str">
        <f>IF(G144="."," ",Formulario!D$5)</f>
        <v xml:space="preserve"> </v>
      </c>
      <c r="C144" s="144" t="str">
        <f>IF(G144=".","",Formulario!D$6)</f>
        <v/>
      </c>
      <c r="D144" s="144" t="str">
        <f>IF(H144=".","",Formulario!D$7)</f>
        <v/>
      </c>
      <c r="E144" s="144" t="str">
        <f>IF(G144=".","",Formulario!J$5)</f>
        <v/>
      </c>
      <c r="F144" s="145" t="str">
        <f>IF(G144=".","",Formulario!J$6)</f>
        <v/>
      </c>
      <c r="G144" s="180" t="str">
        <f>IF(Formulario!C152&lt;&gt;"",IF(Formulario!C152=" ","Falta Depto",IF(H144=".","Error En Descripción",Formulario!C152)),IF(H144=".",".","Falta Datos"))</f>
        <v>.</v>
      </c>
      <c r="H144" s="144" t="str">
        <f>IF(Formulario!D152&lt;&gt;"",IF(Formulario!D152=" ",".",Formulario!D152),".")</f>
        <v>.</v>
      </c>
      <c r="I144" s="144" t="str">
        <f>IF(Formulario!E152&lt;&gt;"",IF(Formulario!E152=" "," ",Formulario!E152),IF(G144=".",".","Falta Propietario"))</f>
        <v>.</v>
      </c>
      <c r="J144" s="144" t="str">
        <f>IF(Formulario!F152&lt;&gt;"",IF(Formulario!F152=" "," ",Formulario!F152)," ")</f>
        <v xml:space="preserve"> </v>
      </c>
      <c r="K144" s="144" t="str">
        <f>IF(Formulario!G152&lt;&gt;"",IF(Formulario!G152=" "," ",Formulario!G152)," ")</f>
        <v xml:space="preserve"> </v>
      </c>
      <c r="L144" s="144" t="str">
        <f>IF(Formulario!H152&lt;&gt;"",IF(Formulario!H152=" "," ",Formulario!H152)," ")</f>
        <v xml:space="preserve"> </v>
      </c>
      <c r="M144" s="144" t="str">
        <f>IF(Formulario!I152&lt;&gt;"",IF(Formulario!I152=" "," ",Formulario!I152)," ")</f>
        <v xml:space="preserve"> </v>
      </c>
      <c r="N144" s="145" t="str">
        <f>IF(Formulario!J152&lt;&gt;"",IF(Formulario!J152=" "," ",Formulario!J152),IF(G144=".",".","Falta Fecha"))</f>
        <v>.</v>
      </c>
      <c r="O144" s="155">
        <f>Formulario!L152</f>
        <v>0</v>
      </c>
      <c r="P144" s="146">
        <f>IF(O144=1,"09:00",Formulario!M152)</f>
        <v>0</v>
      </c>
      <c r="Q144" s="146">
        <f>IF(O144=1,"18:30",Formulario!N152)</f>
        <v>0</v>
      </c>
      <c r="R144" s="146" t="str">
        <f>IF(Formulario!O152&lt;&gt;"",IF(Formulario!O152=" ",".",Formulario!O152),".")</f>
        <v>Post Venta</v>
      </c>
      <c r="S144" s="141" t="s">
        <v>131</v>
      </c>
    </row>
    <row r="145" spans="1:19">
      <c r="A145" s="141">
        <f>Formulario!B153</f>
        <v>0</v>
      </c>
      <c r="B145" s="144" t="str">
        <f>IF(G145="."," ",Formulario!D$5)</f>
        <v xml:space="preserve"> </v>
      </c>
      <c r="C145" s="144" t="str">
        <f>IF(G145=".","",Formulario!D$6)</f>
        <v/>
      </c>
      <c r="D145" s="144" t="str">
        <f>IF(H145=".","",Formulario!D$7)</f>
        <v/>
      </c>
      <c r="E145" s="144" t="str">
        <f>IF(G145=".","",Formulario!J$5)</f>
        <v/>
      </c>
      <c r="F145" s="145" t="str">
        <f>IF(G145=".","",Formulario!J$6)</f>
        <v/>
      </c>
      <c r="G145" s="180" t="str">
        <f>IF(Formulario!C153&lt;&gt;"",IF(Formulario!C153=" ","Falta Depto",IF(H145=".","Error En Descripción",Formulario!C153)),IF(H145=".",".","Falta Datos"))</f>
        <v>.</v>
      </c>
      <c r="H145" s="144" t="str">
        <f>IF(Formulario!D153&lt;&gt;"",IF(Formulario!D153=" ",".",Formulario!D153),".")</f>
        <v>.</v>
      </c>
      <c r="I145" s="144" t="str">
        <f>IF(Formulario!E153&lt;&gt;"",IF(Formulario!E153=" "," ",Formulario!E153),IF(G145=".",".","Falta Propietario"))</f>
        <v>.</v>
      </c>
      <c r="J145" s="144" t="str">
        <f>IF(Formulario!F153&lt;&gt;"",IF(Formulario!F153=" "," ",Formulario!F153)," ")</f>
        <v xml:space="preserve"> </v>
      </c>
      <c r="K145" s="144" t="str">
        <f>IF(Formulario!G153&lt;&gt;"",IF(Formulario!G153=" "," ",Formulario!G153)," ")</f>
        <v xml:space="preserve"> </v>
      </c>
      <c r="L145" s="144" t="str">
        <f>IF(Formulario!H153&lt;&gt;"",IF(Formulario!H153=" "," ",Formulario!H153)," ")</f>
        <v xml:space="preserve"> </v>
      </c>
      <c r="M145" s="144" t="str">
        <f>IF(Formulario!I153&lt;&gt;"",IF(Formulario!I153=" "," ",Formulario!I153)," ")</f>
        <v xml:space="preserve"> </v>
      </c>
      <c r="N145" s="145" t="str">
        <f>IF(Formulario!J153&lt;&gt;"",IF(Formulario!J153=" "," ",Formulario!J153),IF(G145=".",".","Falta Fecha"))</f>
        <v>.</v>
      </c>
      <c r="O145" s="155">
        <f>Formulario!L153</f>
        <v>0</v>
      </c>
      <c r="P145" s="146">
        <f>IF(O145=1,"09:00",Formulario!M153)</f>
        <v>0</v>
      </c>
      <c r="Q145" s="146">
        <f>IF(O145=1,"18:30",Formulario!N153)</f>
        <v>0</v>
      </c>
      <c r="R145" s="146" t="str">
        <f>IF(Formulario!O153&lt;&gt;"",IF(Formulario!O153=" ",".",Formulario!O153),".")</f>
        <v>Post Venta</v>
      </c>
      <c r="S145" s="141" t="s">
        <v>131</v>
      </c>
    </row>
    <row r="146" spans="1:19">
      <c r="A146" s="141">
        <f>Formulario!B154</f>
        <v>0</v>
      </c>
      <c r="B146" s="144" t="str">
        <f>IF(G146="."," ",Formulario!D$5)</f>
        <v xml:space="preserve"> </v>
      </c>
      <c r="C146" s="144" t="str">
        <f>IF(G146=".","",Formulario!D$6)</f>
        <v/>
      </c>
      <c r="D146" s="144" t="str">
        <f>IF(H146=".","",Formulario!D$7)</f>
        <v/>
      </c>
      <c r="E146" s="144" t="str">
        <f>IF(G146=".","",Formulario!J$5)</f>
        <v/>
      </c>
      <c r="F146" s="145" t="str">
        <f>IF(G146=".","",Formulario!J$6)</f>
        <v/>
      </c>
      <c r="G146" s="180" t="str">
        <f>IF(Formulario!C154&lt;&gt;"",IF(Formulario!C154=" ","Falta Depto",IF(H146=".","Error En Descripción",Formulario!C154)),IF(H146=".",".","Falta Datos"))</f>
        <v>.</v>
      </c>
      <c r="H146" s="144" t="str">
        <f>IF(Formulario!D154&lt;&gt;"",IF(Formulario!D154=" ",".",Formulario!D154),".")</f>
        <v>.</v>
      </c>
      <c r="I146" s="144" t="str">
        <f>IF(Formulario!E154&lt;&gt;"",IF(Formulario!E154=" "," ",Formulario!E154),IF(G146=".",".","Falta Propietario"))</f>
        <v>.</v>
      </c>
      <c r="J146" s="144" t="str">
        <f>IF(Formulario!F154&lt;&gt;"",IF(Formulario!F154=" "," ",Formulario!F154)," ")</f>
        <v xml:space="preserve"> </v>
      </c>
      <c r="K146" s="144" t="str">
        <f>IF(Formulario!G154&lt;&gt;"",IF(Formulario!G154=" "," ",Formulario!G154)," ")</f>
        <v xml:space="preserve"> </v>
      </c>
      <c r="L146" s="144" t="str">
        <f>IF(Formulario!H154&lt;&gt;"",IF(Formulario!H154=" "," ",Formulario!H154)," ")</f>
        <v xml:space="preserve"> </v>
      </c>
      <c r="M146" s="144" t="str">
        <f>IF(Formulario!I154&lt;&gt;"",IF(Formulario!I154=" "," ",Formulario!I154)," ")</f>
        <v xml:space="preserve"> </v>
      </c>
      <c r="N146" s="145" t="str">
        <f>IF(Formulario!J154&lt;&gt;"",IF(Formulario!J154=" "," ",Formulario!J154),IF(G146=".",".","Falta Fecha"))</f>
        <v>.</v>
      </c>
      <c r="O146" s="155">
        <f>Formulario!L154</f>
        <v>0</v>
      </c>
      <c r="P146" s="146">
        <f>IF(O146=1,"09:00",Formulario!M154)</f>
        <v>0</v>
      </c>
      <c r="Q146" s="146">
        <f>IF(O146=1,"18:30",Formulario!N154)</f>
        <v>0</v>
      </c>
      <c r="R146" s="146" t="str">
        <f>IF(Formulario!O154&lt;&gt;"",IF(Formulario!O154=" ",".",Formulario!O154),".")</f>
        <v>Post Venta</v>
      </c>
      <c r="S146" s="141" t="s">
        <v>131</v>
      </c>
    </row>
    <row r="147" spans="1:19">
      <c r="A147" s="141">
        <f>Formulario!B155</f>
        <v>0</v>
      </c>
      <c r="B147" s="144" t="str">
        <f>IF(G147="."," ",Formulario!D$5)</f>
        <v xml:space="preserve"> </v>
      </c>
      <c r="C147" s="144" t="str">
        <f>IF(G147=".","",Formulario!D$6)</f>
        <v/>
      </c>
      <c r="D147" s="144" t="str">
        <f>IF(H147=".","",Formulario!D$7)</f>
        <v/>
      </c>
      <c r="E147" s="144" t="str">
        <f>IF(G147=".","",Formulario!J$5)</f>
        <v/>
      </c>
      <c r="F147" s="145" t="str">
        <f>IF(G147=".","",Formulario!J$6)</f>
        <v/>
      </c>
      <c r="G147" s="180" t="str">
        <f>IF(Formulario!C155&lt;&gt;"",IF(Formulario!C155=" ","Falta Depto",IF(H147=".","Error En Descripción",Formulario!C155)),IF(H147=".",".","Falta Datos"))</f>
        <v>.</v>
      </c>
      <c r="H147" s="144" t="str">
        <f>IF(Formulario!D155&lt;&gt;"",IF(Formulario!D155=" ",".",Formulario!D155),".")</f>
        <v>.</v>
      </c>
      <c r="I147" s="144" t="str">
        <f>IF(Formulario!E155&lt;&gt;"",IF(Formulario!E155=" "," ",Formulario!E155),IF(G147=".",".","Falta Propietario"))</f>
        <v>.</v>
      </c>
      <c r="J147" s="144" t="str">
        <f>IF(Formulario!F155&lt;&gt;"",IF(Formulario!F155=" "," ",Formulario!F155)," ")</f>
        <v xml:space="preserve"> </v>
      </c>
      <c r="K147" s="144" t="str">
        <f>IF(Formulario!G155&lt;&gt;"",IF(Formulario!G155=" "," ",Formulario!G155)," ")</f>
        <v xml:space="preserve"> </v>
      </c>
      <c r="L147" s="144" t="str">
        <f>IF(Formulario!H155&lt;&gt;"",IF(Formulario!H155=" "," ",Formulario!H155)," ")</f>
        <v xml:space="preserve"> </v>
      </c>
      <c r="M147" s="144" t="str">
        <f>IF(Formulario!I155&lt;&gt;"",IF(Formulario!I155=" "," ",Formulario!I155)," ")</f>
        <v xml:space="preserve"> </v>
      </c>
      <c r="N147" s="145" t="str">
        <f>IF(Formulario!J155&lt;&gt;"",IF(Formulario!J155=" "," ",Formulario!J155),IF(G147=".",".","Falta Fecha"))</f>
        <v>.</v>
      </c>
      <c r="O147" s="155">
        <f>Formulario!L155</f>
        <v>0</v>
      </c>
      <c r="P147" s="146">
        <f>IF(O147=1,"09:00",Formulario!M155)</f>
        <v>0</v>
      </c>
      <c r="Q147" s="146">
        <f>IF(O147=1,"18:30",Formulario!N155)</f>
        <v>0</v>
      </c>
      <c r="R147" s="146" t="str">
        <f>IF(Formulario!O155&lt;&gt;"",IF(Formulario!O155=" ",".",Formulario!O155),".")</f>
        <v>Post Venta</v>
      </c>
      <c r="S147" s="141" t="s">
        <v>131</v>
      </c>
    </row>
    <row r="148" spans="1:19">
      <c r="A148" s="141">
        <f>Formulario!B156</f>
        <v>0</v>
      </c>
      <c r="B148" s="144" t="str">
        <f>IF(G148="."," ",Formulario!D$5)</f>
        <v xml:space="preserve"> </v>
      </c>
      <c r="C148" s="144" t="str">
        <f>IF(G148=".","",Formulario!D$6)</f>
        <v/>
      </c>
      <c r="D148" s="144" t="str">
        <f>IF(H148=".","",Formulario!D$7)</f>
        <v/>
      </c>
      <c r="E148" s="144" t="str">
        <f>IF(G148=".","",Formulario!J$5)</f>
        <v/>
      </c>
      <c r="F148" s="145" t="str">
        <f>IF(G148=".","",Formulario!J$6)</f>
        <v/>
      </c>
      <c r="G148" s="180" t="str">
        <f>IF(Formulario!C156&lt;&gt;"",IF(Formulario!C156=" ","Falta Depto",IF(H148=".","Error En Descripción",Formulario!C156)),IF(H148=".",".","Falta Datos"))</f>
        <v>.</v>
      </c>
      <c r="H148" s="144" t="str">
        <f>IF(Formulario!D156&lt;&gt;"",IF(Formulario!D156=" ",".",Formulario!D156),".")</f>
        <v>.</v>
      </c>
      <c r="I148" s="144" t="str">
        <f>IF(Formulario!E156&lt;&gt;"",IF(Formulario!E156=" "," ",Formulario!E156),IF(G148=".",".","Falta Propietario"))</f>
        <v>.</v>
      </c>
      <c r="J148" s="144" t="str">
        <f>IF(Formulario!F156&lt;&gt;"",IF(Formulario!F156=" "," ",Formulario!F156)," ")</f>
        <v xml:space="preserve"> </v>
      </c>
      <c r="K148" s="144" t="str">
        <f>IF(Formulario!G156&lt;&gt;"",IF(Formulario!G156=" "," ",Formulario!G156)," ")</f>
        <v xml:space="preserve"> </v>
      </c>
      <c r="L148" s="144" t="str">
        <f>IF(Formulario!H156&lt;&gt;"",IF(Formulario!H156=" "," ",Formulario!H156)," ")</f>
        <v xml:space="preserve"> </v>
      </c>
      <c r="M148" s="144" t="str">
        <f>IF(Formulario!I156&lt;&gt;"",IF(Formulario!I156=" "," ",Formulario!I156)," ")</f>
        <v xml:space="preserve"> </v>
      </c>
      <c r="N148" s="145" t="str">
        <f>IF(Formulario!J156&lt;&gt;"",IF(Formulario!J156=" "," ",Formulario!J156),IF(G148=".",".","Falta Fecha"))</f>
        <v>.</v>
      </c>
      <c r="O148" s="155">
        <f>Formulario!L156</f>
        <v>0</v>
      </c>
      <c r="P148" s="146">
        <f>IF(O148=1,"09:00",Formulario!M156)</f>
        <v>0</v>
      </c>
      <c r="Q148" s="146">
        <f>IF(O148=1,"18:30",Formulario!N156)</f>
        <v>0</v>
      </c>
      <c r="R148" s="146" t="str">
        <f>IF(Formulario!O156&lt;&gt;"",IF(Formulario!O156=" ",".",Formulario!O156),".")</f>
        <v>Post Venta</v>
      </c>
      <c r="S148" s="141" t="s">
        <v>131</v>
      </c>
    </row>
    <row r="149" spans="1:19">
      <c r="A149" s="141">
        <f>Formulario!B157</f>
        <v>0</v>
      </c>
      <c r="B149" s="144" t="str">
        <f>IF(G149="."," ",Formulario!D$5)</f>
        <v xml:space="preserve"> </v>
      </c>
      <c r="C149" s="144" t="str">
        <f>IF(G149=".","",Formulario!D$6)</f>
        <v/>
      </c>
      <c r="D149" s="144" t="str">
        <f>IF(H149=".","",Formulario!D$7)</f>
        <v/>
      </c>
      <c r="E149" s="144" t="str">
        <f>IF(G149=".","",Formulario!J$5)</f>
        <v/>
      </c>
      <c r="F149" s="145" t="str">
        <f>IF(G149=".","",Formulario!J$6)</f>
        <v/>
      </c>
      <c r="G149" s="180" t="str">
        <f>IF(Formulario!C157&lt;&gt;"",IF(Formulario!C157=" ","Falta Depto",IF(H149=".","Error En Descripción",Formulario!C157)),IF(H149=".",".","Falta Datos"))</f>
        <v>.</v>
      </c>
      <c r="H149" s="144" t="str">
        <f>IF(Formulario!D157&lt;&gt;"",IF(Formulario!D157=" ",".",Formulario!D157),".")</f>
        <v>.</v>
      </c>
      <c r="I149" s="144" t="str">
        <f>IF(Formulario!E157&lt;&gt;"",IF(Formulario!E157=" "," ",Formulario!E157),IF(G149=".",".","Falta Propietario"))</f>
        <v>.</v>
      </c>
      <c r="J149" s="144" t="str">
        <f>IF(Formulario!F157&lt;&gt;"",IF(Formulario!F157=" "," ",Formulario!F157)," ")</f>
        <v xml:space="preserve"> </v>
      </c>
      <c r="K149" s="144" t="str">
        <f>IF(Formulario!G157&lt;&gt;"",IF(Formulario!G157=" "," ",Formulario!G157)," ")</f>
        <v xml:space="preserve"> </v>
      </c>
      <c r="L149" s="144" t="str">
        <f>IF(Formulario!H157&lt;&gt;"",IF(Formulario!H157=" "," ",Formulario!H157)," ")</f>
        <v xml:space="preserve"> </v>
      </c>
      <c r="M149" s="144" t="str">
        <f>IF(Formulario!I157&lt;&gt;"",IF(Formulario!I157=" "," ",Formulario!I157)," ")</f>
        <v xml:space="preserve"> </v>
      </c>
      <c r="N149" s="145" t="str">
        <f>IF(Formulario!J157&lt;&gt;"",IF(Formulario!J157=" "," ",Formulario!J157),IF(G149=".",".","Falta Fecha"))</f>
        <v>.</v>
      </c>
      <c r="O149" s="155">
        <f>Formulario!L157</f>
        <v>0</v>
      </c>
      <c r="P149" s="146">
        <f>IF(O149=1,"09:00",Formulario!M157)</f>
        <v>0</v>
      </c>
      <c r="Q149" s="146">
        <f>IF(O149=1,"18:30",Formulario!N157)</f>
        <v>0</v>
      </c>
      <c r="R149" s="146" t="str">
        <f>IF(Formulario!O157&lt;&gt;"",IF(Formulario!O157=" ",".",Formulario!O157),".")</f>
        <v>Post Venta</v>
      </c>
      <c r="S149" s="141" t="s">
        <v>131</v>
      </c>
    </row>
    <row r="150" spans="1:19">
      <c r="A150" s="141">
        <f>Formulario!B158</f>
        <v>0</v>
      </c>
      <c r="B150" s="144" t="str">
        <f>IF(G150="."," ",Formulario!D$5)</f>
        <v xml:space="preserve"> </v>
      </c>
      <c r="C150" s="144" t="str">
        <f>IF(G150=".","",Formulario!D$6)</f>
        <v/>
      </c>
      <c r="D150" s="144" t="str">
        <f>IF(H150=".","",Formulario!D$7)</f>
        <v/>
      </c>
      <c r="E150" s="144" t="str">
        <f>IF(G150=".","",Formulario!J$5)</f>
        <v/>
      </c>
      <c r="F150" s="145" t="str">
        <f>IF(G150=".","",Formulario!J$6)</f>
        <v/>
      </c>
      <c r="G150" s="180" t="str">
        <f>IF(Formulario!C158&lt;&gt;"",IF(Formulario!C158=" ","Falta Depto",IF(H150=".","Error En Descripción",Formulario!C158)),IF(H150=".",".","Falta Datos"))</f>
        <v>.</v>
      </c>
      <c r="H150" s="144" t="str">
        <f>IF(Formulario!D158&lt;&gt;"",IF(Formulario!D158=" ",".",Formulario!D158),".")</f>
        <v>.</v>
      </c>
      <c r="I150" s="144" t="str">
        <f>IF(Formulario!E158&lt;&gt;"",IF(Formulario!E158=" "," ",Formulario!E158),IF(G150=".",".","Falta Propietario"))</f>
        <v>.</v>
      </c>
      <c r="J150" s="144" t="str">
        <f>IF(Formulario!F158&lt;&gt;"",IF(Formulario!F158=" "," ",Formulario!F158)," ")</f>
        <v xml:space="preserve"> </v>
      </c>
      <c r="K150" s="144" t="str">
        <f>IF(Formulario!G158&lt;&gt;"",IF(Formulario!G158=" "," ",Formulario!G158)," ")</f>
        <v xml:space="preserve"> </v>
      </c>
      <c r="L150" s="144" t="str">
        <f>IF(Formulario!H158&lt;&gt;"",IF(Formulario!H158=" "," ",Formulario!H158)," ")</f>
        <v xml:space="preserve"> </v>
      </c>
      <c r="M150" s="144" t="str">
        <f>IF(Formulario!I158&lt;&gt;"",IF(Formulario!I158=" "," ",Formulario!I158)," ")</f>
        <v xml:space="preserve"> </v>
      </c>
      <c r="N150" s="145" t="str">
        <f>IF(Formulario!J158&lt;&gt;"",IF(Formulario!J158=" "," ",Formulario!J158),IF(G150=".",".","Falta Fecha"))</f>
        <v>.</v>
      </c>
      <c r="O150" s="155">
        <f>Formulario!L158</f>
        <v>0</v>
      </c>
      <c r="P150" s="146">
        <f>IF(O150=1,"09:00",Formulario!M158)</f>
        <v>0</v>
      </c>
      <c r="Q150" s="146">
        <f>IF(O150=1,"18:30",Formulario!N158)</f>
        <v>0</v>
      </c>
      <c r="R150" s="146" t="str">
        <f>IF(Formulario!O158&lt;&gt;"",IF(Formulario!O158=" ",".",Formulario!O158),".")</f>
        <v>Post Venta</v>
      </c>
      <c r="S150" s="141" t="s">
        <v>131</v>
      </c>
    </row>
    <row r="151" spans="1:19">
      <c r="A151" s="141">
        <f>Formulario!B159</f>
        <v>0</v>
      </c>
      <c r="B151" s="144" t="str">
        <f>IF(G151="."," ",Formulario!D$5)</f>
        <v xml:space="preserve"> </v>
      </c>
      <c r="C151" s="144" t="str">
        <f>IF(G151=".","",Formulario!D$6)</f>
        <v/>
      </c>
      <c r="D151" s="144" t="str">
        <f>IF(H151=".","",Formulario!D$7)</f>
        <v/>
      </c>
      <c r="E151" s="144" t="str">
        <f>IF(G151=".","",Formulario!J$5)</f>
        <v/>
      </c>
      <c r="F151" s="145" t="str">
        <f>IF(G151=".","",Formulario!J$6)</f>
        <v/>
      </c>
      <c r="G151" s="180" t="str">
        <f>IF(Formulario!C159&lt;&gt;"",IF(Formulario!C159=" ","Falta Depto",IF(H151=".","Error En Descripción",Formulario!C159)),IF(H151=".",".","Falta Datos"))</f>
        <v>.</v>
      </c>
      <c r="H151" s="144" t="str">
        <f>IF(Formulario!D159&lt;&gt;"",IF(Formulario!D159=" ",".",Formulario!D159),".")</f>
        <v>.</v>
      </c>
      <c r="I151" s="144" t="str">
        <f>IF(Formulario!E159&lt;&gt;"",IF(Formulario!E159=" "," ",Formulario!E159),IF(G151=".",".","Falta Propietario"))</f>
        <v>.</v>
      </c>
      <c r="J151" s="144" t="str">
        <f>IF(Formulario!F159&lt;&gt;"",IF(Formulario!F159=" "," ",Formulario!F159)," ")</f>
        <v xml:space="preserve"> </v>
      </c>
      <c r="K151" s="144" t="str">
        <f>IF(Formulario!G159&lt;&gt;"",IF(Formulario!G159=" "," ",Formulario!G159)," ")</f>
        <v xml:space="preserve"> </v>
      </c>
      <c r="L151" s="144" t="str">
        <f>IF(Formulario!H159&lt;&gt;"",IF(Formulario!H159=" "," ",Formulario!H159)," ")</f>
        <v xml:space="preserve"> </v>
      </c>
      <c r="M151" s="144" t="str">
        <f>IF(Formulario!I159&lt;&gt;"",IF(Formulario!I159=" "," ",Formulario!I159)," ")</f>
        <v xml:space="preserve"> </v>
      </c>
      <c r="N151" s="145" t="str">
        <f>IF(Formulario!J159&lt;&gt;"",IF(Formulario!J159=" "," ",Formulario!J159),IF(G151=".",".","Falta Fecha"))</f>
        <v>.</v>
      </c>
      <c r="O151" s="155">
        <f>Formulario!L159</f>
        <v>0</v>
      </c>
      <c r="P151" s="146">
        <f>IF(O151=1,"09:00",Formulario!M159)</f>
        <v>0</v>
      </c>
      <c r="Q151" s="146">
        <f>IF(O151=1,"18:30",Formulario!N159)</f>
        <v>0</v>
      </c>
      <c r="R151" s="146" t="str">
        <f>IF(Formulario!O159&lt;&gt;"",IF(Formulario!O159=" ",".",Formulario!O159),".")</f>
        <v>Post Venta</v>
      </c>
      <c r="S151" s="141" t="s">
        <v>131</v>
      </c>
    </row>
    <row r="152" spans="1:19">
      <c r="A152" s="141">
        <f>Formulario!B160</f>
        <v>0</v>
      </c>
      <c r="B152" s="144" t="str">
        <f>IF(G152="."," ",Formulario!D$5)</f>
        <v xml:space="preserve"> </v>
      </c>
      <c r="C152" s="144" t="str">
        <f>IF(G152=".","",Formulario!D$6)</f>
        <v/>
      </c>
      <c r="D152" s="144" t="str">
        <f>IF(H152=".","",Formulario!D$7)</f>
        <v/>
      </c>
      <c r="E152" s="144" t="str">
        <f>IF(G152=".","",Formulario!J$5)</f>
        <v/>
      </c>
      <c r="F152" s="145" t="str">
        <f>IF(G152=".","",Formulario!J$6)</f>
        <v/>
      </c>
      <c r="G152" s="180" t="str">
        <f>IF(Formulario!C160&lt;&gt;"",IF(Formulario!C160=" ","Falta Depto",IF(H152=".","Error En Descripción",Formulario!C160)),IF(H152=".",".","Falta Datos"))</f>
        <v>.</v>
      </c>
      <c r="H152" s="144" t="str">
        <f>IF(Formulario!D160&lt;&gt;"",IF(Formulario!D160=" ",".",Formulario!D160),".")</f>
        <v>.</v>
      </c>
      <c r="I152" s="144" t="str">
        <f>IF(Formulario!E160&lt;&gt;"",IF(Formulario!E160=" "," ",Formulario!E160),IF(G152=".",".","Falta Propietario"))</f>
        <v>.</v>
      </c>
      <c r="J152" s="144" t="str">
        <f>IF(Formulario!F160&lt;&gt;"",IF(Formulario!F160=" "," ",Formulario!F160)," ")</f>
        <v xml:space="preserve"> </v>
      </c>
      <c r="K152" s="144" t="str">
        <f>IF(Formulario!G160&lt;&gt;"",IF(Formulario!G160=" "," ",Formulario!G160)," ")</f>
        <v xml:space="preserve"> </v>
      </c>
      <c r="L152" s="144" t="str">
        <f>IF(Formulario!H160&lt;&gt;"",IF(Formulario!H160=" "," ",Formulario!H160)," ")</f>
        <v xml:space="preserve"> </v>
      </c>
      <c r="M152" s="144" t="str">
        <f>IF(Formulario!I160&lt;&gt;"",IF(Formulario!I160=" "," ",Formulario!I160)," ")</f>
        <v xml:space="preserve"> </v>
      </c>
      <c r="N152" s="145" t="str">
        <f>IF(Formulario!J160&lt;&gt;"",IF(Formulario!J160=" "," ",Formulario!J160),IF(G152=".",".","Falta Fecha"))</f>
        <v>.</v>
      </c>
      <c r="O152" s="155">
        <f>Formulario!L160</f>
        <v>0</v>
      </c>
      <c r="P152" s="146">
        <f>IF(O152=1,"09:00",Formulario!M160)</f>
        <v>0</v>
      </c>
      <c r="Q152" s="146">
        <f>IF(O152=1,"18:30",Formulario!N160)</f>
        <v>0</v>
      </c>
      <c r="R152" s="146" t="str">
        <f>IF(Formulario!O160&lt;&gt;"",IF(Formulario!O160=" ",".",Formulario!O160),".")</f>
        <v>Post Venta</v>
      </c>
      <c r="S152" s="141" t="s">
        <v>131</v>
      </c>
    </row>
    <row r="153" spans="1:19">
      <c r="A153" s="141">
        <f>Formulario!B161</f>
        <v>0</v>
      </c>
      <c r="B153" s="144" t="str">
        <f>IF(G153="."," ",Formulario!D$5)</f>
        <v xml:space="preserve"> </v>
      </c>
      <c r="C153" s="144" t="str">
        <f>IF(G153=".","",Formulario!D$6)</f>
        <v/>
      </c>
      <c r="D153" s="144" t="str">
        <f>IF(H153=".","",Formulario!D$7)</f>
        <v/>
      </c>
      <c r="E153" s="144" t="str">
        <f>IF(G153=".","",Formulario!J$5)</f>
        <v/>
      </c>
      <c r="F153" s="145" t="str">
        <f>IF(G153=".","",Formulario!J$6)</f>
        <v/>
      </c>
      <c r="G153" s="180" t="str">
        <f>IF(Formulario!C161&lt;&gt;"",IF(Formulario!C161=" ","Falta Depto",IF(H153=".","Error En Descripción",Formulario!C161)),IF(H153=".",".","Falta Datos"))</f>
        <v>.</v>
      </c>
      <c r="H153" s="144" t="str">
        <f>IF(Formulario!D161&lt;&gt;"",IF(Formulario!D161=" ",".",Formulario!D161),".")</f>
        <v>.</v>
      </c>
      <c r="I153" s="144" t="str">
        <f>IF(Formulario!E161&lt;&gt;"",IF(Formulario!E161=" "," ",Formulario!E161),IF(G153=".",".","Falta Propietario"))</f>
        <v>.</v>
      </c>
      <c r="J153" s="144" t="str">
        <f>IF(Formulario!F161&lt;&gt;"",IF(Formulario!F161=" "," ",Formulario!F161)," ")</f>
        <v xml:space="preserve"> </v>
      </c>
      <c r="K153" s="144" t="str">
        <f>IF(Formulario!G161&lt;&gt;"",IF(Formulario!G161=" "," ",Formulario!G161)," ")</f>
        <v xml:space="preserve"> </v>
      </c>
      <c r="L153" s="144" t="str">
        <f>IF(Formulario!H161&lt;&gt;"",IF(Formulario!H161=" "," ",Formulario!H161)," ")</f>
        <v xml:space="preserve"> </v>
      </c>
      <c r="M153" s="144" t="str">
        <f>IF(Formulario!I161&lt;&gt;"",IF(Formulario!I161=" "," ",Formulario!I161)," ")</f>
        <v xml:space="preserve"> </v>
      </c>
      <c r="N153" s="145" t="str">
        <f>IF(Formulario!J161&lt;&gt;"",IF(Formulario!J161=" "," ",Formulario!J161),IF(G153=".",".","Falta Fecha"))</f>
        <v>.</v>
      </c>
      <c r="O153" s="155">
        <f>Formulario!L161</f>
        <v>0</v>
      </c>
      <c r="P153" s="146">
        <f>IF(O153=1,"09:00",Formulario!M161)</f>
        <v>0</v>
      </c>
      <c r="Q153" s="146">
        <f>IF(O153=1,"18:30",Formulario!N161)</f>
        <v>0</v>
      </c>
      <c r="R153" s="146" t="str">
        <f>IF(Formulario!O161&lt;&gt;"",IF(Formulario!O161=" ",".",Formulario!O161),".")</f>
        <v>Post Venta</v>
      </c>
      <c r="S153" s="141" t="s">
        <v>131</v>
      </c>
    </row>
    <row r="154" spans="1:19">
      <c r="A154" s="141">
        <f>Formulario!B162</f>
        <v>0</v>
      </c>
      <c r="B154" s="144" t="str">
        <f>IF(G154="."," ",Formulario!D$5)</f>
        <v xml:space="preserve"> </v>
      </c>
      <c r="C154" s="144" t="str">
        <f>IF(G154=".","",Formulario!D$6)</f>
        <v/>
      </c>
      <c r="D154" s="144" t="str">
        <f>IF(H154=".","",Formulario!D$7)</f>
        <v/>
      </c>
      <c r="E154" s="144" t="str">
        <f>IF(G154=".","",Formulario!J$5)</f>
        <v/>
      </c>
      <c r="F154" s="145" t="str">
        <f>IF(G154=".","",Formulario!J$6)</f>
        <v/>
      </c>
      <c r="G154" s="180" t="str">
        <f>IF(Formulario!C162&lt;&gt;"",IF(Formulario!C162=" ","Falta Depto",IF(H154=".","Error En Descripción",Formulario!C162)),IF(H154=".",".","Falta Datos"))</f>
        <v>.</v>
      </c>
      <c r="H154" s="144" t="str">
        <f>IF(Formulario!D162&lt;&gt;"",IF(Formulario!D162=" ",".",Formulario!D162),".")</f>
        <v>.</v>
      </c>
      <c r="I154" s="144" t="str">
        <f>IF(Formulario!E162&lt;&gt;"",IF(Formulario!E162=" "," ",Formulario!E162),IF(G154=".",".","Falta Propietario"))</f>
        <v>.</v>
      </c>
      <c r="J154" s="144" t="str">
        <f>IF(Formulario!F162&lt;&gt;"",IF(Formulario!F162=" "," ",Formulario!F162)," ")</f>
        <v xml:space="preserve"> </v>
      </c>
      <c r="K154" s="144" t="str">
        <f>IF(Formulario!G162&lt;&gt;"",IF(Formulario!G162=" "," ",Formulario!G162)," ")</f>
        <v xml:space="preserve"> </v>
      </c>
      <c r="L154" s="144" t="str">
        <f>IF(Formulario!H162&lt;&gt;"",IF(Formulario!H162=" "," ",Formulario!H162)," ")</f>
        <v xml:space="preserve"> </v>
      </c>
      <c r="M154" s="144" t="str">
        <f>IF(Formulario!I162&lt;&gt;"",IF(Formulario!I162=" "," ",Formulario!I162)," ")</f>
        <v xml:space="preserve"> </v>
      </c>
      <c r="N154" s="145" t="str">
        <f>IF(Formulario!J162&lt;&gt;"",IF(Formulario!J162=" "," ",Formulario!J162),IF(G154=".",".","Falta Fecha"))</f>
        <v>.</v>
      </c>
      <c r="O154" s="155">
        <f>Formulario!L162</f>
        <v>0</v>
      </c>
      <c r="P154" s="146">
        <f>IF(O154=1,"09:00",Formulario!M162)</f>
        <v>0</v>
      </c>
      <c r="Q154" s="146">
        <f>IF(O154=1,"18:30",Formulario!N162)</f>
        <v>0</v>
      </c>
      <c r="R154" s="146" t="str">
        <f>IF(Formulario!O162&lt;&gt;"",IF(Formulario!O162=" ",".",Formulario!O162),".")</f>
        <v>Post Venta</v>
      </c>
      <c r="S154" s="141" t="s">
        <v>131</v>
      </c>
    </row>
    <row r="155" spans="1:19">
      <c r="A155" s="141">
        <f>Formulario!B163</f>
        <v>0</v>
      </c>
      <c r="B155" s="144" t="str">
        <f>IF(G155="."," ",Formulario!D$5)</f>
        <v xml:space="preserve"> </v>
      </c>
      <c r="C155" s="144" t="str">
        <f>IF(G155=".","",Formulario!D$6)</f>
        <v/>
      </c>
      <c r="D155" s="144" t="str">
        <f>IF(H155=".","",Formulario!D$7)</f>
        <v/>
      </c>
      <c r="E155" s="144" t="str">
        <f>IF(G155=".","",Formulario!J$5)</f>
        <v/>
      </c>
      <c r="F155" s="145" t="str">
        <f>IF(G155=".","",Formulario!J$6)</f>
        <v/>
      </c>
      <c r="G155" s="180" t="str">
        <f>IF(Formulario!C163&lt;&gt;"",IF(Formulario!C163=" ","Falta Depto",IF(H155=".","Error En Descripción",Formulario!C163)),IF(H155=".",".","Falta Datos"))</f>
        <v>.</v>
      </c>
      <c r="H155" s="144" t="str">
        <f>IF(Formulario!D163&lt;&gt;"",IF(Formulario!D163=" ",".",Formulario!D163),".")</f>
        <v>.</v>
      </c>
      <c r="I155" s="144" t="str">
        <f>IF(Formulario!E163&lt;&gt;"",IF(Formulario!E163=" "," ",Formulario!E163),IF(G155=".",".","Falta Propietario"))</f>
        <v>.</v>
      </c>
      <c r="J155" s="144" t="str">
        <f>IF(Formulario!F163&lt;&gt;"",IF(Formulario!F163=" "," ",Formulario!F163)," ")</f>
        <v xml:space="preserve"> </v>
      </c>
      <c r="K155" s="144" t="str">
        <f>IF(Formulario!G163&lt;&gt;"",IF(Formulario!G163=" "," ",Formulario!G163)," ")</f>
        <v xml:space="preserve"> </v>
      </c>
      <c r="L155" s="144" t="str">
        <f>IF(Formulario!H163&lt;&gt;"",IF(Formulario!H163=" "," ",Formulario!H163)," ")</f>
        <v xml:space="preserve"> </v>
      </c>
      <c r="M155" s="144" t="str">
        <f>IF(Formulario!I163&lt;&gt;"",IF(Formulario!I163=" "," ",Formulario!I163)," ")</f>
        <v xml:space="preserve"> </v>
      </c>
      <c r="N155" s="145" t="str">
        <f>IF(Formulario!J163&lt;&gt;"",IF(Formulario!J163=" "," ",Formulario!J163),IF(G155=".",".","Falta Fecha"))</f>
        <v>.</v>
      </c>
      <c r="O155" s="155">
        <f>Formulario!L163</f>
        <v>0</v>
      </c>
      <c r="P155" s="146">
        <f>IF(O155=1,"09:00",Formulario!M163)</f>
        <v>0</v>
      </c>
      <c r="Q155" s="146">
        <f>IF(O155=1,"18:30",Formulario!N163)</f>
        <v>0</v>
      </c>
      <c r="R155" s="146" t="str">
        <f>IF(Formulario!O163&lt;&gt;"",IF(Formulario!O163=" ",".",Formulario!O163),".")</f>
        <v>Post Venta</v>
      </c>
      <c r="S155" s="141" t="s">
        <v>131</v>
      </c>
    </row>
    <row r="156" spans="1:19">
      <c r="A156" s="141">
        <f>Formulario!B164</f>
        <v>0</v>
      </c>
      <c r="B156" s="144" t="str">
        <f>IF(G156="."," ",Formulario!D$5)</f>
        <v xml:space="preserve"> </v>
      </c>
      <c r="C156" s="144" t="str">
        <f>IF(G156=".","",Formulario!D$6)</f>
        <v/>
      </c>
      <c r="D156" s="144" t="str">
        <f>IF(H156=".","",Formulario!D$7)</f>
        <v/>
      </c>
      <c r="E156" s="144" t="str">
        <f>IF(G156=".","",Formulario!J$5)</f>
        <v/>
      </c>
      <c r="F156" s="145" t="str">
        <f>IF(G156=".","",Formulario!J$6)</f>
        <v/>
      </c>
      <c r="G156" s="180" t="str">
        <f>IF(Formulario!C164&lt;&gt;"",IF(Formulario!C164=" ","Falta Depto",IF(H156=".","Error En Descripción",Formulario!C164)),IF(H156=".",".","Falta Datos"))</f>
        <v>.</v>
      </c>
      <c r="H156" s="144" t="str">
        <f>IF(Formulario!D164&lt;&gt;"",IF(Formulario!D164=" ",".",Formulario!D164),".")</f>
        <v>.</v>
      </c>
      <c r="I156" s="144" t="str">
        <f>IF(Formulario!E164&lt;&gt;"",IF(Formulario!E164=" "," ",Formulario!E164),IF(G156=".",".","Falta Propietario"))</f>
        <v>.</v>
      </c>
      <c r="J156" s="144" t="str">
        <f>IF(Formulario!F164&lt;&gt;"",IF(Formulario!F164=" "," ",Formulario!F164)," ")</f>
        <v xml:space="preserve"> </v>
      </c>
      <c r="K156" s="144" t="str">
        <f>IF(Formulario!G164&lt;&gt;"",IF(Formulario!G164=" "," ",Formulario!G164)," ")</f>
        <v xml:space="preserve"> </v>
      </c>
      <c r="L156" s="144" t="str">
        <f>IF(Formulario!H164&lt;&gt;"",IF(Formulario!H164=" "," ",Formulario!H164)," ")</f>
        <v xml:space="preserve"> </v>
      </c>
      <c r="M156" s="144" t="str">
        <f>IF(Formulario!I164&lt;&gt;"",IF(Formulario!I164=" "," ",Formulario!I164)," ")</f>
        <v xml:space="preserve"> </v>
      </c>
      <c r="N156" s="145" t="str">
        <f>IF(Formulario!J164&lt;&gt;"",IF(Formulario!J164=" "," ",Formulario!J164),IF(G156=".",".","Falta Fecha"))</f>
        <v>.</v>
      </c>
      <c r="O156" s="155">
        <f>Formulario!L164</f>
        <v>0</v>
      </c>
      <c r="P156" s="146">
        <f>IF(O156=1,"09:00",Formulario!M164)</f>
        <v>0</v>
      </c>
      <c r="Q156" s="146">
        <f>IF(O156=1,"18:30",Formulario!N164)</f>
        <v>0</v>
      </c>
      <c r="R156" s="146" t="str">
        <f>IF(Formulario!O164&lt;&gt;"",IF(Formulario!O164=" ",".",Formulario!O164),".")</f>
        <v>Post Venta</v>
      </c>
      <c r="S156" s="141" t="s">
        <v>131</v>
      </c>
    </row>
    <row r="157" spans="1:19">
      <c r="A157" s="141">
        <f>Formulario!B165</f>
        <v>0</v>
      </c>
      <c r="B157" s="144" t="str">
        <f>IF(G157="."," ",Formulario!D$5)</f>
        <v xml:space="preserve"> </v>
      </c>
      <c r="C157" s="144" t="str">
        <f>IF(G157=".","",Formulario!D$6)</f>
        <v/>
      </c>
      <c r="D157" s="144" t="str">
        <f>IF(H157=".","",Formulario!D$7)</f>
        <v/>
      </c>
      <c r="E157" s="144" t="str">
        <f>IF(G157=".","",Formulario!J$5)</f>
        <v/>
      </c>
      <c r="F157" s="145" t="str">
        <f>IF(G157=".","",Formulario!J$6)</f>
        <v/>
      </c>
      <c r="G157" s="180" t="str">
        <f>IF(Formulario!C165&lt;&gt;"",IF(Formulario!C165=" ","Falta Depto",IF(H157=".","Error En Descripción",Formulario!C165)),IF(H157=".",".","Falta Datos"))</f>
        <v>.</v>
      </c>
      <c r="H157" s="144" t="str">
        <f>IF(Formulario!D165&lt;&gt;"",IF(Formulario!D165=" ",".",Formulario!D165),".")</f>
        <v>.</v>
      </c>
      <c r="I157" s="144" t="str">
        <f>IF(Formulario!E165&lt;&gt;"",IF(Formulario!E165=" "," ",Formulario!E165),IF(G157=".",".","Falta Propietario"))</f>
        <v>.</v>
      </c>
      <c r="J157" s="144" t="str">
        <f>IF(Formulario!F165&lt;&gt;"",IF(Formulario!F165=" "," ",Formulario!F165)," ")</f>
        <v xml:space="preserve"> </v>
      </c>
      <c r="K157" s="144" t="str">
        <f>IF(Formulario!G165&lt;&gt;"",IF(Formulario!G165=" "," ",Formulario!G165)," ")</f>
        <v xml:space="preserve"> </v>
      </c>
      <c r="L157" s="144" t="str">
        <f>IF(Formulario!H165&lt;&gt;"",IF(Formulario!H165=" "," ",Formulario!H165)," ")</f>
        <v xml:space="preserve"> </v>
      </c>
      <c r="M157" s="144" t="str">
        <f>IF(Formulario!I165&lt;&gt;"",IF(Formulario!I165=" "," ",Formulario!I165)," ")</f>
        <v xml:space="preserve"> </v>
      </c>
      <c r="N157" s="145" t="str">
        <f>IF(Formulario!J165&lt;&gt;"",IF(Formulario!J165=" "," ",Formulario!J165),IF(G157=".",".","Falta Fecha"))</f>
        <v>.</v>
      </c>
      <c r="O157" s="155">
        <f>Formulario!L165</f>
        <v>0</v>
      </c>
      <c r="P157" s="146">
        <f>IF(O157=1,"09:00",Formulario!M165)</f>
        <v>0</v>
      </c>
      <c r="Q157" s="146">
        <f>IF(O157=1,"18:30",Formulario!N165)</f>
        <v>0</v>
      </c>
      <c r="R157" s="146" t="str">
        <f>IF(Formulario!O165&lt;&gt;"",IF(Formulario!O165=" ",".",Formulario!O165),".")</f>
        <v>Post Venta</v>
      </c>
      <c r="S157" s="141" t="s">
        <v>131</v>
      </c>
    </row>
    <row r="158" spans="1:19">
      <c r="A158" s="141">
        <f>Formulario!B166</f>
        <v>0</v>
      </c>
      <c r="B158" s="144" t="str">
        <f>IF(G158="."," ",Formulario!D$5)</f>
        <v xml:space="preserve"> </v>
      </c>
      <c r="C158" s="144" t="str">
        <f>IF(G158=".","",Formulario!D$6)</f>
        <v/>
      </c>
      <c r="D158" s="144" t="str">
        <f>IF(H158=".","",Formulario!D$7)</f>
        <v/>
      </c>
      <c r="E158" s="144" t="str">
        <f>IF(G158=".","",Formulario!J$5)</f>
        <v/>
      </c>
      <c r="F158" s="145" t="str">
        <f>IF(G158=".","",Formulario!J$6)</f>
        <v/>
      </c>
      <c r="G158" s="180" t="str">
        <f>IF(Formulario!C166&lt;&gt;"",IF(Formulario!C166=" ","Falta Depto",IF(H158=".","Error En Descripción",Formulario!C166)),IF(H158=".",".","Falta Datos"))</f>
        <v>.</v>
      </c>
      <c r="H158" s="144" t="str">
        <f>IF(Formulario!D166&lt;&gt;"",IF(Formulario!D166=" ",".",Formulario!D166),".")</f>
        <v>.</v>
      </c>
      <c r="I158" s="144" t="str">
        <f>IF(Formulario!E166&lt;&gt;"",IF(Formulario!E166=" "," ",Formulario!E166),IF(G158=".",".","Falta Propietario"))</f>
        <v>.</v>
      </c>
      <c r="J158" s="144" t="str">
        <f>IF(Formulario!F166&lt;&gt;"",IF(Formulario!F166=" "," ",Formulario!F166)," ")</f>
        <v xml:space="preserve"> </v>
      </c>
      <c r="K158" s="144" t="str">
        <f>IF(Formulario!G166&lt;&gt;"",IF(Formulario!G166=" "," ",Formulario!G166)," ")</f>
        <v xml:space="preserve"> </v>
      </c>
      <c r="L158" s="144" t="str">
        <f>IF(Formulario!H166&lt;&gt;"",IF(Formulario!H166=" "," ",Formulario!H166)," ")</f>
        <v xml:space="preserve"> </v>
      </c>
      <c r="M158" s="144" t="str">
        <f>IF(Formulario!I166&lt;&gt;"",IF(Formulario!I166=" "," ",Formulario!I166)," ")</f>
        <v xml:space="preserve"> </v>
      </c>
      <c r="N158" s="145" t="str">
        <f>IF(Formulario!J166&lt;&gt;"",IF(Formulario!J166=" "," ",Formulario!J166),IF(G158=".",".","Falta Fecha"))</f>
        <v>.</v>
      </c>
      <c r="O158" s="155">
        <f>Formulario!L166</f>
        <v>0</v>
      </c>
      <c r="P158" s="146">
        <f>IF(O158=1,"09:00",Formulario!M166)</f>
        <v>0</v>
      </c>
      <c r="Q158" s="146">
        <f>IF(O158=1,"18:30",Formulario!N166)</f>
        <v>0</v>
      </c>
      <c r="R158" s="146" t="str">
        <f>IF(Formulario!O166&lt;&gt;"",IF(Formulario!O166=" ",".",Formulario!O166),".")</f>
        <v>Post Venta</v>
      </c>
      <c r="S158" s="141" t="s">
        <v>131</v>
      </c>
    </row>
    <row r="159" spans="1:19">
      <c r="A159" s="141">
        <f>Formulario!B167</f>
        <v>0</v>
      </c>
      <c r="B159" s="144" t="str">
        <f>IF(G159="."," ",Formulario!D$5)</f>
        <v xml:space="preserve"> </v>
      </c>
      <c r="C159" s="144" t="str">
        <f>IF(G159=".","",Formulario!D$6)</f>
        <v/>
      </c>
      <c r="D159" s="144" t="str">
        <f>IF(H159=".","",Formulario!D$7)</f>
        <v/>
      </c>
      <c r="E159" s="144" t="str">
        <f>IF(G159=".","",Formulario!J$5)</f>
        <v/>
      </c>
      <c r="F159" s="145" t="str">
        <f>IF(G159=".","",Formulario!J$6)</f>
        <v/>
      </c>
      <c r="G159" s="180" t="str">
        <f>IF(Formulario!C167&lt;&gt;"",IF(Formulario!C167=" ","Falta Depto",IF(H159=".","Error En Descripción",Formulario!C167)),IF(H159=".",".","Falta Datos"))</f>
        <v>.</v>
      </c>
      <c r="H159" s="144" t="str">
        <f>IF(Formulario!D167&lt;&gt;"",IF(Formulario!D167=" ",".",Formulario!D167),".")</f>
        <v>.</v>
      </c>
      <c r="I159" s="144" t="str">
        <f>IF(Formulario!E167&lt;&gt;"",IF(Formulario!E167=" "," ",Formulario!E167),IF(G159=".",".","Falta Propietario"))</f>
        <v>.</v>
      </c>
      <c r="J159" s="144" t="str">
        <f>IF(Formulario!F167&lt;&gt;"",IF(Formulario!F167=" "," ",Formulario!F167)," ")</f>
        <v xml:space="preserve"> </v>
      </c>
      <c r="K159" s="144" t="str">
        <f>IF(Formulario!G167&lt;&gt;"",IF(Formulario!G167=" "," ",Formulario!G167)," ")</f>
        <v xml:space="preserve"> </v>
      </c>
      <c r="L159" s="144" t="str">
        <f>IF(Formulario!H167&lt;&gt;"",IF(Formulario!H167=" "," ",Formulario!H167)," ")</f>
        <v xml:space="preserve"> </v>
      </c>
      <c r="M159" s="144" t="str">
        <f>IF(Formulario!I167&lt;&gt;"",IF(Formulario!I167=" "," ",Formulario!I167)," ")</f>
        <v xml:space="preserve"> </v>
      </c>
      <c r="N159" s="145" t="str">
        <f>IF(Formulario!J167&lt;&gt;"",IF(Formulario!J167=" "," ",Formulario!J167),IF(G159=".",".","Falta Fecha"))</f>
        <v>.</v>
      </c>
      <c r="O159" s="155">
        <f>Formulario!L167</f>
        <v>0</v>
      </c>
      <c r="P159" s="146">
        <f>IF(O159=1,"09:00",Formulario!M167)</f>
        <v>0</v>
      </c>
      <c r="Q159" s="146">
        <f>IF(O159=1,"18:30",Formulario!N167)</f>
        <v>0</v>
      </c>
      <c r="R159" s="146" t="str">
        <f>IF(Formulario!O167&lt;&gt;"",IF(Formulario!O167=" ",".",Formulario!O167),".")</f>
        <v>Post Venta</v>
      </c>
      <c r="S159" s="141" t="s">
        <v>131</v>
      </c>
    </row>
    <row r="160" spans="1:19">
      <c r="A160" s="141">
        <f>Formulario!B168</f>
        <v>0</v>
      </c>
      <c r="B160" s="144" t="str">
        <f>IF(G160="."," ",Formulario!D$5)</f>
        <v xml:space="preserve"> </v>
      </c>
      <c r="C160" s="144" t="str">
        <f>IF(G160=".","",Formulario!D$6)</f>
        <v/>
      </c>
      <c r="D160" s="144" t="str">
        <f>IF(H160=".","",Formulario!D$7)</f>
        <v/>
      </c>
      <c r="E160" s="144" t="str">
        <f>IF(G160=".","",Formulario!J$5)</f>
        <v/>
      </c>
      <c r="F160" s="145" t="str">
        <f>IF(G160=".","",Formulario!J$6)</f>
        <v/>
      </c>
      <c r="G160" s="180" t="str">
        <f>IF(Formulario!C168&lt;&gt;"",IF(Formulario!C168=" ","Falta Depto",IF(H160=".","Error En Descripción",Formulario!C168)),IF(H160=".",".","Falta Datos"))</f>
        <v>.</v>
      </c>
      <c r="H160" s="144" t="str">
        <f>IF(Formulario!D168&lt;&gt;"",IF(Formulario!D168=" ",".",Formulario!D168),".")</f>
        <v>.</v>
      </c>
      <c r="I160" s="144" t="str">
        <f>IF(Formulario!E168&lt;&gt;"",IF(Formulario!E168=" "," ",Formulario!E168),IF(G160=".",".","Falta Propietario"))</f>
        <v>.</v>
      </c>
      <c r="J160" s="144" t="str">
        <f>IF(Formulario!F168&lt;&gt;"",IF(Formulario!F168=" "," ",Formulario!F168)," ")</f>
        <v xml:space="preserve"> </v>
      </c>
      <c r="K160" s="144" t="str">
        <f>IF(Formulario!G168&lt;&gt;"",IF(Formulario!G168=" "," ",Formulario!G168)," ")</f>
        <v xml:space="preserve"> </v>
      </c>
      <c r="L160" s="144" t="str">
        <f>IF(Formulario!H168&lt;&gt;"",IF(Formulario!H168=" "," ",Formulario!H168)," ")</f>
        <v xml:space="preserve"> </v>
      </c>
      <c r="M160" s="144" t="str">
        <f>IF(Formulario!I168&lt;&gt;"",IF(Formulario!I168=" "," ",Formulario!I168)," ")</f>
        <v xml:space="preserve"> </v>
      </c>
      <c r="N160" s="145" t="str">
        <f>IF(Formulario!J168&lt;&gt;"",IF(Formulario!J168=" "," ",Formulario!J168),IF(G160=".",".","Falta Fecha"))</f>
        <v>.</v>
      </c>
      <c r="O160" s="155">
        <f>Formulario!L168</f>
        <v>0</v>
      </c>
      <c r="P160" s="146">
        <f>IF(O160=1,"09:00",Formulario!M168)</f>
        <v>0</v>
      </c>
      <c r="Q160" s="146">
        <f>IF(O160=1,"18:30",Formulario!N168)</f>
        <v>0</v>
      </c>
      <c r="R160" s="146" t="str">
        <f>IF(Formulario!O168&lt;&gt;"",IF(Formulario!O168=" ",".",Formulario!O168),".")</f>
        <v>Post Venta</v>
      </c>
      <c r="S160" s="141" t="s">
        <v>131</v>
      </c>
    </row>
    <row r="161" spans="1:19">
      <c r="A161" s="141">
        <f>Formulario!B169</f>
        <v>0</v>
      </c>
      <c r="B161" s="144" t="str">
        <f>IF(G161="."," ",Formulario!D$5)</f>
        <v xml:space="preserve"> </v>
      </c>
      <c r="C161" s="144" t="str">
        <f>IF(G161=".","",Formulario!D$6)</f>
        <v/>
      </c>
      <c r="D161" s="144" t="str">
        <f>IF(H161=".","",Formulario!D$7)</f>
        <v/>
      </c>
      <c r="E161" s="144" t="str">
        <f>IF(G161=".","",Formulario!J$5)</f>
        <v/>
      </c>
      <c r="F161" s="145" t="str">
        <f>IF(G161=".","",Formulario!J$6)</f>
        <v/>
      </c>
      <c r="G161" s="180" t="str">
        <f>IF(Formulario!C169&lt;&gt;"",IF(Formulario!C169=" ","Falta Depto",IF(H161=".","Error En Descripción",Formulario!C169)),IF(H161=".",".","Falta Datos"))</f>
        <v>.</v>
      </c>
      <c r="H161" s="144" t="str">
        <f>IF(Formulario!D169&lt;&gt;"",IF(Formulario!D169=" ",".",Formulario!D169),".")</f>
        <v>.</v>
      </c>
      <c r="I161" s="144" t="str">
        <f>IF(Formulario!E169&lt;&gt;"",IF(Formulario!E169=" "," ",Formulario!E169),IF(G161=".",".","Falta Propietario"))</f>
        <v>.</v>
      </c>
      <c r="J161" s="144" t="str">
        <f>IF(Formulario!F169&lt;&gt;"",IF(Formulario!F169=" "," ",Formulario!F169)," ")</f>
        <v xml:space="preserve"> </v>
      </c>
      <c r="K161" s="144" t="str">
        <f>IF(Formulario!G169&lt;&gt;"",IF(Formulario!G169=" "," ",Formulario!G169)," ")</f>
        <v xml:space="preserve"> </v>
      </c>
      <c r="L161" s="144" t="str">
        <f>IF(Formulario!H169&lt;&gt;"",IF(Formulario!H169=" "," ",Formulario!H169)," ")</f>
        <v xml:space="preserve"> </v>
      </c>
      <c r="M161" s="144" t="str">
        <f>IF(Formulario!I169&lt;&gt;"",IF(Formulario!I169=" "," ",Formulario!I169)," ")</f>
        <v xml:space="preserve"> </v>
      </c>
      <c r="N161" s="145" t="str">
        <f>IF(Formulario!J169&lt;&gt;"",IF(Formulario!J169=" "," ",Formulario!J169),IF(G161=".",".","Falta Fecha"))</f>
        <v>.</v>
      </c>
      <c r="O161" s="155">
        <f>Formulario!L169</f>
        <v>0</v>
      </c>
      <c r="P161" s="146">
        <f>IF(O161=1,"09:00",Formulario!M169)</f>
        <v>0</v>
      </c>
      <c r="Q161" s="146">
        <f>IF(O161=1,"18:30",Formulario!N169)</f>
        <v>0</v>
      </c>
      <c r="R161" s="146" t="str">
        <f>IF(Formulario!O169&lt;&gt;"",IF(Formulario!O169=" ",".",Formulario!O169),".")</f>
        <v>Post Venta</v>
      </c>
      <c r="S161" s="141" t="s">
        <v>131</v>
      </c>
    </row>
    <row r="162" spans="1:19">
      <c r="A162" s="141">
        <f>Formulario!B170</f>
        <v>0</v>
      </c>
      <c r="B162" s="144" t="str">
        <f>IF(G162="."," ",Formulario!D$5)</f>
        <v xml:space="preserve"> </v>
      </c>
      <c r="C162" s="144" t="str">
        <f>IF(G162=".","",Formulario!D$6)</f>
        <v/>
      </c>
      <c r="D162" s="144" t="str">
        <f>IF(H162=".","",Formulario!D$7)</f>
        <v/>
      </c>
      <c r="E162" s="144" t="str">
        <f>IF(G162=".","",Formulario!J$5)</f>
        <v/>
      </c>
      <c r="F162" s="145" t="str">
        <f>IF(G162=".","",Formulario!J$6)</f>
        <v/>
      </c>
      <c r="G162" s="180" t="str">
        <f>IF(Formulario!C170&lt;&gt;"",IF(Formulario!C170=" ","Falta Depto",IF(H162=".","Error En Descripción",Formulario!C170)),IF(H162=".",".","Falta Datos"))</f>
        <v>.</v>
      </c>
      <c r="H162" s="144" t="str">
        <f>IF(Formulario!D170&lt;&gt;"",IF(Formulario!D170=" ",".",Formulario!D170),".")</f>
        <v>.</v>
      </c>
      <c r="I162" s="144" t="str">
        <f>IF(Formulario!E170&lt;&gt;"",IF(Formulario!E170=" "," ",Formulario!E170),IF(G162=".",".","Falta Propietario"))</f>
        <v>.</v>
      </c>
      <c r="J162" s="144" t="str">
        <f>IF(Formulario!F170&lt;&gt;"",IF(Formulario!F170=" "," ",Formulario!F170)," ")</f>
        <v xml:space="preserve"> </v>
      </c>
      <c r="K162" s="144" t="str">
        <f>IF(Formulario!G170&lt;&gt;"",IF(Formulario!G170=" "," ",Formulario!G170)," ")</f>
        <v xml:space="preserve"> </v>
      </c>
      <c r="L162" s="144" t="str">
        <f>IF(Formulario!H170&lt;&gt;"",IF(Formulario!H170=" "," ",Formulario!H170)," ")</f>
        <v xml:space="preserve"> </v>
      </c>
      <c r="M162" s="144" t="str">
        <f>IF(Formulario!I170&lt;&gt;"",IF(Formulario!I170=" "," ",Formulario!I170)," ")</f>
        <v xml:space="preserve"> </v>
      </c>
      <c r="N162" s="145" t="str">
        <f>IF(Formulario!J170&lt;&gt;"",IF(Formulario!J170=" "," ",Formulario!J170),IF(G162=".",".","Falta Fecha"))</f>
        <v>.</v>
      </c>
      <c r="O162" s="155">
        <f>Formulario!L170</f>
        <v>0</v>
      </c>
      <c r="P162" s="146">
        <f>IF(O162=1,"09:00",Formulario!M170)</f>
        <v>0</v>
      </c>
      <c r="Q162" s="146">
        <f>IF(O162=1,"18:30",Formulario!N170)</f>
        <v>0</v>
      </c>
      <c r="R162" s="146" t="str">
        <f>IF(Formulario!O170&lt;&gt;"",IF(Formulario!O170=" ",".",Formulario!O170),".")</f>
        <v>Post Venta</v>
      </c>
      <c r="S162" s="141" t="s">
        <v>131</v>
      </c>
    </row>
    <row r="163" spans="1:19">
      <c r="A163" s="141">
        <f>Formulario!B171</f>
        <v>0</v>
      </c>
      <c r="B163" s="144" t="str">
        <f>IF(G163="."," ",Formulario!D$5)</f>
        <v xml:space="preserve"> </v>
      </c>
      <c r="C163" s="144" t="str">
        <f>IF(G163=".","",Formulario!D$6)</f>
        <v/>
      </c>
      <c r="D163" s="144" t="str">
        <f>IF(H163=".","",Formulario!D$7)</f>
        <v/>
      </c>
      <c r="E163" s="144" t="str">
        <f>IF(G163=".","",Formulario!J$5)</f>
        <v/>
      </c>
      <c r="F163" s="145" t="str">
        <f>IF(G163=".","",Formulario!J$6)</f>
        <v/>
      </c>
      <c r="G163" s="180" t="str">
        <f>IF(Formulario!C171&lt;&gt;"",IF(Formulario!C171=" ","Falta Depto",IF(H163=".","Error En Descripción",Formulario!C171)),IF(H163=".",".","Falta Datos"))</f>
        <v>.</v>
      </c>
      <c r="H163" s="144" t="str">
        <f>IF(Formulario!D171&lt;&gt;"",IF(Formulario!D171=" ",".",Formulario!D171),".")</f>
        <v>.</v>
      </c>
      <c r="I163" s="144" t="str">
        <f>IF(Formulario!E171&lt;&gt;"",IF(Formulario!E171=" "," ",Formulario!E171),IF(G163=".",".","Falta Propietario"))</f>
        <v>.</v>
      </c>
      <c r="J163" s="144" t="str">
        <f>IF(Formulario!F171&lt;&gt;"",IF(Formulario!F171=" "," ",Formulario!F171)," ")</f>
        <v xml:space="preserve"> </v>
      </c>
      <c r="K163" s="144" t="str">
        <f>IF(Formulario!G171&lt;&gt;"",IF(Formulario!G171=" "," ",Formulario!G171)," ")</f>
        <v xml:space="preserve"> </v>
      </c>
      <c r="L163" s="144" t="str">
        <f>IF(Formulario!H171&lt;&gt;"",IF(Formulario!H171=" "," ",Formulario!H171)," ")</f>
        <v xml:space="preserve"> </v>
      </c>
      <c r="M163" s="144" t="str">
        <f>IF(Formulario!I171&lt;&gt;"",IF(Formulario!I171=" "," ",Formulario!I171)," ")</f>
        <v xml:space="preserve"> </v>
      </c>
      <c r="N163" s="145" t="str">
        <f>IF(Formulario!J171&lt;&gt;"",IF(Formulario!J171=" "," ",Formulario!J171),IF(G163=".",".","Falta Fecha"))</f>
        <v>.</v>
      </c>
      <c r="O163" s="155">
        <f>Formulario!L171</f>
        <v>0</v>
      </c>
      <c r="P163" s="146">
        <f>IF(O163=1,"09:00",Formulario!M171)</f>
        <v>0</v>
      </c>
      <c r="Q163" s="146">
        <f>IF(O163=1,"18:30",Formulario!N171)</f>
        <v>0</v>
      </c>
      <c r="R163" s="146" t="str">
        <f>IF(Formulario!O171&lt;&gt;"",IF(Formulario!O171=" ",".",Formulario!O171),".")</f>
        <v>Post Venta</v>
      </c>
      <c r="S163" s="141" t="s">
        <v>131</v>
      </c>
    </row>
    <row r="164" spans="1:19">
      <c r="A164" s="141">
        <f>Formulario!B172</f>
        <v>0</v>
      </c>
      <c r="B164" s="144" t="str">
        <f>IF(G164="."," ",Formulario!D$5)</f>
        <v xml:space="preserve"> </v>
      </c>
      <c r="C164" s="144" t="str">
        <f>IF(G164=".","",Formulario!D$6)</f>
        <v/>
      </c>
      <c r="D164" s="144" t="str">
        <f>IF(H164=".","",Formulario!D$7)</f>
        <v/>
      </c>
      <c r="E164" s="144" t="str">
        <f>IF(G164=".","",Formulario!J$5)</f>
        <v/>
      </c>
      <c r="F164" s="145" t="str">
        <f>IF(G164=".","",Formulario!J$6)</f>
        <v/>
      </c>
      <c r="G164" s="180" t="str">
        <f>IF(Formulario!C172&lt;&gt;"",IF(Formulario!C172=" ","Falta Depto",IF(H164=".","Error En Descripción",Formulario!C172)),IF(H164=".",".","Falta Datos"))</f>
        <v>.</v>
      </c>
      <c r="H164" s="144" t="str">
        <f>IF(Formulario!D172&lt;&gt;"",IF(Formulario!D172=" ",".",Formulario!D172),".")</f>
        <v>.</v>
      </c>
      <c r="I164" s="144" t="str">
        <f>IF(Formulario!E172&lt;&gt;"",IF(Formulario!E172=" "," ",Formulario!E172),IF(G164=".",".","Falta Propietario"))</f>
        <v>.</v>
      </c>
      <c r="J164" s="144" t="str">
        <f>IF(Formulario!F172&lt;&gt;"",IF(Formulario!F172=" "," ",Formulario!F172)," ")</f>
        <v xml:space="preserve"> </v>
      </c>
      <c r="K164" s="144" t="str">
        <f>IF(Formulario!G172&lt;&gt;"",IF(Formulario!G172=" "," ",Formulario!G172)," ")</f>
        <v xml:space="preserve"> </v>
      </c>
      <c r="L164" s="144" t="str">
        <f>IF(Formulario!H172&lt;&gt;"",IF(Formulario!H172=" "," ",Formulario!H172)," ")</f>
        <v xml:space="preserve"> </v>
      </c>
      <c r="M164" s="144" t="str">
        <f>IF(Formulario!I172&lt;&gt;"",IF(Formulario!I172=" "," ",Formulario!I172)," ")</f>
        <v xml:space="preserve"> </v>
      </c>
      <c r="N164" s="145" t="str">
        <f>IF(Formulario!J172&lt;&gt;"",IF(Formulario!J172=" "," ",Formulario!J172),IF(G164=".",".","Falta Fecha"))</f>
        <v>.</v>
      </c>
      <c r="O164" s="155">
        <f>Formulario!L172</f>
        <v>0</v>
      </c>
      <c r="P164" s="146">
        <f>IF(O164=1,"09:00",Formulario!M172)</f>
        <v>0</v>
      </c>
      <c r="Q164" s="146">
        <f>IF(O164=1,"18:30",Formulario!N172)</f>
        <v>0</v>
      </c>
      <c r="R164" s="146" t="str">
        <f>IF(Formulario!O172&lt;&gt;"",IF(Formulario!O172=" ",".",Formulario!O172),".")</f>
        <v>Post Venta</v>
      </c>
      <c r="S164" s="141" t="s">
        <v>131</v>
      </c>
    </row>
    <row r="165" spans="1:19">
      <c r="A165" s="141">
        <f>Formulario!B173</f>
        <v>0</v>
      </c>
      <c r="B165" s="144" t="str">
        <f>IF(G165="."," ",Formulario!D$5)</f>
        <v xml:space="preserve"> </v>
      </c>
      <c r="C165" s="144" t="str">
        <f>IF(G165=".","",Formulario!D$6)</f>
        <v/>
      </c>
      <c r="D165" s="144" t="str">
        <f>IF(H165=".","",Formulario!D$7)</f>
        <v/>
      </c>
      <c r="E165" s="144" t="str">
        <f>IF(G165=".","",Formulario!J$5)</f>
        <v/>
      </c>
      <c r="F165" s="145" t="str">
        <f>IF(G165=".","",Formulario!J$6)</f>
        <v/>
      </c>
      <c r="G165" s="180" t="str">
        <f>IF(Formulario!C173&lt;&gt;"",IF(Formulario!C173=" ","Falta Depto",IF(H165=".","Error En Descripción",Formulario!C173)),IF(H165=".",".","Falta Datos"))</f>
        <v>.</v>
      </c>
      <c r="H165" s="144" t="str">
        <f>IF(Formulario!D173&lt;&gt;"",IF(Formulario!D173=" ",".",Formulario!D173),".")</f>
        <v>.</v>
      </c>
      <c r="I165" s="144" t="str">
        <f>IF(Formulario!E173&lt;&gt;"",IF(Formulario!E173=" "," ",Formulario!E173),IF(G165=".",".","Falta Propietario"))</f>
        <v>.</v>
      </c>
      <c r="J165" s="144" t="str">
        <f>IF(Formulario!F173&lt;&gt;"",IF(Formulario!F173=" "," ",Formulario!F173)," ")</f>
        <v xml:space="preserve"> </v>
      </c>
      <c r="K165" s="144" t="str">
        <f>IF(Formulario!G173&lt;&gt;"",IF(Formulario!G173=" "," ",Formulario!G173)," ")</f>
        <v xml:space="preserve"> </v>
      </c>
      <c r="L165" s="144" t="str">
        <f>IF(Formulario!H173&lt;&gt;"",IF(Formulario!H173=" "," ",Formulario!H173)," ")</f>
        <v xml:space="preserve"> </v>
      </c>
      <c r="M165" s="144" t="str">
        <f>IF(Formulario!I173&lt;&gt;"",IF(Formulario!I173=" "," ",Formulario!I173)," ")</f>
        <v xml:space="preserve"> </v>
      </c>
      <c r="N165" s="145" t="str">
        <f>IF(Formulario!J173&lt;&gt;"",IF(Formulario!J173=" "," ",Formulario!J173),IF(G165=".",".","Falta Fecha"))</f>
        <v>.</v>
      </c>
      <c r="O165" s="155">
        <f>Formulario!L173</f>
        <v>0</v>
      </c>
      <c r="P165" s="146">
        <f>IF(O165=1,"09:00",Formulario!M173)</f>
        <v>0</v>
      </c>
      <c r="Q165" s="146">
        <f>IF(O165=1,"18:30",Formulario!N173)</f>
        <v>0</v>
      </c>
      <c r="R165" s="146" t="str">
        <f>IF(Formulario!O173&lt;&gt;"",IF(Formulario!O173=" ",".",Formulario!O173),".")</f>
        <v>Post Venta</v>
      </c>
      <c r="S165" s="141" t="s">
        <v>131</v>
      </c>
    </row>
    <row r="166" spans="1:19">
      <c r="A166" s="141">
        <f>Formulario!B174</f>
        <v>0</v>
      </c>
      <c r="B166" s="144" t="str">
        <f>IF(G166="."," ",Formulario!D$5)</f>
        <v xml:space="preserve"> </v>
      </c>
      <c r="C166" s="144" t="str">
        <f>IF(G166=".","",Formulario!D$6)</f>
        <v/>
      </c>
      <c r="D166" s="144" t="str">
        <f>IF(H166=".","",Formulario!D$7)</f>
        <v/>
      </c>
      <c r="E166" s="144" t="str">
        <f>IF(G166=".","",Formulario!J$5)</f>
        <v/>
      </c>
      <c r="F166" s="145" t="str">
        <f>IF(G166=".","",Formulario!J$6)</f>
        <v/>
      </c>
      <c r="G166" s="180" t="str">
        <f>IF(Formulario!C174&lt;&gt;"",IF(Formulario!C174=" ","Falta Depto",IF(H166=".","Error En Descripción",Formulario!C174)),IF(H166=".",".","Falta Datos"))</f>
        <v>.</v>
      </c>
      <c r="H166" s="144" t="str">
        <f>IF(Formulario!D174&lt;&gt;"",IF(Formulario!D174=" ",".",Formulario!D174),".")</f>
        <v>.</v>
      </c>
      <c r="I166" s="144" t="str">
        <f>IF(Formulario!E174&lt;&gt;"",IF(Formulario!E174=" "," ",Formulario!E174),IF(G166=".",".","Falta Propietario"))</f>
        <v>.</v>
      </c>
      <c r="J166" s="144" t="str">
        <f>IF(Formulario!F174&lt;&gt;"",IF(Formulario!F174=" "," ",Formulario!F174)," ")</f>
        <v xml:space="preserve"> </v>
      </c>
      <c r="K166" s="144" t="str">
        <f>IF(Formulario!G174&lt;&gt;"",IF(Formulario!G174=" "," ",Formulario!G174)," ")</f>
        <v xml:space="preserve"> </v>
      </c>
      <c r="L166" s="144" t="str">
        <f>IF(Formulario!H174&lt;&gt;"",IF(Formulario!H174=" "," ",Formulario!H174)," ")</f>
        <v xml:space="preserve"> </v>
      </c>
      <c r="M166" s="144" t="str">
        <f>IF(Formulario!I174&lt;&gt;"",IF(Formulario!I174=" "," ",Formulario!I174)," ")</f>
        <v xml:space="preserve"> </v>
      </c>
      <c r="N166" s="145" t="str">
        <f>IF(Formulario!J174&lt;&gt;"",IF(Formulario!J174=" "," ",Formulario!J174),IF(G166=".",".","Falta Fecha"))</f>
        <v>.</v>
      </c>
      <c r="O166" s="155">
        <f>Formulario!L174</f>
        <v>0</v>
      </c>
      <c r="P166" s="146">
        <f>IF(O166=1,"09:00",Formulario!M174)</f>
        <v>0</v>
      </c>
      <c r="Q166" s="146">
        <f>IF(O166=1,"18:30",Formulario!N174)</f>
        <v>0</v>
      </c>
      <c r="R166" s="146" t="str">
        <f>IF(Formulario!O174&lt;&gt;"",IF(Formulario!O174=" ",".",Formulario!O174),".")</f>
        <v>Post Venta</v>
      </c>
      <c r="S166" s="141" t="s">
        <v>131</v>
      </c>
    </row>
    <row r="167" spans="1:19">
      <c r="A167" s="141">
        <f>Formulario!B175</f>
        <v>0</v>
      </c>
      <c r="B167" s="144" t="str">
        <f>IF(G167="."," ",Formulario!D$5)</f>
        <v xml:space="preserve"> </v>
      </c>
      <c r="C167" s="144" t="str">
        <f>IF(G167=".","",Formulario!D$6)</f>
        <v/>
      </c>
      <c r="D167" s="144" t="str">
        <f>IF(H167=".","",Formulario!D$7)</f>
        <v/>
      </c>
      <c r="E167" s="144" t="str">
        <f>IF(G167=".","",Formulario!J$5)</f>
        <v/>
      </c>
      <c r="F167" s="145" t="str">
        <f>IF(G167=".","",Formulario!J$6)</f>
        <v/>
      </c>
      <c r="G167" s="180" t="str">
        <f>IF(Formulario!C175&lt;&gt;"",IF(Formulario!C175=" ","Falta Depto",IF(H167=".","Error En Descripción",Formulario!C175)),IF(H167=".",".","Falta Datos"))</f>
        <v>.</v>
      </c>
      <c r="H167" s="144" t="str">
        <f>IF(Formulario!D175&lt;&gt;"",IF(Formulario!D175=" ",".",Formulario!D175),".")</f>
        <v>.</v>
      </c>
      <c r="I167" s="144" t="str">
        <f>IF(Formulario!E175&lt;&gt;"",IF(Formulario!E175=" "," ",Formulario!E175),IF(G167=".",".","Falta Propietario"))</f>
        <v>.</v>
      </c>
      <c r="J167" s="144" t="str">
        <f>IF(Formulario!F175&lt;&gt;"",IF(Formulario!F175=" "," ",Formulario!F175)," ")</f>
        <v xml:space="preserve"> </v>
      </c>
      <c r="K167" s="144" t="str">
        <f>IF(Formulario!G175&lt;&gt;"",IF(Formulario!G175=" "," ",Formulario!G175)," ")</f>
        <v xml:space="preserve"> </v>
      </c>
      <c r="L167" s="144" t="str">
        <f>IF(Formulario!H175&lt;&gt;"",IF(Formulario!H175=" "," ",Formulario!H175)," ")</f>
        <v xml:space="preserve"> </v>
      </c>
      <c r="M167" s="144" t="str">
        <f>IF(Formulario!I175&lt;&gt;"",IF(Formulario!I175=" "," ",Formulario!I175)," ")</f>
        <v xml:space="preserve"> </v>
      </c>
      <c r="N167" s="145" t="str">
        <f>IF(Formulario!J175&lt;&gt;"",IF(Formulario!J175=" "," ",Formulario!J175),IF(G167=".",".","Falta Fecha"))</f>
        <v>.</v>
      </c>
      <c r="O167" s="155">
        <f>Formulario!L175</f>
        <v>0</v>
      </c>
      <c r="P167" s="146">
        <f>IF(O167=1,"09:00",Formulario!M175)</f>
        <v>0</v>
      </c>
      <c r="Q167" s="146">
        <f>IF(O167=1,"18:30",Formulario!N175)</f>
        <v>0</v>
      </c>
      <c r="R167" s="146" t="str">
        <f>IF(Formulario!O175&lt;&gt;"",IF(Formulario!O175=" ",".",Formulario!O175),".")</f>
        <v>Post Venta</v>
      </c>
      <c r="S167" s="141" t="s">
        <v>131</v>
      </c>
    </row>
    <row r="168" spans="1:19">
      <c r="A168" s="141">
        <f>Formulario!B176</f>
        <v>0</v>
      </c>
      <c r="B168" s="144" t="str">
        <f>IF(G168="."," ",Formulario!D$5)</f>
        <v xml:space="preserve"> </v>
      </c>
      <c r="C168" s="144" t="str">
        <f>IF(G168=".","",Formulario!D$6)</f>
        <v/>
      </c>
      <c r="D168" s="144" t="str">
        <f>IF(H168=".","",Formulario!D$7)</f>
        <v/>
      </c>
      <c r="E168" s="144" t="str">
        <f>IF(G168=".","",Formulario!J$5)</f>
        <v/>
      </c>
      <c r="F168" s="145" t="str">
        <f>IF(G168=".","",Formulario!J$6)</f>
        <v/>
      </c>
      <c r="G168" s="180" t="str">
        <f>IF(Formulario!C176&lt;&gt;"",IF(Formulario!C176=" ","Falta Depto",IF(H168=".","Error En Descripción",Formulario!C176)),IF(H168=".",".","Falta Datos"))</f>
        <v>.</v>
      </c>
      <c r="H168" s="144" t="str">
        <f>IF(Formulario!D176&lt;&gt;"",IF(Formulario!D176=" ",".",Formulario!D176),".")</f>
        <v>.</v>
      </c>
      <c r="I168" s="144" t="str">
        <f>IF(Formulario!E176&lt;&gt;"",IF(Formulario!E176=" "," ",Formulario!E176),IF(G168=".",".","Falta Propietario"))</f>
        <v>.</v>
      </c>
      <c r="J168" s="144" t="str">
        <f>IF(Formulario!F176&lt;&gt;"",IF(Formulario!F176=" "," ",Formulario!F176)," ")</f>
        <v xml:space="preserve"> </v>
      </c>
      <c r="K168" s="144" t="str">
        <f>IF(Formulario!G176&lt;&gt;"",IF(Formulario!G176=" "," ",Formulario!G176)," ")</f>
        <v xml:space="preserve"> </v>
      </c>
      <c r="L168" s="144" t="str">
        <f>IF(Formulario!H176&lt;&gt;"",IF(Formulario!H176=" "," ",Formulario!H176)," ")</f>
        <v xml:space="preserve"> </v>
      </c>
      <c r="M168" s="144" t="str">
        <f>IF(Formulario!I176&lt;&gt;"",IF(Formulario!I176=" "," ",Formulario!I176)," ")</f>
        <v xml:space="preserve"> </v>
      </c>
      <c r="N168" s="145" t="str">
        <f>IF(Formulario!J176&lt;&gt;"",IF(Formulario!J176=" "," ",Formulario!J176),IF(G168=".",".","Falta Fecha"))</f>
        <v>.</v>
      </c>
      <c r="O168" s="155">
        <f>Formulario!L176</f>
        <v>0</v>
      </c>
      <c r="P168" s="146">
        <f>IF(O168=1,"09:00",Formulario!M176)</f>
        <v>0</v>
      </c>
      <c r="Q168" s="146">
        <f>IF(O168=1,"18:30",Formulario!N176)</f>
        <v>0</v>
      </c>
      <c r="R168" s="146" t="str">
        <f>IF(Formulario!O176&lt;&gt;"",IF(Formulario!O176=" ",".",Formulario!O176),".")</f>
        <v>Post Venta</v>
      </c>
      <c r="S168" s="141" t="s">
        <v>131</v>
      </c>
    </row>
    <row r="169" spans="1:19">
      <c r="A169" s="141">
        <f>Formulario!B177</f>
        <v>0</v>
      </c>
      <c r="B169" s="144" t="str">
        <f>IF(G169="."," ",Formulario!D$5)</f>
        <v xml:space="preserve"> </v>
      </c>
      <c r="C169" s="144" t="str">
        <f>IF(G169=".","",Formulario!D$6)</f>
        <v/>
      </c>
      <c r="D169" s="144" t="str">
        <f>IF(H169=".","",Formulario!D$7)</f>
        <v/>
      </c>
      <c r="E169" s="144" t="str">
        <f>IF(G169=".","",Formulario!J$5)</f>
        <v/>
      </c>
      <c r="F169" s="145" t="str">
        <f>IF(G169=".","",Formulario!J$6)</f>
        <v/>
      </c>
      <c r="G169" s="180" t="str">
        <f>IF(Formulario!C177&lt;&gt;"",IF(Formulario!C177=" ","Falta Depto",IF(H169=".","Error En Descripción",Formulario!C177)),IF(H169=".",".","Falta Datos"))</f>
        <v>.</v>
      </c>
      <c r="H169" s="144" t="str">
        <f>IF(Formulario!D177&lt;&gt;"",IF(Formulario!D177=" ",".",Formulario!D177),".")</f>
        <v>.</v>
      </c>
      <c r="I169" s="144" t="str">
        <f>IF(Formulario!E177&lt;&gt;"",IF(Formulario!E177=" "," ",Formulario!E177),IF(G169=".",".","Falta Propietario"))</f>
        <v>.</v>
      </c>
      <c r="J169" s="144" t="str">
        <f>IF(Formulario!F177&lt;&gt;"",IF(Formulario!F177=" "," ",Formulario!F177)," ")</f>
        <v xml:space="preserve"> </v>
      </c>
      <c r="K169" s="144" t="str">
        <f>IF(Formulario!G177&lt;&gt;"",IF(Formulario!G177=" "," ",Formulario!G177)," ")</f>
        <v xml:space="preserve"> </v>
      </c>
      <c r="L169" s="144" t="str">
        <f>IF(Formulario!H177&lt;&gt;"",IF(Formulario!H177=" "," ",Formulario!H177)," ")</f>
        <v xml:space="preserve"> </v>
      </c>
      <c r="M169" s="144" t="str">
        <f>IF(Formulario!I177&lt;&gt;"",IF(Formulario!I177=" "," ",Formulario!I177)," ")</f>
        <v xml:space="preserve"> </v>
      </c>
      <c r="N169" s="145" t="str">
        <f>IF(Formulario!J177&lt;&gt;"",IF(Formulario!J177=" "," ",Formulario!J177),IF(G169=".",".","Falta Fecha"))</f>
        <v>.</v>
      </c>
      <c r="O169" s="155">
        <f>Formulario!L177</f>
        <v>0</v>
      </c>
      <c r="P169" s="146">
        <f>IF(O169=1,"09:00",Formulario!M177)</f>
        <v>0</v>
      </c>
      <c r="Q169" s="146">
        <f>IF(O169=1,"18:30",Formulario!N177)</f>
        <v>0</v>
      </c>
      <c r="R169" s="146" t="str">
        <f>IF(Formulario!O177&lt;&gt;"",IF(Formulario!O177=" ",".",Formulario!O177),".")</f>
        <v>Post Venta</v>
      </c>
      <c r="S169" s="141" t="s">
        <v>131</v>
      </c>
    </row>
    <row r="170" spans="1:19">
      <c r="A170" s="141">
        <f>Formulario!B178</f>
        <v>0</v>
      </c>
      <c r="B170" s="144" t="str">
        <f>IF(G170="."," ",Formulario!D$5)</f>
        <v xml:space="preserve"> </v>
      </c>
      <c r="C170" s="144" t="str">
        <f>IF(G170=".","",Formulario!D$6)</f>
        <v/>
      </c>
      <c r="D170" s="144" t="str">
        <f>IF(H170=".","",Formulario!D$7)</f>
        <v/>
      </c>
      <c r="E170" s="144" t="str">
        <f>IF(G170=".","",Formulario!J$5)</f>
        <v/>
      </c>
      <c r="F170" s="145" t="str">
        <f>IF(G170=".","",Formulario!J$6)</f>
        <v/>
      </c>
      <c r="G170" s="180" t="str">
        <f>IF(Formulario!C178&lt;&gt;"",IF(Formulario!C178=" ","Falta Depto",IF(H170=".","Error En Descripción",Formulario!C178)),IF(H170=".",".","Falta Datos"))</f>
        <v>.</v>
      </c>
      <c r="H170" s="144" t="str">
        <f>IF(Formulario!D178&lt;&gt;"",IF(Formulario!D178=" ",".",Formulario!D178),".")</f>
        <v>.</v>
      </c>
      <c r="I170" s="144" t="str">
        <f>IF(Formulario!E178&lt;&gt;"",IF(Formulario!E178=" "," ",Formulario!E178),IF(G170=".",".","Falta Propietario"))</f>
        <v>.</v>
      </c>
      <c r="J170" s="144" t="str">
        <f>IF(Formulario!F178&lt;&gt;"",IF(Formulario!F178=" "," ",Formulario!F178)," ")</f>
        <v xml:space="preserve"> </v>
      </c>
      <c r="K170" s="144" t="str">
        <f>IF(Formulario!G178&lt;&gt;"",IF(Formulario!G178=" "," ",Formulario!G178)," ")</f>
        <v xml:space="preserve"> </v>
      </c>
      <c r="L170" s="144" t="str">
        <f>IF(Formulario!H178&lt;&gt;"",IF(Formulario!H178=" "," ",Formulario!H178)," ")</f>
        <v xml:space="preserve"> </v>
      </c>
      <c r="M170" s="144" t="str">
        <f>IF(Formulario!I178&lt;&gt;"",IF(Formulario!I178=" "," ",Formulario!I178)," ")</f>
        <v xml:space="preserve"> </v>
      </c>
      <c r="N170" s="145" t="str">
        <f>IF(Formulario!J178&lt;&gt;"",IF(Formulario!J178=" "," ",Formulario!J178),IF(G170=".",".","Falta Fecha"))</f>
        <v>.</v>
      </c>
      <c r="O170" s="155">
        <f>Formulario!L178</f>
        <v>0</v>
      </c>
      <c r="P170" s="146">
        <f>IF(O170=1,"09:00",Formulario!M178)</f>
        <v>0</v>
      </c>
      <c r="Q170" s="146">
        <f>IF(O170=1,"18:30",Formulario!N178)</f>
        <v>0</v>
      </c>
      <c r="R170" s="146" t="str">
        <f>IF(Formulario!O178&lt;&gt;"",IF(Formulario!O178=" ",".",Formulario!O178),".")</f>
        <v>Post Venta</v>
      </c>
      <c r="S170" s="141" t="s">
        <v>131</v>
      </c>
    </row>
    <row r="171" spans="1:19">
      <c r="A171" s="141">
        <f>Formulario!B179</f>
        <v>0</v>
      </c>
      <c r="B171" s="144" t="str">
        <f>IF(G171="."," ",Formulario!D$5)</f>
        <v xml:space="preserve"> </v>
      </c>
      <c r="C171" s="144" t="str">
        <f>IF(G171=".","",Formulario!D$6)</f>
        <v/>
      </c>
      <c r="D171" s="144" t="str">
        <f>IF(H171=".","",Formulario!D$7)</f>
        <v/>
      </c>
      <c r="E171" s="144" t="str">
        <f>IF(G171=".","",Formulario!J$5)</f>
        <v/>
      </c>
      <c r="F171" s="145" t="str">
        <f>IF(G171=".","",Formulario!J$6)</f>
        <v/>
      </c>
      <c r="G171" s="180" t="str">
        <f>IF(Formulario!C179&lt;&gt;"",IF(Formulario!C179=" ","Falta Depto",IF(H171=".","Error En Descripción",Formulario!C179)),IF(H171=".",".","Falta Datos"))</f>
        <v>.</v>
      </c>
      <c r="H171" s="144" t="str">
        <f>IF(Formulario!D179&lt;&gt;"",IF(Formulario!D179=" ",".",Formulario!D179),".")</f>
        <v>.</v>
      </c>
      <c r="I171" s="144" t="str">
        <f>IF(Formulario!E179&lt;&gt;"",IF(Formulario!E179=" "," ",Formulario!E179),IF(G171=".",".","Falta Propietario"))</f>
        <v>.</v>
      </c>
      <c r="J171" s="144" t="str">
        <f>IF(Formulario!F179&lt;&gt;"",IF(Formulario!F179=" "," ",Formulario!F179)," ")</f>
        <v xml:space="preserve"> </v>
      </c>
      <c r="K171" s="144" t="str">
        <f>IF(Formulario!G179&lt;&gt;"",IF(Formulario!G179=" "," ",Formulario!G179)," ")</f>
        <v xml:space="preserve"> </v>
      </c>
      <c r="L171" s="144" t="str">
        <f>IF(Formulario!H179&lt;&gt;"",IF(Formulario!H179=" "," ",Formulario!H179)," ")</f>
        <v xml:space="preserve"> </v>
      </c>
      <c r="M171" s="144" t="str">
        <f>IF(Formulario!I179&lt;&gt;"",IF(Formulario!I179=" "," ",Formulario!I179)," ")</f>
        <v xml:space="preserve"> </v>
      </c>
      <c r="N171" s="145" t="str">
        <f>IF(Formulario!J179&lt;&gt;"",IF(Formulario!J179=" "," ",Formulario!J179),IF(G171=".",".","Falta Fecha"))</f>
        <v>.</v>
      </c>
      <c r="O171" s="155">
        <f>Formulario!L179</f>
        <v>0</v>
      </c>
      <c r="P171" s="146">
        <f>IF(O171=1,"09:00",Formulario!M179)</f>
        <v>0</v>
      </c>
      <c r="Q171" s="146">
        <f>IF(O171=1,"18:30",Formulario!N179)</f>
        <v>0</v>
      </c>
      <c r="R171" s="146" t="str">
        <f>IF(Formulario!O179&lt;&gt;"",IF(Formulario!O179=" ",".",Formulario!O179),".")</f>
        <v>Post Venta</v>
      </c>
      <c r="S171" s="141" t="s">
        <v>131</v>
      </c>
    </row>
    <row r="172" spans="1:19">
      <c r="A172" s="141">
        <f>Formulario!B180</f>
        <v>0</v>
      </c>
      <c r="B172" s="144" t="str">
        <f>IF(G172="."," ",Formulario!D$5)</f>
        <v xml:space="preserve"> </v>
      </c>
      <c r="C172" s="144" t="str">
        <f>IF(G172=".","",Formulario!D$6)</f>
        <v/>
      </c>
      <c r="D172" s="144" t="str">
        <f>IF(H172=".","",Formulario!D$7)</f>
        <v/>
      </c>
      <c r="E172" s="144" t="str">
        <f>IF(G172=".","",Formulario!J$5)</f>
        <v/>
      </c>
      <c r="F172" s="145" t="str">
        <f>IF(G172=".","",Formulario!J$6)</f>
        <v/>
      </c>
      <c r="G172" s="180" t="str">
        <f>IF(Formulario!C180&lt;&gt;"",IF(Formulario!C180=" ","Falta Depto",IF(H172=".","Error En Descripción",Formulario!C180)),IF(H172=".",".","Falta Datos"))</f>
        <v>.</v>
      </c>
      <c r="H172" s="144" t="str">
        <f>IF(Formulario!D180&lt;&gt;"",IF(Formulario!D180=" ",".",Formulario!D180),".")</f>
        <v>.</v>
      </c>
      <c r="I172" s="144" t="str">
        <f>IF(Formulario!E180&lt;&gt;"",IF(Formulario!E180=" "," ",Formulario!E180),IF(G172=".",".","Falta Propietario"))</f>
        <v>.</v>
      </c>
      <c r="J172" s="144" t="str">
        <f>IF(Formulario!F180&lt;&gt;"",IF(Formulario!F180=" "," ",Formulario!F180)," ")</f>
        <v xml:space="preserve"> </v>
      </c>
      <c r="K172" s="144" t="str">
        <f>IF(Formulario!G180&lt;&gt;"",IF(Formulario!G180=" "," ",Formulario!G180)," ")</f>
        <v xml:space="preserve"> </v>
      </c>
      <c r="L172" s="144" t="str">
        <f>IF(Formulario!H180&lt;&gt;"",IF(Formulario!H180=" "," ",Formulario!H180)," ")</f>
        <v xml:space="preserve"> </v>
      </c>
      <c r="M172" s="144" t="str">
        <f>IF(Formulario!I180&lt;&gt;"",IF(Formulario!I180=" "," ",Formulario!I180)," ")</f>
        <v xml:space="preserve"> </v>
      </c>
      <c r="N172" s="145" t="str">
        <f>IF(Formulario!J180&lt;&gt;"",IF(Formulario!J180=" "," ",Formulario!J180),IF(G172=".",".","Falta Fecha"))</f>
        <v>.</v>
      </c>
      <c r="O172" s="155">
        <f>Formulario!L180</f>
        <v>0</v>
      </c>
      <c r="P172" s="146">
        <f>IF(O172=1,"09:00",Formulario!M180)</f>
        <v>0</v>
      </c>
      <c r="Q172" s="146">
        <f>IF(O172=1,"18:30",Formulario!N180)</f>
        <v>0</v>
      </c>
      <c r="R172" s="146" t="str">
        <f>IF(Formulario!O180&lt;&gt;"",IF(Formulario!O180=" ",".",Formulario!O180),".")</f>
        <v>Post Venta</v>
      </c>
      <c r="S172" s="141" t="s">
        <v>131</v>
      </c>
    </row>
    <row r="173" spans="1:19">
      <c r="A173" s="141">
        <f>Formulario!B181</f>
        <v>0</v>
      </c>
      <c r="B173" s="144" t="str">
        <f>IF(G173="."," ",Formulario!D$5)</f>
        <v xml:space="preserve"> </v>
      </c>
      <c r="C173" s="144" t="str">
        <f>IF(G173=".","",Formulario!D$6)</f>
        <v/>
      </c>
      <c r="D173" s="144" t="str">
        <f>IF(H173=".","",Formulario!D$7)</f>
        <v/>
      </c>
      <c r="E173" s="144" t="str">
        <f>IF(G173=".","",Formulario!J$5)</f>
        <v/>
      </c>
      <c r="F173" s="145" t="str">
        <f>IF(G173=".","",Formulario!J$6)</f>
        <v/>
      </c>
      <c r="G173" s="180" t="str">
        <f>IF(Formulario!C181&lt;&gt;"",IF(Formulario!C181=" ","Falta Depto",IF(H173=".","Error En Descripción",Formulario!C181)),IF(H173=".",".","Falta Datos"))</f>
        <v>.</v>
      </c>
      <c r="H173" s="144" t="str">
        <f>IF(Formulario!D181&lt;&gt;"",IF(Formulario!D181=" ",".",Formulario!D181),".")</f>
        <v>.</v>
      </c>
      <c r="I173" s="144" t="str">
        <f>IF(Formulario!E181&lt;&gt;"",IF(Formulario!E181=" "," ",Formulario!E181),IF(G173=".",".","Falta Propietario"))</f>
        <v>.</v>
      </c>
      <c r="J173" s="144" t="str">
        <f>IF(Formulario!F181&lt;&gt;"",IF(Formulario!F181=" "," ",Formulario!F181)," ")</f>
        <v xml:space="preserve"> </v>
      </c>
      <c r="K173" s="144" t="str">
        <f>IF(Formulario!G181&lt;&gt;"",IF(Formulario!G181=" "," ",Formulario!G181)," ")</f>
        <v xml:space="preserve"> </v>
      </c>
      <c r="L173" s="144" t="str">
        <f>IF(Formulario!H181&lt;&gt;"",IF(Formulario!H181=" "," ",Formulario!H181)," ")</f>
        <v xml:space="preserve"> </v>
      </c>
      <c r="M173" s="144" t="str">
        <f>IF(Formulario!I181&lt;&gt;"",IF(Formulario!I181=" "," ",Formulario!I181)," ")</f>
        <v xml:space="preserve"> </v>
      </c>
      <c r="N173" s="145" t="str">
        <f>IF(Formulario!J181&lt;&gt;"",IF(Formulario!J181=" "," ",Formulario!J181),IF(G173=".",".","Falta Fecha"))</f>
        <v>.</v>
      </c>
      <c r="O173" s="155">
        <f>Formulario!L181</f>
        <v>0</v>
      </c>
      <c r="P173" s="146">
        <f>IF(O173=1,"09:00",Formulario!M181)</f>
        <v>0</v>
      </c>
      <c r="Q173" s="146">
        <f>IF(O173=1,"18:30",Formulario!N181)</f>
        <v>0</v>
      </c>
      <c r="R173" s="146" t="str">
        <f>IF(Formulario!O181&lt;&gt;"",IF(Formulario!O181=" ",".",Formulario!O181),".")</f>
        <v>Post Venta</v>
      </c>
      <c r="S173" s="141" t="s">
        <v>131</v>
      </c>
    </row>
    <row r="174" spans="1:19">
      <c r="A174" s="141">
        <f>Formulario!B182</f>
        <v>0</v>
      </c>
      <c r="B174" s="144" t="str">
        <f>IF(G174="."," ",Formulario!D$5)</f>
        <v xml:space="preserve"> </v>
      </c>
      <c r="C174" s="144" t="str">
        <f>IF(G174=".","",Formulario!D$6)</f>
        <v/>
      </c>
      <c r="D174" s="144" t="str">
        <f>IF(H174=".","",Formulario!D$7)</f>
        <v/>
      </c>
      <c r="E174" s="144" t="str">
        <f>IF(G174=".","",Formulario!J$5)</f>
        <v/>
      </c>
      <c r="F174" s="145" t="str">
        <f>IF(G174=".","",Formulario!J$6)</f>
        <v/>
      </c>
      <c r="G174" s="180" t="str">
        <f>IF(Formulario!C182&lt;&gt;"",IF(Formulario!C182=" ","Falta Depto",IF(H174=".","Error En Descripción",Formulario!C182)),IF(H174=".",".","Falta Datos"))</f>
        <v>.</v>
      </c>
      <c r="H174" s="144" t="str">
        <f>IF(Formulario!D182&lt;&gt;"",IF(Formulario!D182=" ",".",Formulario!D182),".")</f>
        <v>.</v>
      </c>
      <c r="I174" s="144" t="str">
        <f>IF(Formulario!E182&lt;&gt;"",IF(Formulario!E182=" "," ",Formulario!E182),IF(G174=".",".","Falta Propietario"))</f>
        <v>.</v>
      </c>
      <c r="J174" s="144" t="str">
        <f>IF(Formulario!F182&lt;&gt;"",IF(Formulario!F182=" "," ",Formulario!F182)," ")</f>
        <v xml:space="preserve"> </v>
      </c>
      <c r="K174" s="144" t="str">
        <f>IF(Formulario!G182&lt;&gt;"",IF(Formulario!G182=" "," ",Formulario!G182)," ")</f>
        <v xml:space="preserve"> </v>
      </c>
      <c r="L174" s="144" t="str">
        <f>IF(Formulario!H182&lt;&gt;"",IF(Formulario!H182=" "," ",Formulario!H182)," ")</f>
        <v xml:space="preserve"> </v>
      </c>
      <c r="M174" s="144" t="str">
        <f>IF(Formulario!I182&lt;&gt;"",IF(Formulario!I182=" "," ",Formulario!I182)," ")</f>
        <v xml:space="preserve"> </v>
      </c>
      <c r="N174" s="145" t="str">
        <f>IF(Formulario!J182&lt;&gt;"",IF(Formulario!J182=" "," ",Formulario!J182),IF(G174=".",".","Falta Fecha"))</f>
        <v>.</v>
      </c>
      <c r="O174" s="155">
        <f>Formulario!L182</f>
        <v>0</v>
      </c>
      <c r="P174" s="146">
        <f>IF(O174=1,"09:00",Formulario!M182)</f>
        <v>0</v>
      </c>
      <c r="Q174" s="146">
        <f>IF(O174=1,"18:30",Formulario!N182)</f>
        <v>0</v>
      </c>
      <c r="R174" s="146" t="str">
        <f>IF(Formulario!O182&lt;&gt;"",IF(Formulario!O182=" ",".",Formulario!O182),".")</f>
        <v>Post Venta</v>
      </c>
      <c r="S174" s="141" t="s">
        <v>131</v>
      </c>
    </row>
    <row r="175" spans="1:19">
      <c r="A175" s="141">
        <f>Formulario!B183</f>
        <v>0</v>
      </c>
      <c r="B175" s="144" t="str">
        <f>IF(G175="."," ",Formulario!D$5)</f>
        <v xml:space="preserve"> </v>
      </c>
      <c r="C175" s="144" t="str">
        <f>IF(G175=".","",Formulario!D$6)</f>
        <v/>
      </c>
      <c r="D175" s="144" t="str">
        <f>IF(H175=".","",Formulario!D$7)</f>
        <v/>
      </c>
      <c r="E175" s="144" t="str">
        <f>IF(G175=".","",Formulario!J$5)</f>
        <v/>
      </c>
      <c r="F175" s="145" t="str">
        <f>IF(G175=".","",Formulario!J$6)</f>
        <v/>
      </c>
      <c r="G175" s="180" t="str">
        <f>IF(Formulario!C183&lt;&gt;"",IF(Formulario!C183=" ","Falta Depto",IF(H175=".","Error En Descripción",Formulario!C183)),IF(H175=".",".","Falta Datos"))</f>
        <v>.</v>
      </c>
      <c r="H175" s="144" t="str">
        <f>IF(Formulario!D183&lt;&gt;"",IF(Formulario!D183=" ",".",Formulario!D183),".")</f>
        <v>.</v>
      </c>
      <c r="I175" s="144" t="str">
        <f>IF(Formulario!E183&lt;&gt;"",IF(Formulario!E183=" "," ",Formulario!E183),IF(G175=".",".","Falta Propietario"))</f>
        <v>.</v>
      </c>
      <c r="J175" s="144" t="str">
        <f>IF(Formulario!F183&lt;&gt;"",IF(Formulario!F183=" "," ",Formulario!F183)," ")</f>
        <v xml:space="preserve"> </v>
      </c>
      <c r="K175" s="144" t="str">
        <f>IF(Formulario!G183&lt;&gt;"",IF(Formulario!G183=" "," ",Formulario!G183)," ")</f>
        <v xml:space="preserve"> </v>
      </c>
      <c r="L175" s="144" t="str">
        <f>IF(Formulario!H183&lt;&gt;"",IF(Formulario!H183=" "," ",Formulario!H183)," ")</f>
        <v xml:space="preserve"> </v>
      </c>
      <c r="M175" s="144" t="str">
        <f>IF(Formulario!I183&lt;&gt;"",IF(Formulario!I183=" "," ",Formulario!I183)," ")</f>
        <v xml:space="preserve"> </v>
      </c>
      <c r="N175" s="145" t="str">
        <f>IF(Formulario!J183&lt;&gt;"",IF(Formulario!J183=" "," ",Formulario!J183),IF(G175=".",".","Falta Fecha"))</f>
        <v>.</v>
      </c>
      <c r="O175" s="155">
        <f>Formulario!L183</f>
        <v>0</v>
      </c>
      <c r="P175" s="146">
        <f>IF(O175=1,"09:00",Formulario!M183)</f>
        <v>0</v>
      </c>
      <c r="Q175" s="146">
        <f>IF(O175=1,"18:30",Formulario!N183)</f>
        <v>0</v>
      </c>
      <c r="R175" s="146" t="str">
        <f>IF(Formulario!O183&lt;&gt;"",IF(Formulario!O183=" ",".",Formulario!O183),".")</f>
        <v>Post Venta</v>
      </c>
      <c r="S175" s="141" t="s">
        <v>131</v>
      </c>
    </row>
    <row r="176" spans="1:19">
      <c r="A176" s="141">
        <f>Formulario!B184</f>
        <v>0</v>
      </c>
      <c r="B176" s="144" t="str">
        <f>IF(G176="."," ",Formulario!D$5)</f>
        <v xml:space="preserve"> </v>
      </c>
      <c r="C176" s="144" t="str">
        <f>IF(G176=".","",Formulario!D$6)</f>
        <v/>
      </c>
      <c r="D176" s="144" t="str">
        <f>IF(H176=".","",Formulario!D$7)</f>
        <v/>
      </c>
      <c r="E176" s="144" t="str">
        <f>IF(G176=".","",Formulario!J$5)</f>
        <v/>
      </c>
      <c r="F176" s="145" t="str">
        <f>IF(G176=".","",Formulario!J$6)</f>
        <v/>
      </c>
      <c r="G176" s="180" t="str">
        <f>IF(Formulario!C184&lt;&gt;"",IF(Formulario!C184=" ","Falta Depto",IF(H176=".","Error En Descripción",Formulario!C184)),IF(H176=".",".","Falta Datos"))</f>
        <v>.</v>
      </c>
      <c r="H176" s="144" t="str">
        <f>IF(Formulario!D184&lt;&gt;"",IF(Formulario!D184=" ",".",Formulario!D184),".")</f>
        <v>.</v>
      </c>
      <c r="I176" s="144" t="str">
        <f>IF(Formulario!E184&lt;&gt;"",IF(Formulario!E184=" "," ",Formulario!E184),IF(G176=".",".","Falta Propietario"))</f>
        <v>.</v>
      </c>
      <c r="J176" s="144" t="str">
        <f>IF(Formulario!F184&lt;&gt;"",IF(Formulario!F184=" "," ",Formulario!F184)," ")</f>
        <v xml:space="preserve"> </v>
      </c>
      <c r="K176" s="144" t="str">
        <f>IF(Formulario!G184&lt;&gt;"",IF(Formulario!G184=" "," ",Formulario!G184)," ")</f>
        <v xml:space="preserve"> </v>
      </c>
      <c r="L176" s="144" t="str">
        <f>IF(Formulario!H184&lt;&gt;"",IF(Formulario!H184=" "," ",Formulario!H184)," ")</f>
        <v xml:space="preserve"> </v>
      </c>
      <c r="M176" s="144" t="str">
        <f>IF(Formulario!I184&lt;&gt;"",IF(Formulario!I184=" "," ",Formulario!I184)," ")</f>
        <v xml:space="preserve"> </v>
      </c>
      <c r="N176" s="145" t="str">
        <f>IF(Formulario!J184&lt;&gt;"",IF(Formulario!J184=" "," ",Formulario!J184),IF(G176=".",".","Falta Fecha"))</f>
        <v>.</v>
      </c>
      <c r="O176" s="155">
        <f>Formulario!L184</f>
        <v>0</v>
      </c>
      <c r="P176" s="146">
        <f>IF(O176=1,"09:00",Formulario!M184)</f>
        <v>0</v>
      </c>
      <c r="Q176" s="146">
        <f>IF(O176=1,"18:30",Formulario!N184)</f>
        <v>0</v>
      </c>
      <c r="R176" s="146" t="str">
        <f>IF(Formulario!O184&lt;&gt;"",IF(Formulario!O184=" ",".",Formulario!O184),".")</f>
        <v>Post Venta</v>
      </c>
      <c r="S176" s="141" t="s">
        <v>131</v>
      </c>
    </row>
    <row r="177" spans="1:19">
      <c r="A177" s="141">
        <f>Formulario!B185</f>
        <v>0</v>
      </c>
      <c r="B177" s="144" t="str">
        <f>IF(G177="."," ",Formulario!D$5)</f>
        <v xml:space="preserve"> </v>
      </c>
      <c r="C177" s="144" t="str">
        <f>IF(G177=".","",Formulario!D$6)</f>
        <v/>
      </c>
      <c r="D177" s="144" t="str">
        <f>IF(H177=".","",Formulario!D$7)</f>
        <v/>
      </c>
      <c r="E177" s="144" t="str">
        <f>IF(G177=".","",Formulario!J$5)</f>
        <v/>
      </c>
      <c r="F177" s="145" t="str">
        <f>IF(G177=".","",Formulario!J$6)</f>
        <v/>
      </c>
      <c r="G177" s="180" t="str">
        <f>IF(Formulario!C185&lt;&gt;"",IF(Formulario!C185=" ","Falta Depto",IF(H177=".","Error En Descripción",Formulario!C185)),IF(H177=".",".","Falta Datos"))</f>
        <v>.</v>
      </c>
      <c r="H177" s="144" t="str">
        <f>IF(Formulario!D185&lt;&gt;"",IF(Formulario!D185=" ",".",Formulario!D185),".")</f>
        <v>.</v>
      </c>
      <c r="I177" s="144" t="str">
        <f>IF(Formulario!E185&lt;&gt;"",IF(Formulario!E185=" "," ",Formulario!E185),IF(G177=".",".","Falta Propietario"))</f>
        <v>.</v>
      </c>
      <c r="J177" s="144" t="str">
        <f>IF(Formulario!F185&lt;&gt;"",IF(Formulario!F185=" "," ",Formulario!F185)," ")</f>
        <v xml:space="preserve"> </v>
      </c>
      <c r="K177" s="144" t="str">
        <f>IF(Formulario!G185&lt;&gt;"",IF(Formulario!G185=" "," ",Formulario!G185)," ")</f>
        <v xml:space="preserve"> </v>
      </c>
      <c r="L177" s="144" t="str">
        <f>IF(Formulario!H185&lt;&gt;"",IF(Formulario!H185=" "," ",Formulario!H185)," ")</f>
        <v xml:space="preserve"> </v>
      </c>
      <c r="M177" s="144" t="str">
        <f>IF(Formulario!I185&lt;&gt;"",IF(Formulario!I185=" "," ",Formulario!I185)," ")</f>
        <v xml:space="preserve"> </v>
      </c>
      <c r="N177" s="145" t="str">
        <f>IF(Formulario!J185&lt;&gt;"",IF(Formulario!J185=" "," ",Formulario!J185),IF(G177=".",".","Falta Fecha"))</f>
        <v>.</v>
      </c>
      <c r="O177" s="155">
        <f>Formulario!L185</f>
        <v>0</v>
      </c>
      <c r="P177" s="146">
        <f>IF(O177=1,"09:00",Formulario!M185)</f>
        <v>0</v>
      </c>
      <c r="Q177" s="146">
        <f>IF(O177=1,"18:30",Formulario!N185)</f>
        <v>0</v>
      </c>
      <c r="R177" s="146" t="str">
        <f>IF(Formulario!O185&lt;&gt;"",IF(Formulario!O185=" ",".",Formulario!O185),".")</f>
        <v>Post Venta</v>
      </c>
      <c r="S177" s="141" t="s">
        <v>131</v>
      </c>
    </row>
    <row r="178" spans="1:19">
      <c r="A178" s="141">
        <f>Formulario!B186</f>
        <v>0</v>
      </c>
      <c r="B178" s="144" t="str">
        <f>IF(G178="."," ",Formulario!D$5)</f>
        <v xml:space="preserve"> </v>
      </c>
      <c r="C178" s="144" t="str">
        <f>IF(G178=".","",Formulario!D$6)</f>
        <v/>
      </c>
      <c r="D178" s="144" t="str">
        <f>IF(H178=".","",Formulario!D$7)</f>
        <v/>
      </c>
      <c r="E178" s="144" t="str">
        <f>IF(G178=".","",Formulario!J$5)</f>
        <v/>
      </c>
      <c r="F178" s="145" t="str">
        <f>IF(G178=".","",Formulario!J$6)</f>
        <v/>
      </c>
      <c r="G178" s="180" t="str">
        <f>IF(Formulario!C186&lt;&gt;"",IF(Formulario!C186=" ","Falta Depto",IF(H178=".","Error En Descripción",Formulario!C186)),IF(H178=".",".","Falta Datos"))</f>
        <v>.</v>
      </c>
      <c r="H178" s="144" t="str">
        <f>IF(Formulario!D186&lt;&gt;"",IF(Formulario!D186=" ",".",Formulario!D186),".")</f>
        <v>.</v>
      </c>
      <c r="I178" s="144" t="str">
        <f>IF(Formulario!E186&lt;&gt;"",IF(Formulario!E186=" "," ",Formulario!E186),IF(G178=".",".","Falta Propietario"))</f>
        <v>.</v>
      </c>
      <c r="J178" s="144" t="str">
        <f>IF(Formulario!F186&lt;&gt;"",IF(Formulario!F186=" "," ",Formulario!F186)," ")</f>
        <v xml:space="preserve"> </v>
      </c>
      <c r="K178" s="144" t="str">
        <f>IF(Formulario!G186&lt;&gt;"",IF(Formulario!G186=" "," ",Formulario!G186)," ")</f>
        <v xml:space="preserve"> </v>
      </c>
      <c r="L178" s="144" t="str">
        <f>IF(Formulario!H186&lt;&gt;"",IF(Formulario!H186=" "," ",Formulario!H186)," ")</f>
        <v xml:space="preserve"> </v>
      </c>
      <c r="M178" s="144" t="str">
        <f>IF(Formulario!I186&lt;&gt;"",IF(Formulario!I186=" "," ",Formulario!I186)," ")</f>
        <v xml:space="preserve"> </v>
      </c>
      <c r="N178" s="145" t="str">
        <f>IF(Formulario!J186&lt;&gt;"",IF(Formulario!J186=" "," ",Formulario!J186),IF(G178=".",".","Falta Fecha"))</f>
        <v>.</v>
      </c>
      <c r="O178" s="155">
        <f>Formulario!L186</f>
        <v>0</v>
      </c>
      <c r="P178" s="146">
        <f>IF(O178=1,"09:00",Formulario!M186)</f>
        <v>0</v>
      </c>
      <c r="Q178" s="146">
        <f>IF(O178=1,"18:30",Formulario!N186)</f>
        <v>0</v>
      </c>
      <c r="R178" s="146" t="str">
        <f>IF(Formulario!O186&lt;&gt;"",IF(Formulario!O186=" ",".",Formulario!O186),".")</f>
        <v>Post Venta</v>
      </c>
      <c r="S178" s="141" t="s">
        <v>131</v>
      </c>
    </row>
    <row r="179" spans="1:19">
      <c r="A179" s="141">
        <f>Formulario!B187</f>
        <v>0</v>
      </c>
      <c r="B179" s="144" t="str">
        <f>IF(G179="."," ",Formulario!D$5)</f>
        <v xml:space="preserve"> </v>
      </c>
      <c r="C179" s="144" t="str">
        <f>IF(G179=".","",Formulario!D$6)</f>
        <v/>
      </c>
      <c r="D179" s="144" t="str">
        <f>IF(H179=".","",Formulario!D$7)</f>
        <v/>
      </c>
      <c r="E179" s="144" t="str">
        <f>IF(G179=".","",Formulario!J$5)</f>
        <v/>
      </c>
      <c r="F179" s="145" t="str">
        <f>IF(G179=".","",Formulario!J$6)</f>
        <v/>
      </c>
      <c r="G179" s="180" t="str">
        <f>IF(Formulario!C187&lt;&gt;"",IF(Formulario!C187=" ","Falta Depto",IF(H179=".","Error En Descripción",Formulario!C187)),IF(H179=".",".","Falta Datos"))</f>
        <v>.</v>
      </c>
      <c r="H179" s="144" t="str">
        <f>IF(Formulario!D187&lt;&gt;"",IF(Formulario!D187=" ",".",Formulario!D187),".")</f>
        <v>.</v>
      </c>
      <c r="I179" s="144" t="str">
        <f>IF(Formulario!E187&lt;&gt;"",IF(Formulario!E187=" "," ",Formulario!E187),IF(G179=".",".","Falta Propietario"))</f>
        <v>.</v>
      </c>
      <c r="J179" s="144" t="str">
        <f>IF(Formulario!F187&lt;&gt;"",IF(Formulario!F187=" "," ",Formulario!F187)," ")</f>
        <v xml:space="preserve"> </v>
      </c>
      <c r="K179" s="144" t="str">
        <f>IF(Formulario!G187&lt;&gt;"",IF(Formulario!G187=" "," ",Formulario!G187)," ")</f>
        <v xml:space="preserve"> </v>
      </c>
      <c r="L179" s="144" t="str">
        <f>IF(Formulario!H187&lt;&gt;"",IF(Formulario!H187=" "," ",Formulario!H187)," ")</f>
        <v xml:space="preserve"> </v>
      </c>
      <c r="M179" s="144" t="str">
        <f>IF(Formulario!I187&lt;&gt;"",IF(Formulario!I187=" "," ",Formulario!I187)," ")</f>
        <v xml:space="preserve"> </v>
      </c>
      <c r="N179" s="145" t="str">
        <f>IF(Formulario!J187&lt;&gt;"",IF(Formulario!J187=" "," ",Formulario!J187),IF(G179=".",".","Falta Fecha"))</f>
        <v>.</v>
      </c>
      <c r="O179" s="155">
        <f>Formulario!L187</f>
        <v>0</v>
      </c>
      <c r="P179" s="146">
        <f>IF(O179=1,"09:00",Formulario!M187)</f>
        <v>0</v>
      </c>
      <c r="Q179" s="146">
        <f>IF(O179=1,"18:30",Formulario!N187)</f>
        <v>0</v>
      </c>
      <c r="R179" s="146" t="str">
        <f>IF(Formulario!O187&lt;&gt;"",IF(Formulario!O187=" ",".",Formulario!O187),".")</f>
        <v>Post Venta</v>
      </c>
      <c r="S179" s="141" t="s">
        <v>131</v>
      </c>
    </row>
    <row r="180" spans="1:19">
      <c r="A180" s="141">
        <f>Formulario!B188</f>
        <v>0</v>
      </c>
      <c r="B180" s="144" t="str">
        <f>IF(G180="."," ",Formulario!D$5)</f>
        <v xml:space="preserve"> </v>
      </c>
      <c r="C180" s="144" t="str">
        <f>IF(G180=".","",Formulario!D$6)</f>
        <v/>
      </c>
      <c r="D180" s="144" t="str">
        <f>IF(H180=".","",Formulario!D$7)</f>
        <v/>
      </c>
      <c r="E180" s="144" t="str">
        <f>IF(G180=".","",Formulario!J$5)</f>
        <v/>
      </c>
      <c r="F180" s="145" t="str">
        <f>IF(G180=".","",Formulario!J$6)</f>
        <v/>
      </c>
      <c r="G180" s="180" t="str">
        <f>IF(Formulario!C188&lt;&gt;"",IF(Formulario!C188=" ","Falta Depto",IF(H180=".","Error En Descripción",Formulario!C188)),IF(H180=".",".","Falta Datos"))</f>
        <v>.</v>
      </c>
      <c r="H180" s="144" t="str">
        <f>IF(Formulario!D188&lt;&gt;"",IF(Formulario!D188=" ",".",Formulario!D188),".")</f>
        <v>.</v>
      </c>
      <c r="I180" s="144" t="str">
        <f>IF(Formulario!E188&lt;&gt;"",IF(Formulario!E188=" "," ",Formulario!E188),IF(G180=".",".","Falta Propietario"))</f>
        <v>.</v>
      </c>
      <c r="J180" s="144" t="str">
        <f>IF(Formulario!F188&lt;&gt;"",IF(Formulario!F188=" "," ",Formulario!F188)," ")</f>
        <v xml:space="preserve"> </v>
      </c>
      <c r="K180" s="144" t="str">
        <f>IF(Formulario!G188&lt;&gt;"",IF(Formulario!G188=" "," ",Formulario!G188)," ")</f>
        <v xml:space="preserve"> </v>
      </c>
      <c r="L180" s="144" t="str">
        <f>IF(Formulario!H188&lt;&gt;"",IF(Formulario!H188=" "," ",Formulario!H188)," ")</f>
        <v xml:space="preserve"> </v>
      </c>
      <c r="M180" s="144" t="str">
        <f>IF(Formulario!I188&lt;&gt;"",IF(Formulario!I188=" "," ",Formulario!I188)," ")</f>
        <v xml:space="preserve"> </v>
      </c>
      <c r="N180" s="145" t="str">
        <f>IF(Formulario!J188&lt;&gt;"",IF(Formulario!J188=" "," ",Formulario!J188),IF(G180=".",".","Falta Fecha"))</f>
        <v>.</v>
      </c>
      <c r="O180" s="155">
        <f>Formulario!L188</f>
        <v>0</v>
      </c>
      <c r="P180" s="146">
        <f>IF(O180=1,"09:00",Formulario!M188)</f>
        <v>0</v>
      </c>
      <c r="Q180" s="146">
        <f>IF(O180=1,"18:30",Formulario!N188)</f>
        <v>0</v>
      </c>
      <c r="R180" s="146" t="str">
        <f>IF(Formulario!O188&lt;&gt;"",IF(Formulario!O188=" ",".",Formulario!O188),".")</f>
        <v>Post Venta</v>
      </c>
      <c r="S180" s="141" t="s">
        <v>131</v>
      </c>
    </row>
    <row r="181" spans="1:19">
      <c r="A181" s="141">
        <f>Formulario!B189</f>
        <v>0</v>
      </c>
      <c r="B181" s="144" t="str">
        <f>IF(G181="."," ",Formulario!D$5)</f>
        <v xml:space="preserve"> </v>
      </c>
      <c r="C181" s="144" t="str">
        <f>IF(G181=".","",Formulario!D$6)</f>
        <v/>
      </c>
      <c r="D181" s="144" t="str">
        <f>IF(H181=".","",Formulario!D$7)</f>
        <v/>
      </c>
      <c r="E181" s="144" t="str">
        <f>IF(G181=".","",Formulario!J$5)</f>
        <v/>
      </c>
      <c r="F181" s="145" t="str">
        <f>IF(G181=".","",Formulario!J$6)</f>
        <v/>
      </c>
      <c r="G181" s="180" t="str">
        <f>IF(Formulario!C189&lt;&gt;"",IF(Formulario!C189=" ","Falta Depto",IF(H181=".","Error En Descripción",Formulario!C189)),IF(H181=".",".","Falta Datos"))</f>
        <v>.</v>
      </c>
      <c r="H181" s="144" t="str">
        <f>IF(Formulario!D189&lt;&gt;"",IF(Formulario!D189=" ",".",Formulario!D189),".")</f>
        <v>.</v>
      </c>
      <c r="I181" s="144" t="str">
        <f>IF(Formulario!E189&lt;&gt;"",IF(Formulario!E189=" "," ",Formulario!E189),IF(G181=".",".","Falta Propietario"))</f>
        <v>.</v>
      </c>
      <c r="J181" s="144" t="str">
        <f>IF(Formulario!F189&lt;&gt;"",IF(Formulario!F189=" "," ",Formulario!F189)," ")</f>
        <v xml:space="preserve"> </v>
      </c>
      <c r="K181" s="144" t="str">
        <f>IF(Formulario!G189&lt;&gt;"",IF(Formulario!G189=" "," ",Formulario!G189)," ")</f>
        <v xml:space="preserve"> </v>
      </c>
      <c r="L181" s="144" t="str">
        <f>IF(Formulario!H189&lt;&gt;"",IF(Formulario!H189=" "," ",Formulario!H189)," ")</f>
        <v xml:space="preserve"> </v>
      </c>
      <c r="M181" s="144" t="str">
        <f>IF(Formulario!I189&lt;&gt;"",IF(Formulario!I189=" "," ",Formulario!I189)," ")</f>
        <v xml:space="preserve"> </v>
      </c>
      <c r="N181" s="145" t="str">
        <f>IF(Formulario!J189&lt;&gt;"",IF(Formulario!J189=" "," ",Formulario!J189),IF(G181=".",".","Falta Fecha"))</f>
        <v>.</v>
      </c>
      <c r="O181" s="155">
        <f>Formulario!L189</f>
        <v>0</v>
      </c>
      <c r="P181" s="146">
        <f>IF(O181=1,"09:00",Formulario!M189)</f>
        <v>0</v>
      </c>
      <c r="Q181" s="146">
        <f>IF(O181=1,"18:30",Formulario!N189)</f>
        <v>0</v>
      </c>
      <c r="R181" s="146" t="str">
        <f>IF(Formulario!O189&lt;&gt;"",IF(Formulario!O189=" ",".",Formulario!O189),".")</f>
        <v>Post Venta</v>
      </c>
      <c r="S181" s="141" t="s">
        <v>131</v>
      </c>
    </row>
    <row r="182" spans="1:19">
      <c r="A182" s="141">
        <f>Formulario!B190</f>
        <v>0</v>
      </c>
      <c r="B182" s="144" t="str">
        <f>IF(G182="."," ",Formulario!D$5)</f>
        <v xml:space="preserve"> </v>
      </c>
      <c r="C182" s="144" t="str">
        <f>IF(G182=".","",Formulario!D$6)</f>
        <v/>
      </c>
      <c r="D182" s="144" t="str">
        <f>IF(H182=".","",Formulario!D$7)</f>
        <v/>
      </c>
      <c r="E182" s="144" t="str">
        <f>IF(G182=".","",Formulario!J$5)</f>
        <v/>
      </c>
      <c r="F182" s="145" t="str">
        <f>IF(G182=".","",Formulario!J$6)</f>
        <v/>
      </c>
      <c r="G182" s="180" t="str">
        <f>IF(Formulario!C190&lt;&gt;"",IF(Formulario!C190=" ","Falta Depto",IF(H182=".","Error En Descripción",Formulario!C190)),IF(H182=".",".","Falta Datos"))</f>
        <v>.</v>
      </c>
      <c r="H182" s="144" t="str">
        <f>IF(Formulario!D190&lt;&gt;"",IF(Formulario!D190=" ",".",Formulario!D190),".")</f>
        <v>.</v>
      </c>
      <c r="I182" s="144" t="str">
        <f>IF(Formulario!E190&lt;&gt;"",IF(Formulario!E190=" "," ",Formulario!E190),IF(G182=".",".","Falta Propietario"))</f>
        <v>.</v>
      </c>
      <c r="J182" s="144" t="str">
        <f>IF(Formulario!F190&lt;&gt;"",IF(Formulario!F190=" "," ",Formulario!F190)," ")</f>
        <v xml:space="preserve"> </v>
      </c>
      <c r="K182" s="144" t="str">
        <f>IF(Formulario!G190&lt;&gt;"",IF(Formulario!G190=" "," ",Formulario!G190)," ")</f>
        <v xml:space="preserve"> </v>
      </c>
      <c r="L182" s="144" t="str">
        <f>IF(Formulario!H190&lt;&gt;"",IF(Formulario!H190=" "," ",Formulario!H190)," ")</f>
        <v xml:space="preserve"> </v>
      </c>
      <c r="M182" s="144" t="str">
        <f>IF(Formulario!I190&lt;&gt;"",IF(Formulario!I190=" "," ",Formulario!I190)," ")</f>
        <v xml:space="preserve"> </v>
      </c>
      <c r="N182" s="145" t="str">
        <f>IF(Formulario!J190&lt;&gt;"",IF(Formulario!J190=" "," ",Formulario!J190),IF(G182=".",".","Falta Fecha"))</f>
        <v>.</v>
      </c>
      <c r="O182" s="155">
        <f>Formulario!L190</f>
        <v>0</v>
      </c>
      <c r="P182" s="146">
        <f>IF(O182=1,"09:00",Formulario!M190)</f>
        <v>0</v>
      </c>
      <c r="Q182" s="146">
        <f>IF(O182=1,"18:30",Formulario!N190)</f>
        <v>0</v>
      </c>
      <c r="R182" s="146" t="str">
        <f>IF(Formulario!O190&lt;&gt;"",IF(Formulario!O190=" ",".",Formulario!O190),".")</f>
        <v>Post Venta</v>
      </c>
      <c r="S182" s="141" t="s">
        <v>131</v>
      </c>
    </row>
    <row r="183" spans="1:19">
      <c r="A183" s="141">
        <f>Formulario!B191</f>
        <v>0</v>
      </c>
      <c r="B183" s="144" t="str">
        <f>IF(G183="."," ",Formulario!D$5)</f>
        <v xml:space="preserve"> </v>
      </c>
      <c r="C183" s="144" t="str">
        <f>IF(G183=".","",Formulario!D$6)</f>
        <v/>
      </c>
      <c r="D183" s="144" t="str">
        <f>IF(H183=".","",Formulario!D$7)</f>
        <v/>
      </c>
      <c r="E183" s="144" t="str">
        <f>IF(G183=".","",Formulario!J$5)</f>
        <v/>
      </c>
      <c r="F183" s="145" t="str">
        <f>IF(G183=".","",Formulario!J$6)</f>
        <v/>
      </c>
      <c r="G183" s="180" t="str">
        <f>IF(Formulario!C191&lt;&gt;"",IF(Formulario!C191=" ","Falta Depto",IF(H183=".","Error En Descripción",Formulario!C191)),IF(H183=".",".","Falta Datos"))</f>
        <v>.</v>
      </c>
      <c r="H183" s="144" t="str">
        <f>IF(Formulario!D191&lt;&gt;"",IF(Formulario!D191=" ",".",Formulario!D191),".")</f>
        <v>.</v>
      </c>
      <c r="I183" s="144" t="str">
        <f>IF(Formulario!E191&lt;&gt;"",IF(Formulario!E191=" "," ",Formulario!E191),IF(G183=".",".","Falta Propietario"))</f>
        <v>.</v>
      </c>
      <c r="J183" s="144" t="str">
        <f>IF(Formulario!F191&lt;&gt;"",IF(Formulario!F191=" "," ",Formulario!F191)," ")</f>
        <v xml:space="preserve"> </v>
      </c>
      <c r="K183" s="144" t="str">
        <f>IF(Formulario!G191&lt;&gt;"",IF(Formulario!G191=" "," ",Formulario!G191)," ")</f>
        <v xml:space="preserve"> </v>
      </c>
      <c r="L183" s="144" t="str">
        <f>IF(Formulario!H191&lt;&gt;"",IF(Formulario!H191=" "," ",Formulario!H191)," ")</f>
        <v xml:space="preserve"> </v>
      </c>
      <c r="M183" s="144" t="str">
        <f>IF(Formulario!I191&lt;&gt;"",IF(Formulario!I191=" "," ",Formulario!I191)," ")</f>
        <v xml:space="preserve"> </v>
      </c>
      <c r="N183" s="145" t="str">
        <f>IF(Formulario!J191&lt;&gt;"",IF(Formulario!J191=" "," ",Formulario!J191),IF(G183=".",".","Falta Fecha"))</f>
        <v>.</v>
      </c>
      <c r="O183" s="155">
        <f>Formulario!L191</f>
        <v>0</v>
      </c>
      <c r="P183" s="146">
        <f>IF(O183=1,"09:00",Formulario!M191)</f>
        <v>0</v>
      </c>
      <c r="Q183" s="146">
        <f>IF(O183=1,"18:30",Formulario!N191)</f>
        <v>0</v>
      </c>
      <c r="R183" s="146" t="str">
        <f>IF(Formulario!O191&lt;&gt;"",IF(Formulario!O191=" ",".",Formulario!O191),".")</f>
        <v>Post Venta</v>
      </c>
      <c r="S183" s="141" t="s">
        <v>131</v>
      </c>
    </row>
    <row r="184" spans="1:19">
      <c r="A184" s="141">
        <f>Formulario!B192</f>
        <v>0</v>
      </c>
      <c r="B184" s="144" t="str">
        <f>IF(G184="."," ",Formulario!D$5)</f>
        <v xml:space="preserve"> </v>
      </c>
      <c r="C184" s="144" t="str">
        <f>IF(G184=".","",Formulario!D$6)</f>
        <v/>
      </c>
      <c r="D184" s="144" t="str">
        <f>IF(H184=".","",Formulario!D$7)</f>
        <v/>
      </c>
      <c r="E184" s="144" t="str">
        <f>IF(G184=".","",Formulario!J$5)</f>
        <v/>
      </c>
      <c r="F184" s="145" t="str">
        <f>IF(G184=".","",Formulario!J$6)</f>
        <v/>
      </c>
      <c r="G184" s="180" t="str">
        <f>IF(Formulario!C192&lt;&gt;"",IF(Formulario!C192=" ","Falta Depto",IF(H184=".","Error En Descripción",Formulario!C192)),IF(H184=".",".","Falta Datos"))</f>
        <v>.</v>
      </c>
      <c r="H184" s="144" t="str">
        <f>IF(Formulario!D192&lt;&gt;"",IF(Formulario!D192=" ",".",Formulario!D192),".")</f>
        <v>.</v>
      </c>
      <c r="I184" s="144" t="str">
        <f>IF(Formulario!E192&lt;&gt;"",IF(Formulario!E192=" "," ",Formulario!E192),IF(G184=".",".","Falta Propietario"))</f>
        <v>.</v>
      </c>
      <c r="J184" s="144" t="str">
        <f>IF(Formulario!F192&lt;&gt;"",IF(Formulario!F192=" "," ",Formulario!F192)," ")</f>
        <v xml:space="preserve"> </v>
      </c>
      <c r="K184" s="144" t="str">
        <f>IF(Formulario!G192&lt;&gt;"",IF(Formulario!G192=" "," ",Formulario!G192)," ")</f>
        <v xml:space="preserve"> </v>
      </c>
      <c r="L184" s="144" t="str">
        <f>IF(Formulario!H192&lt;&gt;"",IF(Formulario!H192=" "," ",Formulario!H192)," ")</f>
        <v xml:space="preserve"> </v>
      </c>
      <c r="M184" s="144" t="str">
        <f>IF(Formulario!I192&lt;&gt;"",IF(Formulario!I192=" "," ",Formulario!I192)," ")</f>
        <v xml:space="preserve"> </v>
      </c>
      <c r="N184" s="145" t="str">
        <f>IF(Formulario!J192&lt;&gt;"",IF(Formulario!J192=" "," ",Formulario!J192),IF(G184=".",".","Falta Fecha"))</f>
        <v>.</v>
      </c>
      <c r="O184" s="155">
        <f>Formulario!L192</f>
        <v>0</v>
      </c>
      <c r="P184" s="146">
        <f>IF(O184=1,"09:00",Formulario!M192)</f>
        <v>0</v>
      </c>
      <c r="Q184" s="146">
        <f>IF(O184=1,"18:30",Formulario!N192)</f>
        <v>0</v>
      </c>
      <c r="R184" s="146" t="str">
        <f>IF(Formulario!O192&lt;&gt;"",IF(Formulario!O192=" ",".",Formulario!O192),".")</f>
        <v>Post Venta</v>
      </c>
      <c r="S184" s="141" t="s">
        <v>131</v>
      </c>
    </row>
    <row r="185" spans="1:19">
      <c r="A185" s="141">
        <f>Formulario!B193</f>
        <v>0</v>
      </c>
      <c r="B185" s="144" t="str">
        <f>IF(G185="."," ",Formulario!D$5)</f>
        <v xml:space="preserve"> </v>
      </c>
      <c r="C185" s="144" t="str">
        <f>IF(G185=".","",Formulario!D$6)</f>
        <v/>
      </c>
      <c r="D185" s="144" t="str">
        <f>IF(H185=".","",Formulario!D$7)</f>
        <v/>
      </c>
      <c r="E185" s="144" t="str">
        <f>IF(G185=".","",Formulario!J$5)</f>
        <v/>
      </c>
      <c r="F185" s="145" t="str">
        <f>IF(G185=".","",Formulario!J$6)</f>
        <v/>
      </c>
      <c r="G185" s="180" t="str">
        <f>IF(Formulario!C193&lt;&gt;"",IF(Formulario!C193=" ","Falta Depto",IF(H185=".","Error En Descripción",Formulario!C193)),IF(H185=".",".","Falta Datos"))</f>
        <v>.</v>
      </c>
      <c r="H185" s="144" t="str">
        <f>IF(Formulario!D193&lt;&gt;"",IF(Formulario!D193=" ",".",Formulario!D193),".")</f>
        <v>.</v>
      </c>
      <c r="I185" s="144" t="str">
        <f>IF(Formulario!E193&lt;&gt;"",IF(Formulario!E193=" "," ",Formulario!E193),IF(G185=".",".","Falta Propietario"))</f>
        <v>.</v>
      </c>
      <c r="J185" s="144" t="str">
        <f>IF(Formulario!F193&lt;&gt;"",IF(Formulario!F193=" "," ",Formulario!F193)," ")</f>
        <v xml:space="preserve"> </v>
      </c>
      <c r="K185" s="144" t="str">
        <f>IF(Formulario!G193&lt;&gt;"",IF(Formulario!G193=" "," ",Formulario!G193)," ")</f>
        <v xml:space="preserve"> </v>
      </c>
      <c r="L185" s="144" t="str">
        <f>IF(Formulario!H193&lt;&gt;"",IF(Formulario!H193=" "," ",Formulario!H193)," ")</f>
        <v xml:space="preserve"> </v>
      </c>
      <c r="M185" s="144" t="str">
        <f>IF(Formulario!I193&lt;&gt;"",IF(Formulario!I193=" "," ",Formulario!I193)," ")</f>
        <v xml:space="preserve"> </v>
      </c>
      <c r="N185" s="145" t="str">
        <f>IF(Formulario!J193&lt;&gt;"",IF(Formulario!J193=" "," ",Formulario!J193),IF(G185=".",".","Falta Fecha"))</f>
        <v>.</v>
      </c>
      <c r="O185" s="155">
        <f>Formulario!L193</f>
        <v>0</v>
      </c>
      <c r="P185" s="146">
        <f>IF(O185=1,"09:00",Formulario!M193)</f>
        <v>0</v>
      </c>
      <c r="Q185" s="146">
        <f>IF(O185=1,"18:30",Formulario!N193)</f>
        <v>0</v>
      </c>
      <c r="R185" s="146" t="str">
        <f>IF(Formulario!O193&lt;&gt;"",IF(Formulario!O193=" ",".",Formulario!O193),".")</f>
        <v>Post Venta</v>
      </c>
      <c r="S185" s="141" t="s">
        <v>131</v>
      </c>
    </row>
    <row r="186" spans="1:19">
      <c r="A186" s="141">
        <f>Formulario!B194</f>
        <v>0</v>
      </c>
      <c r="B186" s="144" t="str">
        <f>IF(G186="."," ",Formulario!D$5)</f>
        <v xml:space="preserve"> </v>
      </c>
      <c r="C186" s="144" t="str">
        <f>IF(G186=".","",Formulario!D$6)</f>
        <v/>
      </c>
      <c r="D186" s="144" t="str">
        <f>IF(H186=".","",Formulario!D$7)</f>
        <v/>
      </c>
      <c r="E186" s="144" t="str">
        <f>IF(G186=".","",Formulario!J$5)</f>
        <v/>
      </c>
      <c r="F186" s="145" t="str">
        <f>IF(G186=".","",Formulario!J$6)</f>
        <v/>
      </c>
      <c r="G186" s="180" t="str">
        <f>IF(Formulario!C194&lt;&gt;"",IF(Formulario!C194=" ","Falta Depto",IF(H186=".","Error En Descripción",Formulario!C194)),IF(H186=".",".","Falta Datos"))</f>
        <v>.</v>
      </c>
      <c r="H186" s="144" t="str">
        <f>IF(Formulario!D194&lt;&gt;"",IF(Formulario!D194=" ",".",Formulario!D194),".")</f>
        <v>.</v>
      </c>
      <c r="I186" s="144" t="str">
        <f>IF(Formulario!E194&lt;&gt;"",IF(Formulario!E194=" "," ",Formulario!E194),IF(G186=".",".","Falta Propietario"))</f>
        <v>.</v>
      </c>
      <c r="J186" s="144" t="str">
        <f>IF(Formulario!F194&lt;&gt;"",IF(Formulario!F194=" "," ",Formulario!F194)," ")</f>
        <v xml:space="preserve"> </v>
      </c>
      <c r="K186" s="144" t="str">
        <f>IF(Formulario!G194&lt;&gt;"",IF(Formulario!G194=" "," ",Formulario!G194)," ")</f>
        <v xml:space="preserve"> </v>
      </c>
      <c r="L186" s="144" t="str">
        <f>IF(Formulario!H194&lt;&gt;"",IF(Formulario!H194=" "," ",Formulario!H194)," ")</f>
        <v xml:space="preserve"> </v>
      </c>
      <c r="M186" s="144" t="str">
        <f>IF(Formulario!I194&lt;&gt;"",IF(Formulario!I194=" "," ",Formulario!I194)," ")</f>
        <v xml:space="preserve"> </v>
      </c>
      <c r="N186" s="145" t="str">
        <f>IF(Formulario!J194&lt;&gt;"",IF(Formulario!J194=" "," ",Formulario!J194),IF(G186=".",".","Falta Fecha"))</f>
        <v>.</v>
      </c>
      <c r="O186" s="155">
        <f>Formulario!L194</f>
        <v>0</v>
      </c>
      <c r="P186" s="146">
        <f>IF(O186=1,"09:00",Formulario!M194)</f>
        <v>0</v>
      </c>
      <c r="Q186" s="146">
        <f>IF(O186=1,"18:30",Formulario!N194)</f>
        <v>0</v>
      </c>
      <c r="R186" s="146" t="str">
        <f>IF(Formulario!O194&lt;&gt;"",IF(Formulario!O194=" ",".",Formulario!O194),".")</f>
        <v>Post Venta</v>
      </c>
      <c r="S186" s="141" t="s">
        <v>131</v>
      </c>
    </row>
    <row r="187" spans="1:19">
      <c r="A187" s="141">
        <f>Formulario!B195</f>
        <v>0</v>
      </c>
      <c r="B187" s="144" t="str">
        <f>IF(G187="."," ",Formulario!D$5)</f>
        <v xml:space="preserve"> </v>
      </c>
      <c r="C187" s="144" t="str">
        <f>IF(G187=".","",Formulario!D$6)</f>
        <v/>
      </c>
      <c r="D187" s="144" t="str">
        <f>IF(H187=".","",Formulario!D$7)</f>
        <v/>
      </c>
      <c r="E187" s="144" t="str">
        <f>IF(G187=".","",Formulario!J$5)</f>
        <v/>
      </c>
      <c r="F187" s="145" t="str">
        <f>IF(G187=".","",Formulario!J$6)</f>
        <v/>
      </c>
      <c r="G187" s="180" t="str">
        <f>IF(Formulario!C195&lt;&gt;"",IF(Formulario!C195=" ","Falta Depto",IF(H187=".","Error En Descripción",Formulario!C195)),IF(H187=".",".","Falta Datos"))</f>
        <v>.</v>
      </c>
      <c r="H187" s="144" t="str">
        <f>IF(Formulario!D195&lt;&gt;"",IF(Formulario!D195=" ",".",Formulario!D195),".")</f>
        <v>.</v>
      </c>
      <c r="I187" s="144" t="str">
        <f>IF(Formulario!E195&lt;&gt;"",IF(Formulario!E195=" "," ",Formulario!E195),IF(G187=".",".","Falta Propietario"))</f>
        <v>.</v>
      </c>
      <c r="J187" s="144" t="str">
        <f>IF(Formulario!F195&lt;&gt;"",IF(Formulario!F195=" "," ",Formulario!F195)," ")</f>
        <v xml:space="preserve"> </v>
      </c>
      <c r="K187" s="144" t="str">
        <f>IF(Formulario!G195&lt;&gt;"",IF(Formulario!G195=" "," ",Formulario!G195)," ")</f>
        <v xml:space="preserve"> </v>
      </c>
      <c r="L187" s="144" t="str">
        <f>IF(Formulario!H195&lt;&gt;"",IF(Formulario!H195=" "," ",Formulario!H195)," ")</f>
        <v xml:space="preserve"> </v>
      </c>
      <c r="M187" s="144" t="str">
        <f>IF(Formulario!I195&lt;&gt;"",IF(Formulario!I195=" "," ",Formulario!I195)," ")</f>
        <v xml:space="preserve"> </v>
      </c>
      <c r="N187" s="145" t="str">
        <f>IF(Formulario!J195&lt;&gt;"",IF(Formulario!J195=" "," ",Formulario!J195),IF(G187=".",".","Falta Fecha"))</f>
        <v>.</v>
      </c>
      <c r="O187" s="155">
        <f>Formulario!L195</f>
        <v>0</v>
      </c>
      <c r="P187" s="146">
        <f>IF(O187=1,"09:00",Formulario!M195)</f>
        <v>0</v>
      </c>
      <c r="Q187" s="146">
        <f>IF(O187=1,"18:30",Formulario!N195)</f>
        <v>0</v>
      </c>
      <c r="R187" s="146" t="str">
        <f>IF(Formulario!O195&lt;&gt;"",IF(Formulario!O195=" ",".",Formulario!O195),".")</f>
        <v>Post Venta</v>
      </c>
      <c r="S187" s="141" t="s">
        <v>131</v>
      </c>
    </row>
    <row r="188" spans="1:19">
      <c r="A188" s="141">
        <f>Formulario!B196</f>
        <v>0</v>
      </c>
      <c r="B188" s="144" t="str">
        <f>IF(G188="."," ",Formulario!D$5)</f>
        <v xml:space="preserve"> </v>
      </c>
      <c r="C188" s="144" t="str">
        <f>IF(G188=".","",Formulario!D$6)</f>
        <v/>
      </c>
      <c r="D188" s="144" t="str">
        <f>IF(H188=".","",Formulario!D$7)</f>
        <v/>
      </c>
      <c r="E188" s="144" t="str">
        <f>IF(G188=".","",Formulario!J$5)</f>
        <v/>
      </c>
      <c r="F188" s="145" t="str">
        <f>IF(G188=".","",Formulario!J$6)</f>
        <v/>
      </c>
      <c r="G188" s="180" t="str">
        <f>IF(Formulario!C196&lt;&gt;"",IF(Formulario!C196=" ","Falta Depto",IF(H188=".","Error En Descripción",Formulario!C196)),IF(H188=".",".","Falta Datos"))</f>
        <v>.</v>
      </c>
      <c r="H188" s="144" t="str">
        <f>IF(Formulario!D196&lt;&gt;"",IF(Formulario!D196=" ",".",Formulario!D196),".")</f>
        <v>.</v>
      </c>
      <c r="I188" s="144" t="str">
        <f>IF(Formulario!E196&lt;&gt;"",IF(Formulario!E196=" "," ",Formulario!E196),IF(G188=".",".","Falta Propietario"))</f>
        <v>.</v>
      </c>
      <c r="J188" s="144" t="str">
        <f>IF(Formulario!F196&lt;&gt;"",IF(Formulario!F196=" "," ",Formulario!F196)," ")</f>
        <v xml:space="preserve"> </v>
      </c>
      <c r="K188" s="144" t="str">
        <f>IF(Formulario!G196&lt;&gt;"",IF(Formulario!G196=" "," ",Formulario!G196)," ")</f>
        <v xml:space="preserve"> </v>
      </c>
      <c r="L188" s="144" t="str">
        <f>IF(Formulario!H196&lt;&gt;"",IF(Formulario!H196=" "," ",Formulario!H196)," ")</f>
        <v xml:space="preserve"> </v>
      </c>
      <c r="M188" s="144" t="str">
        <f>IF(Formulario!I196&lt;&gt;"",IF(Formulario!I196=" "," ",Formulario!I196)," ")</f>
        <v xml:space="preserve"> </v>
      </c>
      <c r="N188" s="145" t="str">
        <f>IF(Formulario!J196&lt;&gt;"",IF(Formulario!J196=" "," ",Formulario!J196),IF(G188=".",".","Falta Fecha"))</f>
        <v>.</v>
      </c>
      <c r="O188" s="155">
        <f>Formulario!L196</f>
        <v>0</v>
      </c>
      <c r="P188" s="146">
        <f>IF(O188=1,"09:00",Formulario!M196)</f>
        <v>0</v>
      </c>
      <c r="Q188" s="146">
        <f>IF(O188=1,"18:30",Formulario!N196)</f>
        <v>0</v>
      </c>
      <c r="R188" s="146" t="str">
        <f>IF(Formulario!O196&lt;&gt;"",IF(Formulario!O196=" ",".",Formulario!O196),".")</f>
        <v>Post Venta</v>
      </c>
      <c r="S188" s="141" t="s">
        <v>131</v>
      </c>
    </row>
    <row r="189" spans="1:19">
      <c r="A189" s="141">
        <f>Formulario!B197</f>
        <v>0</v>
      </c>
      <c r="B189" s="144" t="str">
        <f>IF(G189="."," ",Formulario!D$5)</f>
        <v xml:space="preserve"> </v>
      </c>
      <c r="C189" s="144" t="str">
        <f>IF(G189=".","",Formulario!D$6)</f>
        <v/>
      </c>
      <c r="D189" s="144" t="str">
        <f>IF(H189=".","",Formulario!D$7)</f>
        <v/>
      </c>
      <c r="E189" s="144" t="str">
        <f>IF(G189=".","",Formulario!J$5)</f>
        <v/>
      </c>
      <c r="F189" s="145" t="str">
        <f>IF(G189=".","",Formulario!J$6)</f>
        <v/>
      </c>
      <c r="G189" s="180" t="str">
        <f>IF(Formulario!C197&lt;&gt;"",IF(Formulario!C197=" ","Falta Depto",IF(H189=".","Error En Descripción",Formulario!C197)),IF(H189=".",".","Falta Datos"))</f>
        <v>.</v>
      </c>
      <c r="H189" s="144" t="str">
        <f>IF(Formulario!D197&lt;&gt;"",IF(Formulario!D197=" ",".",Formulario!D197),".")</f>
        <v>.</v>
      </c>
      <c r="I189" s="144" t="str">
        <f>IF(Formulario!E197&lt;&gt;"",IF(Formulario!E197=" "," ",Formulario!E197),IF(G189=".",".","Falta Propietario"))</f>
        <v>.</v>
      </c>
      <c r="J189" s="144" t="str">
        <f>IF(Formulario!F197&lt;&gt;"",IF(Formulario!F197=" "," ",Formulario!F197)," ")</f>
        <v xml:space="preserve"> </v>
      </c>
      <c r="K189" s="144" t="str">
        <f>IF(Formulario!G197&lt;&gt;"",IF(Formulario!G197=" "," ",Formulario!G197)," ")</f>
        <v xml:space="preserve"> </v>
      </c>
      <c r="L189" s="144" t="str">
        <f>IF(Formulario!H197&lt;&gt;"",IF(Formulario!H197=" "," ",Formulario!H197)," ")</f>
        <v xml:space="preserve"> </v>
      </c>
      <c r="M189" s="144" t="str">
        <f>IF(Formulario!I197&lt;&gt;"",IF(Formulario!I197=" "," ",Formulario!I197)," ")</f>
        <v xml:space="preserve"> </v>
      </c>
      <c r="N189" s="145" t="str">
        <f>IF(Formulario!J197&lt;&gt;"",IF(Formulario!J197=" "," ",Formulario!J197),IF(G189=".",".","Falta Fecha"))</f>
        <v>.</v>
      </c>
      <c r="O189" s="155">
        <f>Formulario!L197</f>
        <v>0</v>
      </c>
      <c r="P189" s="146">
        <f>IF(O189=1,"09:00",Formulario!M197)</f>
        <v>0</v>
      </c>
      <c r="Q189" s="146">
        <f>IF(O189=1,"18:30",Formulario!N197)</f>
        <v>0</v>
      </c>
      <c r="R189" s="146" t="str">
        <f>IF(Formulario!O197&lt;&gt;"",IF(Formulario!O197=" ",".",Formulario!O197),".")</f>
        <v>Post Venta</v>
      </c>
      <c r="S189" s="141" t="s">
        <v>131</v>
      </c>
    </row>
    <row r="190" spans="1:19">
      <c r="A190" s="141">
        <f>Formulario!B198</f>
        <v>0</v>
      </c>
      <c r="B190" s="144" t="str">
        <f>IF(G190="."," ",Formulario!D$5)</f>
        <v xml:space="preserve"> </v>
      </c>
      <c r="C190" s="144" t="str">
        <f>IF(G190=".","",Formulario!D$6)</f>
        <v/>
      </c>
      <c r="D190" s="144" t="str">
        <f>IF(H190=".","",Formulario!D$7)</f>
        <v/>
      </c>
      <c r="E190" s="144" t="str">
        <f>IF(G190=".","",Formulario!J$5)</f>
        <v/>
      </c>
      <c r="F190" s="145" t="str">
        <f>IF(G190=".","",Formulario!J$6)</f>
        <v/>
      </c>
      <c r="G190" s="180" t="str">
        <f>IF(Formulario!C198&lt;&gt;"",IF(Formulario!C198=" ","Falta Depto",IF(H190=".","Error En Descripción",Formulario!C198)),IF(H190=".",".","Falta Datos"))</f>
        <v>.</v>
      </c>
      <c r="H190" s="144" t="str">
        <f>IF(Formulario!D198&lt;&gt;"",IF(Formulario!D198=" ",".",Formulario!D198),".")</f>
        <v>.</v>
      </c>
      <c r="I190" s="144" t="str">
        <f>IF(Formulario!E198&lt;&gt;"",IF(Formulario!E198=" "," ",Formulario!E198),IF(G190=".",".","Falta Propietario"))</f>
        <v>.</v>
      </c>
      <c r="J190" s="144" t="str">
        <f>IF(Formulario!F198&lt;&gt;"",IF(Formulario!F198=" "," ",Formulario!F198)," ")</f>
        <v xml:space="preserve"> </v>
      </c>
      <c r="K190" s="144" t="str">
        <f>IF(Formulario!G198&lt;&gt;"",IF(Formulario!G198=" "," ",Formulario!G198)," ")</f>
        <v xml:space="preserve"> </v>
      </c>
      <c r="L190" s="144" t="str">
        <f>IF(Formulario!H198&lt;&gt;"",IF(Formulario!H198=" "," ",Formulario!H198)," ")</f>
        <v xml:space="preserve"> </v>
      </c>
      <c r="M190" s="144" t="str">
        <f>IF(Formulario!I198&lt;&gt;"",IF(Formulario!I198=" "," ",Formulario!I198)," ")</f>
        <v xml:space="preserve"> </v>
      </c>
      <c r="N190" s="145" t="str">
        <f>IF(Formulario!J198&lt;&gt;"",IF(Formulario!J198=" "," ",Formulario!J198),IF(G190=".",".","Falta Fecha"))</f>
        <v>.</v>
      </c>
      <c r="O190" s="155">
        <f>Formulario!L198</f>
        <v>0</v>
      </c>
      <c r="P190" s="146">
        <f>IF(O190=1,"09:00",Formulario!M198)</f>
        <v>0</v>
      </c>
      <c r="Q190" s="146">
        <f>IF(O190=1,"18:30",Formulario!N198)</f>
        <v>0</v>
      </c>
      <c r="R190" s="146" t="str">
        <f>IF(Formulario!O198&lt;&gt;"",IF(Formulario!O198=" ",".",Formulario!O198),".")</f>
        <v>Post Venta</v>
      </c>
      <c r="S190" s="141" t="s">
        <v>131</v>
      </c>
    </row>
    <row r="191" spans="1:19">
      <c r="A191" s="141">
        <f>Formulario!B199</f>
        <v>0</v>
      </c>
      <c r="B191" s="144" t="str">
        <f>IF(G191="."," ",Formulario!D$5)</f>
        <v xml:space="preserve"> </v>
      </c>
      <c r="C191" s="144" t="str">
        <f>IF(G191=".","",Formulario!D$6)</f>
        <v/>
      </c>
      <c r="D191" s="144" t="str">
        <f>IF(H191=".","",Formulario!D$7)</f>
        <v/>
      </c>
      <c r="E191" s="144" t="str">
        <f>IF(G191=".","",Formulario!J$5)</f>
        <v/>
      </c>
      <c r="F191" s="145" t="str">
        <f>IF(G191=".","",Formulario!J$6)</f>
        <v/>
      </c>
      <c r="G191" s="180" t="str">
        <f>IF(Formulario!C199&lt;&gt;"",IF(Formulario!C199=" ","Falta Depto",IF(H191=".","Error En Descripción",Formulario!C199)),IF(H191=".",".","Falta Datos"))</f>
        <v>.</v>
      </c>
      <c r="H191" s="144" t="str">
        <f>IF(Formulario!D199&lt;&gt;"",IF(Formulario!D199=" ",".",Formulario!D199),".")</f>
        <v>.</v>
      </c>
      <c r="I191" s="144" t="str">
        <f>IF(Formulario!E199&lt;&gt;"",IF(Formulario!E199=" "," ",Formulario!E199),IF(G191=".",".","Falta Propietario"))</f>
        <v>.</v>
      </c>
      <c r="J191" s="144" t="str">
        <f>IF(Formulario!F199&lt;&gt;"",IF(Formulario!F199=" "," ",Formulario!F199)," ")</f>
        <v xml:space="preserve"> </v>
      </c>
      <c r="K191" s="144" t="str">
        <f>IF(Formulario!G199&lt;&gt;"",IF(Formulario!G199=" "," ",Formulario!G199)," ")</f>
        <v xml:space="preserve"> </v>
      </c>
      <c r="L191" s="144" t="str">
        <f>IF(Formulario!H199&lt;&gt;"",IF(Formulario!H199=" "," ",Formulario!H199)," ")</f>
        <v xml:space="preserve"> </v>
      </c>
      <c r="M191" s="144" t="str">
        <f>IF(Formulario!I199&lt;&gt;"",IF(Formulario!I199=" "," ",Formulario!I199)," ")</f>
        <v xml:space="preserve"> </v>
      </c>
      <c r="N191" s="145" t="str">
        <f>IF(Formulario!J199&lt;&gt;"",IF(Formulario!J199=" "," ",Formulario!J199),IF(G191=".",".","Falta Fecha"))</f>
        <v>.</v>
      </c>
      <c r="O191" s="155">
        <f>Formulario!L199</f>
        <v>0</v>
      </c>
      <c r="P191" s="146">
        <f>IF(O191=1,"09:00",Formulario!M199)</f>
        <v>0</v>
      </c>
      <c r="Q191" s="146">
        <f>IF(O191=1,"18:30",Formulario!N199)</f>
        <v>0</v>
      </c>
      <c r="R191" s="146" t="str">
        <f>IF(Formulario!O199&lt;&gt;"",IF(Formulario!O199=" ",".",Formulario!O199),".")</f>
        <v>Post Venta</v>
      </c>
      <c r="S191" s="141" t="s">
        <v>131</v>
      </c>
    </row>
    <row r="192" spans="1:19">
      <c r="A192" s="141">
        <f>Formulario!B200</f>
        <v>0</v>
      </c>
      <c r="B192" s="144" t="str">
        <f>IF(G192="."," ",Formulario!D$5)</f>
        <v xml:space="preserve"> </v>
      </c>
      <c r="C192" s="144" t="str">
        <f>IF(G192=".","",Formulario!D$6)</f>
        <v/>
      </c>
      <c r="D192" s="144" t="str">
        <f>IF(H192=".","",Formulario!D$7)</f>
        <v/>
      </c>
      <c r="E192" s="144" t="str">
        <f>IF(G192=".","",Formulario!J$5)</f>
        <v/>
      </c>
      <c r="F192" s="145" t="str">
        <f>IF(G192=".","",Formulario!J$6)</f>
        <v/>
      </c>
      <c r="G192" s="180" t="str">
        <f>IF(Formulario!C200&lt;&gt;"",IF(Formulario!C200=" ","Falta Depto",IF(H192=".","Error En Descripción",Formulario!C200)),IF(H192=".",".","Falta Datos"))</f>
        <v>.</v>
      </c>
      <c r="H192" s="144" t="str">
        <f>IF(Formulario!D200&lt;&gt;"",IF(Formulario!D200=" ",".",Formulario!D200),".")</f>
        <v>.</v>
      </c>
      <c r="I192" s="144" t="str">
        <f>IF(Formulario!E200&lt;&gt;"",IF(Formulario!E200=" "," ",Formulario!E200),IF(G192=".",".","Falta Propietario"))</f>
        <v>.</v>
      </c>
      <c r="J192" s="144" t="str">
        <f>IF(Formulario!F200&lt;&gt;"",IF(Formulario!F200=" "," ",Formulario!F200)," ")</f>
        <v xml:space="preserve"> </v>
      </c>
      <c r="K192" s="144" t="str">
        <f>IF(Formulario!G200&lt;&gt;"",IF(Formulario!G200=" "," ",Formulario!G200)," ")</f>
        <v xml:space="preserve"> </v>
      </c>
      <c r="L192" s="144" t="str">
        <f>IF(Formulario!H200&lt;&gt;"",IF(Formulario!H200=" "," ",Formulario!H200)," ")</f>
        <v xml:space="preserve"> </v>
      </c>
      <c r="M192" s="144" t="str">
        <f>IF(Formulario!I200&lt;&gt;"",IF(Formulario!I200=" "," ",Formulario!I200)," ")</f>
        <v xml:space="preserve"> </v>
      </c>
      <c r="N192" s="145" t="str">
        <f>IF(Formulario!J200&lt;&gt;"",IF(Formulario!J200=" "," ",Formulario!J200),IF(G192=".",".","Falta Fecha"))</f>
        <v>.</v>
      </c>
      <c r="O192" s="155">
        <f>Formulario!L200</f>
        <v>0</v>
      </c>
      <c r="P192" s="146">
        <f>IF(O192=1,"09:00",Formulario!M200)</f>
        <v>0</v>
      </c>
      <c r="Q192" s="146">
        <f>IF(O192=1,"18:30",Formulario!N200)</f>
        <v>0</v>
      </c>
      <c r="R192" s="146" t="str">
        <f>IF(Formulario!O200&lt;&gt;"",IF(Formulario!O200=" ",".",Formulario!O200),".")</f>
        <v>Post Venta</v>
      </c>
      <c r="S192" s="141" t="s">
        <v>131</v>
      </c>
    </row>
    <row r="193" spans="1:19">
      <c r="A193" s="141">
        <f>Formulario!B201</f>
        <v>0</v>
      </c>
      <c r="B193" s="144" t="str">
        <f>IF(G193="."," ",Formulario!D$5)</f>
        <v xml:space="preserve"> </v>
      </c>
      <c r="C193" s="144" t="str">
        <f>IF(G193=".","",Formulario!D$6)</f>
        <v/>
      </c>
      <c r="D193" s="144" t="str">
        <f>IF(H193=".","",Formulario!D$7)</f>
        <v/>
      </c>
      <c r="E193" s="144" t="str">
        <f>IF(G193=".","",Formulario!J$5)</f>
        <v/>
      </c>
      <c r="F193" s="145" t="str">
        <f>IF(G193=".","",Formulario!J$6)</f>
        <v/>
      </c>
      <c r="G193" s="180" t="str">
        <f>IF(Formulario!C201&lt;&gt;"",IF(Formulario!C201=" ","Falta Depto",IF(H193=".","Error En Descripción",Formulario!C201)),IF(H193=".",".","Falta Datos"))</f>
        <v>.</v>
      </c>
      <c r="H193" s="144" t="str">
        <f>IF(Formulario!D201&lt;&gt;"",IF(Formulario!D201=" ",".",Formulario!D201),".")</f>
        <v>.</v>
      </c>
      <c r="I193" s="144" t="str">
        <f>IF(Formulario!E201&lt;&gt;"",IF(Formulario!E201=" "," ",Formulario!E201),IF(G193=".",".","Falta Propietario"))</f>
        <v>.</v>
      </c>
      <c r="J193" s="144" t="str">
        <f>IF(Formulario!F201&lt;&gt;"",IF(Formulario!F201=" "," ",Formulario!F201)," ")</f>
        <v xml:space="preserve"> </v>
      </c>
      <c r="K193" s="144" t="str">
        <f>IF(Formulario!G201&lt;&gt;"",IF(Formulario!G201=" "," ",Formulario!G201)," ")</f>
        <v xml:space="preserve"> </v>
      </c>
      <c r="L193" s="144" t="str">
        <f>IF(Formulario!H201&lt;&gt;"",IF(Formulario!H201=" "," ",Formulario!H201)," ")</f>
        <v xml:space="preserve"> </v>
      </c>
      <c r="M193" s="144" t="str">
        <f>IF(Formulario!I201&lt;&gt;"",IF(Formulario!I201=" "," ",Formulario!I201)," ")</f>
        <v xml:space="preserve"> </v>
      </c>
      <c r="N193" s="145" t="str">
        <f>IF(Formulario!J201&lt;&gt;"",IF(Formulario!J201=" "," ",Formulario!J201),IF(G193=".",".","Falta Fecha"))</f>
        <v>.</v>
      </c>
      <c r="O193" s="155">
        <f>Formulario!L201</f>
        <v>0</v>
      </c>
      <c r="P193" s="146">
        <f>IF(O193=1,"09:00",Formulario!M201)</f>
        <v>0</v>
      </c>
      <c r="Q193" s="146">
        <f>IF(O193=1,"18:30",Formulario!N201)</f>
        <v>0</v>
      </c>
      <c r="R193" s="146" t="str">
        <f>IF(Formulario!O201&lt;&gt;"",IF(Formulario!O201=" ",".",Formulario!O201),".")</f>
        <v>Post Venta</v>
      </c>
      <c r="S193" s="141" t="s">
        <v>131</v>
      </c>
    </row>
    <row r="194" spans="1:19">
      <c r="A194" s="141">
        <f>Formulario!B202</f>
        <v>0</v>
      </c>
      <c r="B194" s="144" t="str">
        <f>IF(G194="."," ",Formulario!D$5)</f>
        <v xml:space="preserve"> </v>
      </c>
      <c r="C194" s="144" t="str">
        <f>IF(G194=".","",Formulario!D$6)</f>
        <v/>
      </c>
      <c r="D194" s="144" t="str">
        <f>IF(H194=".","",Formulario!D$7)</f>
        <v/>
      </c>
      <c r="E194" s="144" t="str">
        <f>IF(G194=".","",Formulario!J$5)</f>
        <v/>
      </c>
      <c r="F194" s="145" t="str">
        <f>IF(G194=".","",Formulario!J$6)</f>
        <v/>
      </c>
      <c r="G194" s="180" t="str">
        <f>IF(Formulario!C202&lt;&gt;"",IF(Formulario!C202=" ","Falta Depto",IF(H194=".","Error En Descripción",Formulario!C202)),IF(H194=".",".","Falta Datos"))</f>
        <v>.</v>
      </c>
      <c r="H194" s="144" t="str">
        <f>IF(Formulario!D202&lt;&gt;"",IF(Formulario!D202=" ",".",Formulario!D202),".")</f>
        <v>.</v>
      </c>
      <c r="I194" s="144" t="str">
        <f>IF(Formulario!E202&lt;&gt;"",IF(Formulario!E202=" "," ",Formulario!E202),IF(G194=".",".","Falta Propietario"))</f>
        <v>.</v>
      </c>
      <c r="J194" s="144" t="str">
        <f>IF(Formulario!F202&lt;&gt;"",IF(Formulario!F202=" "," ",Formulario!F202)," ")</f>
        <v xml:space="preserve"> </v>
      </c>
      <c r="K194" s="144" t="str">
        <f>IF(Formulario!G202&lt;&gt;"",IF(Formulario!G202=" "," ",Formulario!G202)," ")</f>
        <v xml:space="preserve"> </v>
      </c>
      <c r="L194" s="144" t="str">
        <f>IF(Formulario!H202&lt;&gt;"",IF(Formulario!H202=" "," ",Formulario!H202)," ")</f>
        <v xml:space="preserve"> </v>
      </c>
      <c r="M194" s="144" t="str">
        <f>IF(Formulario!I202&lt;&gt;"",IF(Formulario!I202=" "," ",Formulario!I202)," ")</f>
        <v xml:space="preserve"> </v>
      </c>
      <c r="N194" s="145" t="str">
        <f>IF(Formulario!J202&lt;&gt;"",IF(Formulario!J202=" "," ",Formulario!J202),IF(G194=".",".","Falta Fecha"))</f>
        <v>.</v>
      </c>
      <c r="O194" s="155">
        <f>Formulario!L202</f>
        <v>0</v>
      </c>
      <c r="P194" s="146">
        <f>IF(O194=1,"09:00",Formulario!M202)</f>
        <v>0</v>
      </c>
      <c r="Q194" s="146">
        <f>IF(O194=1,"18:30",Formulario!N202)</f>
        <v>0</v>
      </c>
      <c r="R194" s="146" t="str">
        <f>IF(Formulario!O202&lt;&gt;"",IF(Formulario!O202=" ",".",Formulario!O202),".")</f>
        <v>Post Venta</v>
      </c>
      <c r="S194" s="141" t="s">
        <v>131</v>
      </c>
    </row>
    <row r="195" spans="1:19">
      <c r="A195" s="141">
        <f>Formulario!B203</f>
        <v>0</v>
      </c>
      <c r="B195" s="144" t="str">
        <f>IF(G195="."," ",Formulario!D$5)</f>
        <v xml:space="preserve"> </v>
      </c>
      <c r="C195" s="144" t="str">
        <f>IF(G195=".","",Formulario!D$6)</f>
        <v/>
      </c>
      <c r="D195" s="144" t="str">
        <f>IF(H195=".","",Formulario!D$7)</f>
        <v/>
      </c>
      <c r="E195" s="144" t="str">
        <f>IF(G195=".","",Formulario!J$5)</f>
        <v/>
      </c>
      <c r="F195" s="145" t="str">
        <f>IF(G195=".","",Formulario!J$6)</f>
        <v/>
      </c>
      <c r="G195" s="180" t="str">
        <f>IF(Formulario!C203&lt;&gt;"",IF(Formulario!C203=" ","Falta Depto",IF(H195=".","Error En Descripción",Formulario!C203)),IF(H195=".",".","Falta Datos"))</f>
        <v>.</v>
      </c>
      <c r="H195" s="144" t="str">
        <f>IF(Formulario!D203&lt;&gt;"",IF(Formulario!D203=" ",".",Formulario!D203),".")</f>
        <v>.</v>
      </c>
      <c r="I195" s="144" t="str">
        <f>IF(Formulario!E203&lt;&gt;"",IF(Formulario!E203=" "," ",Formulario!E203),IF(G195=".",".","Falta Propietario"))</f>
        <v>.</v>
      </c>
      <c r="J195" s="144" t="str">
        <f>IF(Formulario!F203&lt;&gt;"",IF(Formulario!F203=" "," ",Formulario!F203)," ")</f>
        <v xml:space="preserve"> </v>
      </c>
      <c r="K195" s="144" t="str">
        <f>IF(Formulario!G203&lt;&gt;"",IF(Formulario!G203=" "," ",Formulario!G203)," ")</f>
        <v xml:space="preserve"> </v>
      </c>
      <c r="L195" s="144" t="str">
        <f>IF(Formulario!H203&lt;&gt;"",IF(Formulario!H203=" "," ",Formulario!H203)," ")</f>
        <v xml:space="preserve"> </v>
      </c>
      <c r="M195" s="144" t="str">
        <f>IF(Formulario!I203&lt;&gt;"",IF(Formulario!I203=" "," ",Formulario!I203)," ")</f>
        <v xml:space="preserve"> </v>
      </c>
      <c r="N195" s="145" t="str">
        <f>IF(Formulario!J203&lt;&gt;"",IF(Formulario!J203=" "," ",Formulario!J203),IF(G195=".",".","Falta Fecha"))</f>
        <v>.</v>
      </c>
      <c r="O195" s="155">
        <f>Formulario!L203</f>
        <v>0</v>
      </c>
      <c r="P195" s="146">
        <f>IF(O195=1,"09:00",Formulario!M203)</f>
        <v>0</v>
      </c>
      <c r="Q195" s="146">
        <f>IF(O195=1,"18:30",Formulario!N203)</f>
        <v>0</v>
      </c>
      <c r="R195" s="146" t="str">
        <f>IF(Formulario!O203&lt;&gt;"",IF(Formulario!O203=" ",".",Formulario!O203),".")</f>
        <v>Post Venta</v>
      </c>
      <c r="S195" s="141" t="s">
        <v>131</v>
      </c>
    </row>
    <row r="196" spans="1:19">
      <c r="A196" s="141">
        <f>Formulario!B204</f>
        <v>0</v>
      </c>
      <c r="B196" s="144" t="str">
        <f>IF(G196="."," ",Formulario!D$5)</f>
        <v xml:space="preserve"> </v>
      </c>
      <c r="C196" s="144" t="str">
        <f>IF(G196=".","",Formulario!D$6)</f>
        <v/>
      </c>
      <c r="D196" s="144" t="str">
        <f>IF(H196=".","",Formulario!D$7)</f>
        <v/>
      </c>
      <c r="E196" s="144" t="str">
        <f>IF(G196=".","",Formulario!J$5)</f>
        <v/>
      </c>
      <c r="F196" s="145" t="str">
        <f>IF(G196=".","",Formulario!J$6)</f>
        <v/>
      </c>
      <c r="G196" s="180" t="str">
        <f>IF(Formulario!C204&lt;&gt;"",IF(Formulario!C204=" ","Falta Depto",IF(H196=".","Error En Descripción",Formulario!C204)),IF(H196=".",".","Falta Datos"))</f>
        <v>.</v>
      </c>
      <c r="H196" s="144" t="str">
        <f>IF(Formulario!D204&lt;&gt;"",IF(Formulario!D204=" ",".",Formulario!D204),".")</f>
        <v>.</v>
      </c>
      <c r="I196" s="144" t="str">
        <f>IF(Formulario!E204&lt;&gt;"",IF(Formulario!E204=" "," ",Formulario!E204),IF(G196=".",".","Falta Propietario"))</f>
        <v>.</v>
      </c>
      <c r="J196" s="144" t="str">
        <f>IF(Formulario!F204&lt;&gt;"",IF(Formulario!F204=" "," ",Formulario!F204)," ")</f>
        <v xml:space="preserve"> </v>
      </c>
      <c r="K196" s="144" t="str">
        <f>IF(Formulario!G204&lt;&gt;"",IF(Formulario!G204=" "," ",Formulario!G204)," ")</f>
        <v xml:space="preserve"> </v>
      </c>
      <c r="L196" s="144" t="str">
        <f>IF(Formulario!H204&lt;&gt;"",IF(Formulario!H204=" "," ",Formulario!H204)," ")</f>
        <v xml:space="preserve"> </v>
      </c>
      <c r="M196" s="144" t="str">
        <f>IF(Formulario!I204&lt;&gt;"",IF(Formulario!I204=" "," ",Formulario!I204)," ")</f>
        <v xml:space="preserve"> </v>
      </c>
      <c r="N196" s="145" t="str">
        <f>IF(Formulario!J204&lt;&gt;"",IF(Formulario!J204=" "," ",Formulario!J204),IF(G196=".",".","Falta Fecha"))</f>
        <v>.</v>
      </c>
      <c r="O196" s="155">
        <f>Formulario!L204</f>
        <v>0</v>
      </c>
      <c r="P196" s="146">
        <f>IF(O196=1,"09:00",Formulario!M204)</f>
        <v>0</v>
      </c>
      <c r="Q196" s="146">
        <f>IF(O196=1,"18:30",Formulario!N204)</f>
        <v>0</v>
      </c>
      <c r="R196" s="146" t="str">
        <f>IF(Formulario!O204&lt;&gt;"",IF(Formulario!O204=" ",".",Formulario!O204),".")</f>
        <v>Post Venta</v>
      </c>
      <c r="S196" s="141" t="s">
        <v>131</v>
      </c>
    </row>
    <row r="197" spans="1:19">
      <c r="A197" s="141">
        <f>Formulario!B205</f>
        <v>0</v>
      </c>
      <c r="B197" s="144" t="str">
        <f>IF(G197="."," ",Formulario!D$5)</f>
        <v xml:space="preserve"> </v>
      </c>
      <c r="C197" s="144" t="str">
        <f>IF(G197=".","",Formulario!D$6)</f>
        <v/>
      </c>
      <c r="D197" s="144" t="str">
        <f>IF(H197=".","",Formulario!D$7)</f>
        <v/>
      </c>
      <c r="E197" s="144" t="str">
        <f>IF(G197=".","",Formulario!J$5)</f>
        <v/>
      </c>
      <c r="F197" s="145" t="str">
        <f>IF(G197=".","",Formulario!J$6)</f>
        <v/>
      </c>
      <c r="G197" s="180" t="str">
        <f>IF(Formulario!C205&lt;&gt;"",IF(Formulario!C205=" ","Falta Depto",IF(H197=".","Error En Descripción",Formulario!C205)),IF(H197=".",".","Falta Datos"))</f>
        <v>.</v>
      </c>
      <c r="H197" s="144" t="str">
        <f>IF(Formulario!D205&lt;&gt;"",IF(Formulario!D205=" ",".",Formulario!D205),".")</f>
        <v>.</v>
      </c>
      <c r="I197" s="144" t="str">
        <f>IF(Formulario!E205&lt;&gt;"",IF(Formulario!E205=" "," ",Formulario!E205),IF(G197=".",".","Falta Propietario"))</f>
        <v>.</v>
      </c>
      <c r="J197" s="144" t="str">
        <f>IF(Formulario!F205&lt;&gt;"",IF(Formulario!F205=" "," ",Formulario!F205)," ")</f>
        <v xml:space="preserve"> </v>
      </c>
      <c r="K197" s="144" t="str">
        <f>IF(Formulario!G205&lt;&gt;"",IF(Formulario!G205=" "," ",Formulario!G205)," ")</f>
        <v xml:space="preserve"> </v>
      </c>
      <c r="L197" s="144" t="str">
        <f>IF(Formulario!H205&lt;&gt;"",IF(Formulario!H205=" "," ",Formulario!H205)," ")</f>
        <v xml:space="preserve"> </v>
      </c>
      <c r="M197" s="144" t="str">
        <f>IF(Formulario!I205&lt;&gt;"",IF(Formulario!I205=" "," ",Formulario!I205)," ")</f>
        <v xml:space="preserve"> </v>
      </c>
      <c r="N197" s="145" t="str">
        <f>IF(Formulario!J205&lt;&gt;"",IF(Formulario!J205=" "," ",Formulario!J205),IF(G197=".",".","Falta Fecha"))</f>
        <v>.</v>
      </c>
      <c r="O197" s="155">
        <f>Formulario!L205</f>
        <v>0</v>
      </c>
      <c r="P197" s="146">
        <f>IF(O197=1,"09:00",Formulario!M205)</f>
        <v>0</v>
      </c>
      <c r="Q197" s="146">
        <f>IF(O197=1,"18:30",Formulario!N205)</f>
        <v>0</v>
      </c>
      <c r="R197" s="146" t="str">
        <f>IF(Formulario!O205&lt;&gt;"",IF(Formulario!O205=" ",".",Formulario!O205),".")</f>
        <v>Post Venta</v>
      </c>
      <c r="S197" s="141" t="s">
        <v>131</v>
      </c>
    </row>
    <row r="198" spans="1:19">
      <c r="A198" s="141">
        <f>Formulario!B206</f>
        <v>0</v>
      </c>
      <c r="B198" s="144" t="str">
        <f>IF(G198="."," ",Formulario!D$5)</f>
        <v xml:space="preserve"> </v>
      </c>
      <c r="C198" s="144" t="str">
        <f>IF(G198=".","",Formulario!D$6)</f>
        <v/>
      </c>
      <c r="D198" s="144" t="str">
        <f>IF(H198=".","",Formulario!D$7)</f>
        <v/>
      </c>
      <c r="E198" s="144" t="str">
        <f>IF(G198=".","",Formulario!J$5)</f>
        <v/>
      </c>
      <c r="F198" s="145" t="str">
        <f>IF(G198=".","",Formulario!J$6)</f>
        <v/>
      </c>
      <c r="G198" s="180" t="str">
        <f>IF(Formulario!C206&lt;&gt;"",IF(Formulario!C206=" ","Falta Depto",IF(H198=".","Error En Descripción",Formulario!C206)),IF(H198=".",".","Falta Datos"))</f>
        <v>.</v>
      </c>
      <c r="H198" s="144" t="str">
        <f>IF(Formulario!D206&lt;&gt;"",IF(Formulario!D206=" ",".",Formulario!D206),".")</f>
        <v>.</v>
      </c>
      <c r="I198" s="144" t="str">
        <f>IF(Formulario!E206&lt;&gt;"",IF(Formulario!E206=" "," ",Formulario!E206),IF(G198=".",".","Falta Propietario"))</f>
        <v>.</v>
      </c>
      <c r="J198" s="144" t="str">
        <f>IF(Formulario!F206&lt;&gt;"",IF(Formulario!F206=" "," ",Formulario!F206)," ")</f>
        <v xml:space="preserve"> </v>
      </c>
      <c r="K198" s="144" t="str">
        <f>IF(Formulario!G206&lt;&gt;"",IF(Formulario!G206=" "," ",Formulario!G206)," ")</f>
        <v xml:space="preserve"> </v>
      </c>
      <c r="L198" s="144" t="str">
        <f>IF(Formulario!H206&lt;&gt;"",IF(Formulario!H206=" "," ",Formulario!H206)," ")</f>
        <v xml:space="preserve"> </v>
      </c>
      <c r="M198" s="144" t="str">
        <f>IF(Formulario!I206&lt;&gt;"",IF(Formulario!I206=" "," ",Formulario!I206)," ")</f>
        <v xml:space="preserve"> </v>
      </c>
      <c r="N198" s="145" t="str">
        <f>IF(Formulario!J206&lt;&gt;"",IF(Formulario!J206=" "," ",Formulario!J206),IF(G198=".",".","Falta Fecha"))</f>
        <v>.</v>
      </c>
      <c r="O198" s="155">
        <f>Formulario!L206</f>
        <v>0</v>
      </c>
      <c r="P198" s="146">
        <f>IF(O198=1,"09:00",Formulario!M206)</f>
        <v>0</v>
      </c>
      <c r="Q198" s="146">
        <f>IF(O198=1,"18:30",Formulario!N206)</f>
        <v>0</v>
      </c>
      <c r="R198" s="146" t="str">
        <f>IF(Formulario!O206&lt;&gt;"",IF(Formulario!O206=" ",".",Formulario!O206),".")</f>
        <v>Post Venta</v>
      </c>
      <c r="S198" s="141" t="s">
        <v>131</v>
      </c>
    </row>
    <row r="199" spans="1:19">
      <c r="A199" s="141">
        <f>Formulario!B207</f>
        <v>0</v>
      </c>
      <c r="B199" s="144" t="str">
        <f>IF(G199="."," ",Formulario!D$5)</f>
        <v xml:space="preserve"> </v>
      </c>
      <c r="C199" s="144" t="str">
        <f>IF(G199=".","",Formulario!D$6)</f>
        <v/>
      </c>
      <c r="D199" s="144" t="str">
        <f>IF(H199=".","",Formulario!D$7)</f>
        <v/>
      </c>
      <c r="E199" s="144" t="str">
        <f>IF(G199=".","",Formulario!J$5)</f>
        <v/>
      </c>
      <c r="F199" s="145" t="str">
        <f>IF(G199=".","",Formulario!J$6)</f>
        <v/>
      </c>
      <c r="G199" s="180" t="str">
        <f>IF(Formulario!C207&lt;&gt;"",IF(Formulario!C207=" ","Falta Depto",IF(H199=".","Error En Descripción",Formulario!C207)),IF(H199=".",".","Falta Datos"))</f>
        <v>.</v>
      </c>
      <c r="H199" s="144" t="str">
        <f>IF(Formulario!D207&lt;&gt;"",IF(Formulario!D207=" ",".",Formulario!D207),".")</f>
        <v>.</v>
      </c>
      <c r="I199" s="144" t="str">
        <f>IF(Formulario!E207&lt;&gt;"",IF(Formulario!E207=" "," ",Formulario!E207),IF(G199=".",".","Falta Propietario"))</f>
        <v>.</v>
      </c>
      <c r="J199" s="144" t="str">
        <f>IF(Formulario!F207&lt;&gt;"",IF(Formulario!F207=" "," ",Formulario!F207)," ")</f>
        <v xml:space="preserve"> </v>
      </c>
      <c r="K199" s="144" t="str">
        <f>IF(Formulario!G207&lt;&gt;"",IF(Formulario!G207=" "," ",Formulario!G207)," ")</f>
        <v xml:space="preserve"> </v>
      </c>
      <c r="L199" s="144" t="str">
        <f>IF(Formulario!H207&lt;&gt;"",IF(Formulario!H207=" "," ",Formulario!H207)," ")</f>
        <v xml:space="preserve"> </v>
      </c>
      <c r="M199" s="144" t="str">
        <f>IF(Formulario!I207&lt;&gt;"",IF(Formulario!I207=" "," ",Formulario!I207)," ")</f>
        <v xml:space="preserve"> </v>
      </c>
      <c r="N199" s="145" t="str">
        <f>IF(Formulario!J207&lt;&gt;"",IF(Formulario!J207=" "," ",Formulario!J207),IF(G199=".",".","Falta Fecha"))</f>
        <v>.</v>
      </c>
      <c r="O199" s="155">
        <f>Formulario!L207</f>
        <v>0</v>
      </c>
      <c r="P199" s="146">
        <f>IF(O199=1,"09:00",Formulario!M207)</f>
        <v>0</v>
      </c>
      <c r="Q199" s="146">
        <f>IF(O199=1,"18:30",Formulario!N207)</f>
        <v>0</v>
      </c>
      <c r="R199" s="146" t="str">
        <f>IF(Formulario!O207&lt;&gt;"",IF(Formulario!O207=" ",".",Formulario!O207),".")</f>
        <v>Post Venta</v>
      </c>
      <c r="S199" s="141" t="s">
        <v>131</v>
      </c>
    </row>
    <row r="200" spans="1:19">
      <c r="A200" s="141">
        <f>Formulario!B208</f>
        <v>0</v>
      </c>
      <c r="B200" s="144" t="str">
        <f>IF(G200="."," ",Formulario!D$5)</f>
        <v xml:space="preserve"> </v>
      </c>
      <c r="C200" s="144" t="str">
        <f>IF(G200=".","",Formulario!D$6)</f>
        <v/>
      </c>
      <c r="D200" s="144" t="str">
        <f>IF(H200=".","",Formulario!D$7)</f>
        <v/>
      </c>
      <c r="E200" s="144" t="str">
        <f>IF(G200=".","",Formulario!J$5)</f>
        <v/>
      </c>
      <c r="F200" s="145" t="str">
        <f>IF(G200=".","",Formulario!J$6)</f>
        <v/>
      </c>
      <c r="G200" s="180" t="str">
        <f>IF(Formulario!C208&lt;&gt;"",IF(Formulario!C208=" ","Falta Depto",IF(H200=".","Error En Descripción",Formulario!C208)),IF(H200=".",".","Falta Datos"))</f>
        <v>.</v>
      </c>
      <c r="H200" s="144" t="str">
        <f>IF(Formulario!D208&lt;&gt;"",IF(Formulario!D208=" ",".",Formulario!D208),".")</f>
        <v>.</v>
      </c>
      <c r="I200" s="144" t="str">
        <f>IF(Formulario!E208&lt;&gt;"",IF(Formulario!E208=" "," ",Formulario!E208),IF(G200=".",".","Falta Propietario"))</f>
        <v>.</v>
      </c>
      <c r="J200" s="144" t="str">
        <f>IF(Formulario!F208&lt;&gt;"",IF(Formulario!F208=" "," ",Formulario!F208)," ")</f>
        <v xml:space="preserve"> </v>
      </c>
      <c r="K200" s="144" t="str">
        <f>IF(Formulario!G208&lt;&gt;"",IF(Formulario!G208=" "," ",Formulario!G208)," ")</f>
        <v xml:space="preserve"> </v>
      </c>
      <c r="L200" s="144" t="str">
        <f>IF(Formulario!H208&lt;&gt;"",IF(Formulario!H208=" "," ",Formulario!H208)," ")</f>
        <v xml:space="preserve"> </v>
      </c>
      <c r="M200" s="144" t="str">
        <f>IF(Formulario!I208&lt;&gt;"",IF(Formulario!I208=" "," ",Formulario!I208)," ")</f>
        <v xml:space="preserve"> </v>
      </c>
      <c r="N200" s="145" t="str">
        <f>IF(Formulario!J208&lt;&gt;"",IF(Formulario!J208=" "," ",Formulario!J208),IF(G200=".",".","Falta Fecha"))</f>
        <v>.</v>
      </c>
      <c r="O200" s="155">
        <f>Formulario!L208</f>
        <v>0</v>
      </c>
      <c r="P200" s="146">
        <f>IF(O200=1,"09:00",Formulario!M208)</f>
        <v>0</v>
      </c>
      <c r="Q200" s="146">
        <f>IF(O200=1,"18:30",Formulario!N208)</f>
        <v>0</v>
      </c>
      <c r="R200" s="146" t="str">
        <f>IF(Formulario!O208&lt;&gt;"",IF(Formulario!O208=" ",".",Formulario!O208),".")</f>
        <v>Post Venta</v>
      </c>
      <c r="S200" s="141" t="s">
        <v>131</v>
      </c>
    </row>
    <row r="201" spans="1:19">
      <c r="A201" s="141">
        <f>Formulario!B209</f>
        <v>0</v>
      </c>
      <c r="B201" s="144" t="str">
        <f>IF(G201="."," ",Formulario!D$5)</f>
        <v xml:space="preserve"> </v>
      </c>
      <c r="C201" s="144" t="str">
        <f>IF(G201=".","",Formulario!D$6)</f>
        <v/>
      </c>
      <c r="D201" s="144" t="str">
        <f>IF(H201=".","",Formulario!D$7)</f>
        <v/>
      </c>
      <c r="E201" s="144" t="str">
        <f>IF(G201=".","",Formulario!J$5)</f>
        <v/>
      </c>
      <c r="F201" s="145" t="str">
        <f>IF(G201=".","",Formulario!J$6)</f>
        <v/>
      </c>
      <c r="G201" s="180" t="str">
        <f>IF(Formulario!C209&lt;&gt;"",IF(Formulario!C209=" ","Falta Depto",IF(H201=".","Error En Descripción",Formulario!C209)),IF(H201=".",".","Falta Datos"))</f>
        <v>.</v>
      </c>
      <c r="H201" s="144" t="str">
        <f>IF(Formulario!D209&lt;&gt;"",IF(Formulario!D209=" ",".",Formulario!D209),".")</f>
        <v>.</v>
      </c>
      <c r="I201" s="144" t="str">
        <f>IF(Formulario!E209&lt;&gt;"",IF(Formulario!E209=" "," ",Formulario!E209),IF(G201=".",".","Falta Propietario"))</f>
        <v>.</v>
      </c>
      <c r="J201" s="144" t="str">
        <f>IF(Formulario!F209&lt;&gt;"",IF(Formulario!F209=" "," ",Formulario!F209)," ")</f>
        <v xml:space="preserve"> </v>
      </c>
      <c r="K201" s="144" t="str">
        <f>IF(Formulario!G209&lt;&gt;"",IF(Formulario!G209=" "," ",Formulario!G209)," ")</f>
        <v xml:space="preserve"> </v>
      </c>
      <c r="L201" s="144" t="str">
        <f>IF(Formulario!H209&lt;&gt;"",IF(Formulario!H209=" "," ",Formulario!H209)," ")</f>
        <v xml:space="preserve"> </v>
      </c>
      <c r="M201" s="144" t="str">
        <f>IF(Formulario!I209&lt;&gt;"",IF(Formulario!I209=" "," ",Formulario!I209)," ")</f>
        <v xml:space="preserve"> </v>
      </c>
      <c r="N201" s="145" t="str">
        <f>IF(Formulario!J209&lt;&gt;"",IF(Formulario!J209=" "," ",Formulario!J209),IF(G201=".",".","Falta Fecha"))</f>
        <v>.</v>
      </c>
      <c r="O201" s="155">
        <f>Formulario!L209</f>
        <v>0</v>
      </c>
      <c r="P201" s="146">
        <f>IF(O201=1,"09:00",Formulario!M209)</f>
        <v>0</v>
      </c>
      <c r="Q201" s="146">
        <f>IF(O201=1,"18:30",Formulario!N209)</f>
        <v>0</v>
      </c>
      <c r="R201" s="146" t="str">
        <f>IF(Formulario!O209&lt;&gt;"",IF(Formulario!O209=" ",".",Formulario!O209),".")</f>
        <v>Post Venta</v>
      </c>
      <c r="S201" s="141" t="s">
        <v>131</v>
      </c>
    </row>
    <row r="202" spans="1:19">
      <c r="A202" s="141">
        <f>Formulario!B210</f>
        <v>0</v>
      </c>
      <c r="B202" s="144" t="str">
        <f>IF(G202="."," ",Formulario!D$5)</f>
        <v xml:space="preserve"> </v>
      </c>
      <c r="C202" s="144" t="str">
        <f>IF(G202=".","",Formulario!D$6)</f>
        <v/>
      </c>
      <c r="D202" s="144" t="str">
        <f>IF(H202=".","",Formulario!D$7)</f>
        <v/>
      </c>
      <c r="E202" s="144" t="str">
        <f>IF(G202=".","",Formulario!J$5)</f>
        <v/>
      </c>
      <c r="F202" s="145" t="str">
        <f>IF(G202=".","",Formulario!J$6)</f>
        <v/>
      </c>
      <c r="G202" s="180" t="str">
        <f>IF(Formulario!C210&lt;&gt;"",IF(Formulario!C210=" ","Falta Depto",IF(H202=".","Error En Descripción",Formulario!C210)),IF(H202=".",".","Falta Datos"))</f>
        <v>.</v>
      </c>
      <c r="H202" s="144" t="str">
        <f>IF(Formulario!D210&lt;&gt;"",IF(Formulario!D210=" ",".",Formulario!D210),".")</f>
        <v>.</v>
      </c>
      <c r="I202" s="144" t="str">
        <f>IF(Formulario!E210&lt;&gt;"",IF(Formulario!E210=" "," ",Formulario!E210),IF(G202=".",".","Falta Propietario"))</f>
        <v>.</v>
      </c>
      <c r="J202" s="144" t="str">
        <f>IF(Formulario!F210&lt;&gt;"",IF(Formulario!F210=" "," ",Formulario!F210)," ")</f>
        <v xml:space="preserve"> </v>
      </c>
      <c r="K202" s="144" t="str">
        <f>IF(Formulario!G210&lt;&gt;"",IF(Formulario!G210=" "," ",Formulario!G210)," ")</f>
        <v xml:space="preserve"> </v>
      </c>
      <c r="L202" s="144" t="str">
        <f>IF(Formulario!H210&lt;&gt;"",IF(Formulario!H210=" "," ",Formulario!H210)," ")</f>
        <v xml:space="preserve"> </v>
      </c>
      <c r="M202" s="144" t="str">
        <f>IF(Formulario!I210&lt;&gt;"",IF(Formulario!I210=" "," ",Formulario!I210)," ")</f>
        <v xml:space="preserve"> </v>
      </c>
      <c r="N202" s="145" t="str">
        <f>IF(Formulario!J210&lt;&gt;"",IF(Formulario!J210=" "," ",Formulario!J210),IF(G202=".",".","Falta Fecha"))</f>
        <v>.</v>
      </c>
      <c r="O202" s="155">
        <f>Formulario!L210</f>
        <v>0</v>
      </c>
      <c r="P202" s="146">
        <f>IF(O202=1,"09:00",Formulario!M210)</f>
        <v>0</v>
      </c>
      <c r="Q202" s="146">
        <f>IF(O202=1,"18:30",Formulario!N210)</f>
        <v>0</v>
      </c>
      <c r="R202" s="146" t="str">
        <f>IF(Formulario!O210&lt;&gt;"",IF(Formulario!O210=" ",".",Formulario!O210),".")</f>
        <v>Post Venta</v>
      </c>
      <c r="S202" s="141" t="s">
        <v>131</v>
      </c>
    </row>
    <row r="203" spans="1:19">
      <c r="A203" s="141">
        <f>Formulario!B211</f>
        <v>0</v>
      </c>
      <c r="B203" s="144" t="str">
        <f>IF(G203="."," ",Formulario!D$5)</f>
        <v xml:space="preserve"> </v>
      </c>
      <c r="C203" s="144" t="str">
        <f>IF(G203=".","",Formulario!D$6)</f>
        <v/>
      </c>
      <c r="D203" s="144" t="str">
        <f>IF(H203=".","",Formulario!D$7)</f>
        <v/>
      </c>
      <c r="E203" s="144" t="str">
        <f>IF(G203=".","",Formulario!J$5)</f>
        <v/>
      </c>
      <c r="F203" s="145" t="str">
        <f>IF(G203=".","",Formulario!J$6)</f>
        <v/>
      </c>
      <c r="G203" s="180" t="str">
        <f>IF(Formulario!C211&lt;&gt;"",IF(Formulario!C211=" ","Falta Depto",IF(H203=".","Error En Descripción",Formulario!C211)),IF(H203=".",".","Falta Datos"))</f>
        <v>.</v>
      </c>
      <c r="H203" s="144" t="str">
        <f>IF(Formulario!D211&lt;&gt;"",IF(Formulario!D211=" ",".",Formulario!D211),".")</f>
        <v>.</v>
      </c>
      <c r="I203" s="144" t="str">
        <f>IF(Formulario!E211&lt;&gt;"",IF(Formulario!E211=" "," ",Formulario!E211),IF(G203=".",".","Falta Propietario"))</f>
        <v>.</v>
      </c>
      <c r="J203" s="144" t="str">
        <f>IF(Formulario!F211&lt;&gt;"",IF(Formulario!F211=" "," ",Formulario!F211)," ")</f>
        <v xml:space="preserve"> </v>
      </c>
      <c r="K203" s="144" t="str">
        <f>IF(Formulario!G211&lt;&gt;"",IF(Formulario!G211=" "," ",Formulario!G211)," ")</f>
        <v xml:space="preserve"> </v>
      </c>
      <c r="L203" s="144" t="str">
        <f>IF(Formulario!H211&lt;&gt;"",IF(Formulario!H211=" "," ",Formulario!H211)," ")</f>
        <v xml:space="preserve"> </v>
      </c>
      <c r="M203" s="144" t="str">
        <f>IF(Formulario!I211&lt;&gt;"",IF(Formulario!I211=" "," ",Formulario!I211)," ")</f>
        <v xml:space="preserve"> </v>
      </c>
      <c r="N203" s="145" t="str">
        <f>IF(Formulario!J211&lt;&gt;"",IF(Formulario!J211=" "," ",Formulario!J211),IF(G203=".",".","Falta Fecha"))</f>
        <v>.</v>
      </c>
      <c r="O203" s="155">
        <f>Formulario!L211</f>
        <v>0</v>
      </c>
      <c r="P203" s="146">
        <f>IF(O203=1,"09:00",Formulario!M211)</f>
        <v>0</v>
      </c>
      <c r="Q203" s="146">
        <f>IF(O203=1,"18:30",Formulario!N211)</f>
        <v>0</v>
      </c>
      <c r="R203" s="146" t="str">
        <f>IF(Formulario!O211&lt;&gt;"",IF(Formulario!O211=" ",".",Formulario!O211),".")</f>
        <v>Post Venta</v>
      </c>
      <c r="S203" s="141" t="s">
        <v>131</v>
      </c>
    </row>
    <row r="204" spans="1:19">
      <c r="A204" s="141">
        <f>Formulario!B212</f>
        <v>0</v>
      </c>
      <c r="B204" s="144" t="str">
        <f>IF(G204="."," ",Formulario!D$5)</f>
        <v xml:space="preserve"> </v>
      </c>
      <c r="C204" s="144" t="str">
        <f>IF(G204=".","",Formulario!D$6)</f>
        <v/>
      </c>
      <c r="D204" s="144" t="str">
        <f>IF(H204=".","",Formulario!D$7)</f>
        <v/>
      </c>
      <c r="E204" s="144" t="str">
        <f>IF(G204=".","",Formulario!J$5)</f>
        <v/>
      </c>
      <c r="F204" s="145" t="str">
        <f>IF(G204=".","",Formulario!J$6)</f>
        <v/>
      </c>
      <c r="G204" s="180" t="str">
        <f>IF(Formulario!C212&lt;&gt;"",IF(Formulario!C212=" ","Falta Depto",IF(H204=".","Error En Descripción",Formulario!C212)),IF(H204=".",".","Falta Datos"))</f>
        <v>.</v>
      </c>
      <c r="H204" s="144" t="str">
        <f>IF(Formulario!D212&lt;&gt;"",IF(Formulario!D212=" ",".",Formulario!D212),".")</f>
        <v>.</v>
      </c>
      <c r="I204" s="144" t="str">
        <f>IF(Formulario!E212&lt;&gt;"",IF(Formulario!E212=" "," ",Formulario!E212),IF(G204=".",".","Falta Propietario"))</f>
        <v>.</v>
      </c>
      <c r="J204" s="144" t="str">
        <f>IF(Formulario!F212&lt;&gt;"",IF(Formulario!F212=" "," ",Formulario!F212)," ")</f>
        <v xml:space="preserve"> </v>
      </c>
      <c r="K204" s="144" t="str">
        <f>IF(Formulario!G212&lt;&gt;"",IF(Formulario!G212=" "," ",Formulario!G212)," ")</f>
        <v xml:space="preserve"> </v>
      </c>
      <c r="L204" s="144" t="str">
        <f>IF(Formulario!H212&lt;&gt;"",IF(Formulario!H212=" "," ",Formulario!H212)," ")</f>
        <v xml:space="preserve"> </v>
      </c>
      <c r="M204" s="144" t="str">
        <f>IF(Formulario!I212&lt;&gt;"",IF(Formulario!I212=" "," ",Formulario!I212)," ")</f>
        <v xml:space="preserve"> </v>
      </c>
      <c r="N204" s="145" t="str">
        <f>IF(Formulario!J212&lt;&gt;"",IF(Formulario!J212=" "," ",Formulario!J212),IF(G204=".",".","Falta Fecha"))</f>
        <v>.</v>
      </c>
      <c r="O204" s="155">
        <f>Formulario!L212</f>
        <v>0</v>
      </c>
      <c r="P204" s="146">
        <f>IF(O204=1,"09:00",Formulario!M212)</f>
        <v>0</v>
      </c>
      <c r="Q204" s="146">
        <f>IF(O204=1,"18:30",Formulario!N212)</f>
        <v>0</v>
      </c>
      <c r="R204" s="146" t="str">
        <f>IF(Formulario!O212&lt;&gt;"",IF(Formulario!O212=" ",".",Formulario!O212),".")</f>
        <v>Post Venta</v>
      </c>
      <c r="S204" s="141" t="s">
        <v>131</v>
      </c>
    </row>
    <row r="205" spans="1:19">
      <c r="A205" s="141">
        <f>Formulario!B213</f>
        <v>0</v>
      </c>
      <c r="B205" s="144" t="str">
        <f>IF(G205="."," ",Formulario!D$5)</f>
        <v xml:space="preserve"> </v>
      </c>
      <c r="C205" s="144" t="str">
        <f>IF(G205=".","",Formulario!D$6)</f>
        <v/>
      </c>
      <c r="D205" s="144" t="str">
        <f>IF(H205=".","",Formulario!D$7)</f>
        <v/>
      </c>
      <c r="E205" s="144" t="str">
        <f>IF(G205=".","",Formulario!J$5)</f>
        <v/>
      </c>
      <c r="F205" s="145" t="str">
        <f>IF(G205=".","",Formulario!J$6)</f>
        <v/>
      </c>
      <c r="G205" s="180" t="str">
        <f>IF(Formulario!C213&lt;&gt;"",IF(Formulario!C213=" ","Falta Depto",IF(H205=".","Error En Descripción",Formulario!C213)),IF(H205=".",".","Falta Datos"))</f>
        <v>.</v>
      </c>
      <c r="H205" s="144" t="str">
        <f>IF(Formulario!D213&lt;&gt;"",IF(Formulario!D213=" ",".",Formulario!D213),".")</f>
        <v>.</v>
      </c>
      <c r="I205" s="144" t="str">
        <f>IF(Formulario!E213&lt;&gt;"",IF(Formulario!E213=" "," ",Formulario!E213),IF(G205=".",".","Falta Propietario"))</f>
        <v>.</v>
      </c>
      <c r="J205" s="144" t="str">
        <f>IF(Formulario!F213&lt;&gt;"",IF(Formulario!F213=" "," ",Formulario!F213)," ")</f>
        <v xml:space="preserve"> </v>
      </c>
      <c r="K205" s="144" t="str">
        <f>IF(Formulario!G213&lt;&gt;"",IF(Formulario!G213=" "," ",Formulario!G213)," ")</f>
        <v xml:space="preserve"> </v>
      </c>
      <c r="L205" s="144" t="str">
        <f>IF(Formulario!H213&lt;&gt;"",IF(Formulario!H213=" "," ",Formulario!H213)," ")</f>
        <v xml:space="preserve"> </v>
      </c>
      <c r="M205" s="144" t="str">
        <f>IF(Formulario!I213&lt;&gt;"",IF(Formulario!I213=" "," ",Formulario!I213)," ")</f>
        <v xml:space="preserve"> </v>
      </c>
      <c r="N205" s="145" t="str">
        <f>IF(Formulario!J213&lt;&gt;"",IF(Formulario!J213=" "," ",Formulario!J213),IF(G205=".",".","Falta Fecha"))</f>
        <v>.</v>
      </c>
      <c r="O205" s="155">
        <f>Formulario!L213</f>
        <v>0</v>
      </c>
      <c r="P205" s="146">
        <f>IF(O205=1,"09:00",Formulario!M213)</f>
        <v>0</v>
      </c>
      <c r="Q205" s="146">
        <f>IF(O205=1,"18:30",Formulario!N213)</f>
        <v>0</v>
      </c>
      <c r="R205" s="146" t="str">
        <f>IF(Formulario!O213&lt;&gt;"",IF(Formulario!O213=" ",".",Formulario!O213),".")</f>
        <v>Post Venta</v>
      </c>
      <c r="S205" s="141" t="s">
        <v>131</v>
      </c>
    </row>
    <row r="206" spans="1:19">
      <c r="A206" s="141">
        <f>Formulario!B214</f>
        <v>0</v>
      </c>
      <c r="B206" s="144" t="str">
        <f>IF(G206="."," ",Formulario!D$5)</f>
        <v xml:space="preserve"> </v>
      </c>
      <c r="C206" s="144" t="str">
        <f>IF(G206=".","",Formulario!D$6)</f>
        <v/>
      </c>
      <c r="D206" s="144" t="str">
        <f>IF(H206=".","",Formulario!D$7)</f>
        <v/>
      </c>
      <c r="E206" s="144" t="str">
        <f>IF(G206=".","",Formulario!J$5)</f>
        <v/>
      </c>
      <c r="F206" s="145" t="str">
        <f>IF(G206=".","",Formulario!J$6)</f>
        <v/>
      </c>
      <c r="G206" s="180" t="str">
        <f>IF(Formulario!C214&lt;&gt;"",IF(Formulario!C214=" ","Falta Depto",IF(H206=".","Error En Descripción",Formulario!C214)),IF(H206=".",".","Falta Datos"))</f>
        <v>.</v>
      </c>
      <c r="H206" s="144" t="str">
        <f>IF(Formulario!D214&lt;&gt;"",IF(Formulario!D214=" ",".",Formulario!D214),".")</f>
        <v>.</v>
      </c>
      <c r="I206" s="144" t="str">
        <f>IF(Formulario!E214&lt;&gt;"",IF(Formulario!E214=" "," ",Formulario!E214),IF(G206=".",".","Falta Propietario"))</f>
        <v>.</v>
      </c>
      <c r="J206" s="144" t="str">
        <f>IF(Formulario!F214&lt;&gt;"",IF(Formulario!F214=" "," ",Formulario!F214)," ")</f>
        <v xml:space="preserve"> </v>
      </c>
      <c r="K206" s="144" t="str">
        <f>IF(Formulario!G214&lt;&gt;"",IF(Formulario!G214=" "," ",Formulario!G214)," ")</f>
        <v xml:space="preserve"> </v>
      </c>
      <c r="L206" s="144" t="str">
        <f>IF(Formulario!H214&lt;&gt;"",IF(Formulario!H214=" "," ",Formulario!H214)," ")</f>
        <v xml:space="preserve"> </v>
      </c>
      <c r="M206" s="144" t="str">
        <f>IF(Formulario!I214&lt;&gt;"",IF(Formulario!I214=" "," ",Formulario!I214)," ")</f>
        <v xml:space="preserve"> </v>
      </c>
      <c r="N206" s="145" t="str">
        <f>IF(Formulario!J214&lt;&gt;"",IF(Formulario!J214=" "," ",Formulario!J214),IF(G206=".",".","Falta Fecha"))</f>
        <v>.</v>
      </c>
      <c r="O206" s="155">
        <f>Formulario!L214</f>
        <v>0</v>
      </c>
      <c r="P206" s="146">
        <f>IF(O206=1,"09:00",Formulario!M214)</f>
        <v>0</v>
      </c>
      <c r="Q206" s="146">
        <f>IF(O206=1,"18:30",Formulario!N214)</f>
        <v>0</v>
      </c>
      <c r="R206" s="146" t="str">
        <f>IF(Formulario!O214&lt;&gt;"",IF(Formulario!O214=" ",".",Formulario!O214),".")</f>
        <v>Post Venta</v>
      </c>
      <c r="S206" s="141" t="s">
        <v>131</v>
      </c>
    </row>
    <row r="207" spans="1:19">
      <c r="A207" s="141">
        <f>Formulario!B215</f>
        <v>0</v>
      </c>
      <c r="B207" s="144" t="str">
        <f>IF(G207="."," ",Formulario!D$5)</f>
        <v xml:space="preserve"> </v>
      </c>
      <c r="C207" s="144" t="str">
        <f>IF(G207=".","",Formulario!D$6)</f>
        <v/>
      </c>
      <c r="D207" s="144" t="str">
        <f>IF(H207=".","",Formulario!D$7)</f>
        <v/>
      </c>
      <c r="E207" s="144" t="str">
        <f>IF(G207=".","",Formulario!J$5)</f>
        <v/>
      </c>
      <c r="F207" s="145" t="str">
        <f>IF(G207=".","",Formulario!J$6)</f>
        <v/>
      </c>
      <c r="G207" s="180" t="str">
        <f>IF(Formulario!C215&lt;&gt;"",IF(Formulario!C215=" ","Falta Depto",IF(H207=".","Error En Descripción",Formulario!C215)),IF(H207=".",".","Falta Datos"))</f>
        <v>.</v>
      </c>
      <c r="H207" s="144" t="str">
        <f>IF(Formulario!D215&lt;&gt;"",IF(Formulario!D215=" ",".",Formulario!D215),".")</f>
        <v>.</v>
      </c>
      <c r="I207" s="144" t="str">
        <f>IF(Formulario!E215&lt;&gt;"",IF(Formulario!E215=" "," ",Formulario!E215),IF(G207=".",".","Falta Propietario"))</f>
        <v>.</v>
      </c>
      <c r="J207" s="144" t="str">
        <f>IF(Formulario!F215&lt;&gt;"",IF(Formulario!F215=" "," ",Formulario!F215)," ")</f>
        <v xml:space="preserve"> </v>
      </c>
      <c r="K207" s="144" t="str">
        <f>IF(Formulario!G215&lt;&gt;"",IF(Formulario!G215=" "," ",Formulario!G215)," ")</f>
        <v xml:space="preserve"> </v>
      </c>
      <c r="L207" s="144" t="str">
        <f>IF(Formulario!H215&lt;&gt;"",IF(Formulario!H215=" "," ",Formulario!H215)," ")</f>
        <v xml:space="preserve"> </v>
      </c>
      <c r="M207" s="144" t="str">
        <f>IF(Formulario!I215&lt;&gt;"",IF(Formulario!I215=" "," ",Formulario!I215)," ")</f>
        <v xml:space="preserve"> </v>
      </c>
      <c r="N207" s="145" t="str">
        <f>IF(Formulario!J215&lt;&gt;"",IF(Formulario!J215=" "," ",Formulario!J215),IF(G207=".",".","Falta Fecha"))</f>
        <v>.</v>
      </c>
      <c r="O207" s="155">
        <f>Formulario!L215</f>
        <v>0</v>
      </c>
      <c r="P207" s="146">
        <f>IF(O207=1,"09:00",Formulario!M215)</f>
        <v>0</v>
      </c>
      <c r="Q207" s="146">
        <f>IF(O207=1,"18:30",Formulario!N215)</f>
        <v>0</v>
      </c>
      <c r="R207" s="146" t="str">
        <f>IF(Formulario!O215&lt;&gt;"",IF(Formulario!O215=" ",".",Formulario!O215),".")</f>
        <v>Post Venta</v>
      </c>
      <c r="S207" s="141" t="s">
        <v>131</v>
      </c>
    </row>
    <row r="208" spans="1:19">
      <c r="A208" s="141">
        <f>Formulario!B216</f>
        <v>0</v>
      </c>
      <c r="B208" s="144" t="str">
        <f>IF(G208="."," ",Formulario!D$5)</f>
        <v xml:space="preserve"> </v>
      </c>
      <c r="C208" s="144" t="str">
        <f>IF(G208=".","",Formulario!D$6)</f>
        <v/>
      </c>
      <c r="D208" s="144" t="str">
        <f>IF(H208=".","",Formulario!D$7)</f>
        <v/>
      </c>
      <c r="E208" s="144" t="str">
        <f>IF(G208=".","",Formulario!J$5)</f>
        <v/>
      </c>
      <c r="F208" s="145" t="str">
        <f>IF(G208=".","",Formulario!J$6)</f>
        <v/>
      </c>
      <c r="G208" s="180" t="str">
        <f>IF(Formulario!C216&lt;&gt;"",IF(Formulario!C216=" ","Falta Depto",IF(H208=".","Error En Descripción",Formulario!C216)),IF(H208=".",".","Falta Datos"))</f>
        <v>.</v>
      </c>
      <c r="H208" s="144" t="str">
        <f>IF(Formulario!D216&lt;&gt;"",IF(Formulario!D216=" ",".",Formulario!D216),".")</f>
        <v>.</v>
      </c>
      <c r="I208" s="144" t="str">
        <f>IF(Formulario!E216&lt;&gt;"",IF(Formulario!E216=" "," ",Formulario!E216),IF(G208=".",".","Falta Propietario"))</f>
        <v>.</v>
      </c>
      <c r="J208" s="144" t="str">
        <f>IF(Formulario!F216&lt;&gt;"",IF(Formulario!F216=" "," ",Formulario!F216)," ")</f>
        <v xml:space="preserve"> </v>
      </c>
      <c r="K208" s="144" t="str">
        <f>IF(Formulario!G216&lt;&gt;"",IF(Formulario!G216=" "," ",Formulario!G216)," ")</f>
        <v xml:space="preserve"> </v>
      </c>
      <c r="L208" s="144" t="str">
        <f>IF(Formulario!H216&lt;&gt;"",IF(Formulario!H216=" "," ",Formulario!H216)," ")</f>
        <v xml:space="preserve"> </v>
      </c>
      <c r="M208" s="144" t="str">
        <f>IF(Formulario!I216&lt;&gt;"",IF(Formulario!I216=" "," ",Formulario!I216)," ")</f>
        <v xml:space="preserve"> </v>
      </c>
      <c r="N208" s="145" t="str">
        <f>IF(Formulario!J216&lt;&gt;"",IF(Formulario!J216=" "," ",Formulario!J216),IF(G208=".",".","Falta Fecha"))</f>
        <v>.</v>
      </c>
      <c r="O208" s="155">
        <f>Formulario!L216</f>
        <v>0</v>
      </c>
      <c r="P208" s="146">
        <f>IF(O208=1,"09:00",Formulario!M216)</f>
        <v>0</v>
      </c>
      <c r="Q208" s="146">
        <f>IF(O208=1,"18:30",Formulario!N216)</f>
        <v>0</v>
      </c>
      <c r="R208" s="146" t="str">
        <f>IF(Formulario!O216&lt;&gt;"",IF(Formulario!O216=" ",".",Formulario!O216),".")</f>
        <v>Post Venta</v>
      </c>
      <c r="S208" s="141" t="s">
        <v>131</v>
      </c>
    </row>
    <row r="209" spans="1:19">
      <c r="A209" s="141">
        <f>Formulario!B217</f>
        <v>0</v>
      </c>
      <c r="B209" s="144" t="str">
        <f>IF(G209="."," ",Formulario!D$5)</f>
        <v xml:space="preserve"> </v>
      </c>
      <c r="C209" s="144" t="str">
        <f>IF(G209=".","",Formulario!D$6)</f>
        <v/>
      </c>
      <c r="D209" s="144" t="str">
        <f>IF(H209=".","",Formulario!D$7)</f>
        <v/>
      </c>
      <c r="E209" s="144" t="str">
        <f>IF(G209=".","",Formulario!J$5)</f>
        <v/>
      </c>
      <c r="F209" s="145" t="str">
        <f>IF(G209=".","",Formulario!J$6)</f>
        <v/>
      </c>
      <c r="G209" s="180" t="str">
        <f>IF(Formulario!C217&lt;&gt;"",IF(Formulario!C217=" ","Falta Depto",IF(H209=".","Error En Descripción",Formulario!C217)),IF(H209=".",".","Falta Datos"))</f>
        <v>.</v>
      </c>
      <c r="H209" s="144" t="str">
        <f>IF(Formulario!D217&lt;&gt;"",IF(Formulario!D217=" ",".",Formulario!D217),".")</f>
        <v>.</v>
      </c>
      <c r="I209" s="144" t="str">
        <f>IF(Formulario!E217&lt;&gt;"",IF(Formulario!E217=" "," ",Formulario!E217),IF(G209=".",".","Falta Propietario"))</f>
        <v>.</v>
      </c>
      <c r="J209" s="144" t="str">
        <f>IF(Formulario!F217&lt;&gt;"",IF(Formulario!F217=" "," ",Formulario!F217)," ")</f>
        <v xml:space="preserve"> </v>
      </c>
      <c r="K209" s="144" t="str">
        <f>IF(Formulario!G217&lt;&gt;"",IF(Formulario!G217=" "," ",Formulario!G217)," ")</f>
        <v xml:space="preserve"> </v>
      </c>
      <c r="L209" s="144" t="str">
        <f>IF(Formulario!H217&lt;&gt;"",IF(Formulario!H217=" "," ",Formulario!H217)," ")</f>
        <v xml:space="preserve"> </v>
      </c>
      <c r="M209" s="144" t="str">
        <f>IF(Formulario!I217&lt;&gt;"",IF(Formulario!I217=" "," ",Formulario!I217)," ")</f>
        <v xml:space="preserve"> </v>
      </c>
      <c r="N209" s="145" t="str">
        <f>IF(Formulario!J217&lt;&gt;"",IF(Formulario!J217=" "," ",Formulario!J217),IF(G209=".",".","Falta Fecha"))</f>
        <v>.</v>
      </c>
      <c r="O209" s="155">
        <f>Formulario!L217</f>
        <v>0</v>
      </c>
      <c r="P209" s="146">
        <f>IF(O209=1,"09:00",Formulario!M217)</f>
        <v>0</v>
      </c>
      <c r="Q209" s="146">
        <f>IF(O209=1,"18:30",Formulario!N217)</f>
        <v>0</v>
      </c>
      <c r="R209" s="146" t="str">
        <f>IF(Formulario!O217&lt;&gt;"",IF(Formulario!O217=" ",".",Formulario!O217),".")</f>
        <v>Post Venta</v>
      </c>
      <c r="S209" s="141" t="s">
        <v>131</v>
      </c>
    </row>
    <row r="210" spans="1:19">
      <c r="A210" s="141">
        <f>Formulario!B218</f>
        <v>0</v>
      </c>
      <c r="B210" s="144" t="str">
        <f>IF(G210="."," ",Formulario!D$5)</f>
        <v xml:space="preserve"> </v>
      </c>
      <c r="C210" s="144" t="str">
        <f>IF(G210=".","",Formulario!D$6)</f>
        <v/>
      </c>
      <c r="D210" s="144" t="str">
        <f>IF(H210=".","",Formulario!D$7)</f>
        <v/>
      </c>
      <c r="E210" s="144" t="str">
        <f>IF(G210=".","",Formulario!J$5)</f>
        <v/>
      </c>
      <c r="F210" s="145" t="str">
        <f>IF(G210=".","",Formulario!J$6)</f>
        <v/>
      </c>
      <c r="G210" s="180" t="str">
        <f>IF(Formulario!C218&lt;&gt;"",IF(Formulario!C218=" ","Falta Depto",IF(H210=".","Error En Descripción",Formulario!C218)),IF(H210=".",".","Falta Datos"))</f>
        <v>.</v>
      </c>
      <c r="H210" s="144" t="str">
        <f>IF(Formulario!D218&lt;&gt;"",IF(Formulario!D218=" ",".",Formulario!D218),".")</f>
        <v>.</v>
      </c>
      <c r="I210" s="144" t="str">
        <f>IF(Formulario!E218&lt;&gt;"",IF(Formulario!E218=" "," ",Formulario!E218),IF(G210=".",".","Falta Propietario"))</f>
        <v>.</v>
      </c>
      <c r="J210" s="144" t="str">
        <f>IF(Formulario!F218&lt;&gt;"",IF(Formulario!F218=" "," ",Formulario!F218)," ")</f>
        <v xml:space="preserve"> </v>
      </c>
      <c r="K210" s="144" t="str">
        <f>IF(Formulario!G218&lt;&gt;"",IF(Formulario!G218=" "," ",Formulario!G218)," ")</f>
        <v xml:space="preserve"> </v>
      </c>
      <c r="L210" s="144" t="str">
        <f>IF(Formulario!H218&lt;&gt;"",IF(Formulario!H218=" "," ",Formulario!H218)," ")</f>
        <v xml:space="preserve"> </v>
      </c>
      <c r="M210" s="144" t="str">
        <f>IF(Formulario!I218&lt;&gt;"",IF(Formulario!I218=" "," ",Formulario!I218)," ")</f>
        <v xml:space="preserve"> </v>
      </c>
      <c r="N210" s="145" t="str">
        <f>IF(Formulario!J218&lt;&gt;"",IF(Formulario!J218=" "," ",Formulario!J218),IF(G210=".",".","Falta Fecha"))</f>
        <v>.</v>
      </c>
      <c r="O210" s="155">
        <f>Formulario!L218</f>
        <v>0</v>
      </c>
      <c r="P210" s="146">
        <f>IF(O210=1,"09:00",Formulario!M218)</f>
        <v>0</v>
      </c>
      <c r="Q210" s="146">
        <f>IF(O210=1,"18:30",Formulario!N218)</f>
        <v>0</v>
      </c>
      <c r="R210" s="146" t="str">
        <f>IF(Formulario!O218&lt;&gt;"",IF(Formulario!O218=" ",".",Formulario!O218),".")</f>
        <v>Post Venta</v>
      </c>
      <c r="S210" s="141" t="s">
        <v>131</v>
      </c>
    </row>
    <row r="211" spans="1:19">
      <c r="A211" s="141">
        <f>Formulario!B219</f>
        <v>0</v>
      </c>
      <c r="B211" s="144" t="str">
        <f>IF(G211="."," ",Formulario!D$5)</f>
        <v xml:space="preserve"> </v>
      </c>
      <c r="C211" s="144" t="str">
        <f>IF(G211=".","",Formulario!D$6)</f>
        <v/>
      </c>
      <c r="D211" s="144" t="str">
        <f>IF(H211=".","",Formulario!D$7)</f>
        <v/>
      </c>
      <c r="E211" s="144" t="str">
        <f>IF(G211=".","",Formulario!J$5)</f>
        <v/>
      </c>
      <c r="F211" s="145" t="str">
        <f>IF(G211=".","",Formulario!J$6)</f>
        <v/>
      </c>
      <c r="G211" s="180" t="str">
        <f>IF(Formulario!C219&lt;&gt;"",IF(Formulario!C219=" ","Falta Depto",IF(H211=".","Error En Descripción",Formulario!C219)),IF(H211=".",".","Falta Datos"))</f>
        <v>.</v>
      </c>
      <c r="H211" s="144" t="str">
        <f>IF(Formulario!D219&lt;&gt;"",IF(Formulario!D219=" ",".",Formulario!D219),".")</f>
        <v>.</v>
      </c>
      <c r="I211" s="144" t="str">
        <f>IF(Formulario!E219&lt;&gt;"",IF(Formulario!E219=" "," ",Formulario!E219),IF(G211=".",".","Falta Propietario"))</f>
        <v>.</v>
      </c>
      <c r="J211" s="144" t="str">
        <f>IF(Formulario!F219&lt;&gt;"",IF(Formulario!F219=" "," ",Formulario!F219)," ")</f>
        <v xml:space="preserve"> </v>
      </c>
      <c r="K211" s="144" t="str">
        <f>IF(Formulario!G219&lt;&gt;"",IF(Formulario!G219=" "," ",Formulario!G219)," ")</f>
        <v xml:space="preserve"> </v>
      </c>
      <c r="L211" s="144" t="str">
        <f>IF(Formulario!H219&lt;&gt;"",IF(Formulario!H219=" "," ",Formulario!H219)," ")</f>
        <v xml:space="preserve"> </v>
      </c>
      <c r="M211" s="144" t="str">
        <f>IF(Formulario!I219&lt;&gt;"",IF(Formulario!I219=" "," ",Formulario!I219)," ")</f>
        <v xml:space="preserve"> </v>
      </c>
      <c r="N211" s="145" t="str">
        <f>IF(Formulario!J219&lt;&gt;"",IF(Formulario!J219=" "," ",Formulario!J219),IF(G211=".",".","Falta Fecha"))</f>
        <v>.</v>
      </c>
      <c r="O211" s="155">
        <f>Formulario!L219</f>
        <v>0</v>
      </c>
      <c r="P211" s="146">
        <f>IF(O211=1,"09:00",Formulario!M219)</f>
        <v>0</v>
      </c>
      <c r="Q211" s="146">
        <f>IF(O211=1,"18:30",Formulario!N219)</f>
        <v>0</v>
      </c>
      <c r="R211" s="146" t="str">
        <f>IF(Formulario!O219&lt;&gt;"",IF(Formulario!O219=" ",".",Formulario!O219),".")</f>
        <v>Post Venta</v>
      </c>
      <c r="S211" s="141" t="s">
        <v>131</v>
      </c>
    </row>
    <row r="212" spans="1:19">
      <c r="A212" s="141">
        <f>Formulario!B220</f>
        <v>0</v>
      </c>
      <c r="B212" s="144" t="str">
        <f>IF(G212="."," ",Formulario!D$5)</f>
        <v xml:space="preserve"> </v>
      </c>
      <c r="C212" s="144" t="str">
        <f>IF(G212=".","",Formulario!D$6)</f>
        <v/>
      </c>
      <c r="D212" s="144" t="str">
        <f>IF(H212=".","",Formulario!D$7)</f>
        <v/>
      </c>
      <c r="E212" s="144" t="str">
        <f>IF(G212=".","",Formulario!J$5)</f>
        <v/>
      </c>
      <c r="F212" s="145" t="str">
        <f>IF(G212=".","",Formulario!J$6)</f>
        <v/>
      </c>
      <c r="G212" s="180" t="str">
        <f>IF(Formulario!C220&lt;&gt;"",IF(Formulario!C220=" ","Falta Depto",IF(H212=".","Error En Descripción",Formulario!C220)),IF(H212=".",".","Falta Datos"))</f>
        <v>.</v>
      </c>
      <c r="H212" s="144" t="str">
        <f>IF(Formulario!D220&lt;&gt;"",IF(Formulario!D220=" ",".",Formulario!D220),".")</f>
        <v>.</v>
      </c>
      <c r="I212" s="144" t="str">
        <f>IF(Formulario!E220&lt;&gt;"",IF(Formulario!E220=" "," ",Formulario!E220),IF(G212=".",".","Falta Propietario"))</f>
        <v>.</v>
      </c>
      <c r="J212" s="144" t="str">
        <f>IF(Formulario!F220&lt;&gt;"",IF(Formulario!F220=" "," ",Formulario!F220)," ")</f>
        <v xml:space="preserve"> </v>
      </c>
      <c r="K212" s="144" t="str">
        <f>IF(Formulario!G220&lt;&gt;"",IF(Formulario!G220=" "," ",Formulario!G220)," ")</f>
        <v xml:space="preserve"> </v>
      </c>
      <c r="L212" s="144" t="str">
        <f>IF(Formulario!H220&lt;&gt;"",IF(Formulario!H220=" "," ",Formulario!H220)," ")</f>
        <v xml:space="preserve"> </v>
      </c>
      <c r="M212" s="144" t="str">
        <f>IF(Formulario!I220&lt;&gt;"",IF(Formulario!I220=" "," ",Formulario!I220)," ")</f>
        <v xml:space="preserve"> </v>
      </c>
      <c r="N212" s="145" t="str">
        <f>IF(Formulario!J220&lt;&gt;"",IF(Formulario!J220=" "," ",Formulario!J220),IF(G212=".",".","Falta Fecha"))</f>
        <v>.</v>
      </c>
      <c r="O212" s="155">
        <f>Formulario!L220</f>
        <v>0</v>
      </c>
      <c r="P212" s="146">
        <f>IF(O212=1,"09:00",Formulario!M220)</f>
        <v>0</v>
      </c>
      <c r="Q212" s="146">
        <f>IF(O212=1,"18:30",Formulario!N220)</f>
        <v>0</v>
      </c>
      <c r="R212" s="146" t="str">
        <f>IF(Formulario!O220&lt;&gt;"",IF(Formulario!O220=" ",".",Formulario!O220),".")</f>
        <v>Post Venta</v>
      </c>
      <c r="S212" s="141" t="s">
        <v>131</v>
      </c>
    </row>
    <row r="213" spans="1:19">
      <c r="A213" s="141">
        <f>Formulario!B221</f>
        <v>0</v>
      </c>
      <c r="B213" s="144" t="str">
        <f>IF(G213="."," ",Formulario!D$5)</f>
        <v xml:space="preserve"> </v>
      </c>
      <c r="C213" s="144" t="str">
        <f>IF(G213=".","",Formulario!D$6)</f>
        <v/>
      </c>
      <c r="D213" s="144" t="str">
        <f>IF(H213=".","",Formulario!D$7)</f>
        <v/>
      </c>
      <c r="E213" s="144" t="str">
        <f>IF(G213=".","",Formulario!J$5)</f>
        <v/>
      </c>
      <c r="F213" s="145" t="str">
        <f>IF(G213=".","",Formulario!J$6)</f>
        <v/>
      </c>
      <c r="G213" s="180" t="str">
        <f>IF(Formulario!C221&lt;&gt;"",IF(Formulario!C221=" ","Falta Depto",IF(H213=".","Error En Descripción",Formulario!C221)),IF(H213=".",".","Falta Datos"))</f>
        <v>.</v>
      </c>
      <c r="H213" s="144" t="str">
        <f>IF(Formulario!D221&lt;&gt;"",IF(Formulario!D221=" ",".",Formulario!D221),".")</f>
        <v>.</v>
      </c>
      <c r="I213" s="144" t="str">
        <f>IF(Formulario!E221&lt;&gt;"",IF(Formulario!E221=" "," ",Formulario!E221),IF(G213=".",".","Falta Propietario"))</f>
        <v>.</v>
      </c>
      <c r="J213" s="144" t="str">
        <f>IF(Formulario!F221&lt;&gt;"",IF(Formulario!F221=" "," ",Formulario!F221)," ")</f>
        <v xml:space="preserve"> </v>
      </c>
      <c r="K213" s="144" t="str">
        <f>IF(Formulario!G221&lt;&gt;"",IF(Formulario!G221=" "," ",Formulario!G221)," ")</f>
        <v xml:space="preserve"> </v>
      </c>
      <c r="L213" s="144" t="str">
        <f>IF(Formulario!H221&lt;&gt;"",IF(Formulario!H221=" "," ",Formulario!H221)," ")</f>
        <v xml:space="preserve"> </v>
      </c>
      <c r="M213" s="144" t="str">
        <f>IF(Formulario!I221&lt;&gt;"",IF(Formulario!I221=" "," ",Formulario!I221)," ")</f>
        <v xml:space="preserve"> </v>
      </c>
      <c r="N213" s="145" t="str">
        <f>IF(Formulario!J221&lt;&gt;"",IF(Formulario!J221=" "," ",Formulario!J221),IF(G213=".",".","Falta Fecha"))</f>
        <v>.</v>
      </c>
      <c r="O213" s="155">
        <f>Formulario!L221</f>
        <v>0</v>
      </c>
      <c r="P213" s="146">
        <f>IF(O213=1,"09:00",Formulario!M221)</f>
        <v>0</v>
      </c>
      <c r="Q213" s="146">
        <f>IF(O213=1,"18:30",Formulario!N221)</f>
        <v>0</v>
      </c>
      <c r="R213" s="146" t="str">
        <f>IF(Formulario!O221&lt;&gt;"",IF(Formulario!O221=" ",".",Formulario!O221),".")</f>
        <v>Post Venta</v>
      </c>
      <c r="S213" s="141" t="s">
        <v>131</v>
      </c>
    </row>
    <row r="214" spans="1:19">
      <c r="A214" s="141">
        <f>Formulario!B222</f>
        <v>0</v>
      </c>
      <c r="B214" s="144" t="str">
        <f>IF(G214="."," ",Formulario!D$5)</f>
        <v xml:space="preserve"> </v>
      </c>
      <c r="C214" s="144" t="str">
        <f>IF(G214=".","",Formulario!D$6)</f>
        <v/>
      </c>
      <c r="D214" s="144" t="str">
        <f>IF(H214=".","",Formulario!D$7)</f>
        <v/>
      </c>
      <c r="E214" s="144" t="str">
        <f>IF(G214=".","",Formulario!J$5)</f>
        <v/>
      </c>
      <c r="F214" s="145" t="str">
        <f>IF(G214=".","",Formulario!J$6)</f>
        <v/>
      </c>
      <c r="G214" s="180" t="str">
        <f>IF(Formulario!C222&lt;&gt;"",IF(Formulario!C222=" ","Falta Depto",IF(H214=".","Error En Descripción",Formulario!C222)),IF(H214=".",".","Falta Datos"))</f>
        <v>.</v>
      </c>
      <c r="H214" s="144" t="str">
        <f>IF(Formulario!D222&lt;&gt;"",IF(Formulario!D222=" ",".",Formulario!D222),".")</f>
        <v>.</v>
      </c>
      <c r="I214" s="144" t="str">
        <f>IF(Formulario!E222&lt;&gt;"",IF(Formulario!E222=" "," ",Formulario!E222),IF(G214=".",".","Falta Propietario"))</f>
        <v>.</v>
      </c>
      <c r="J214" s="144" t="str">
        <f>IF(Formulario!F222&lt;&gt;"",IF(Formulario!F222=" "," ",Formulario!F222)," ")</f>
        <v xml:space="preserve"> </v>
      </c>
      <c r="K214" s="144" t="str">
        <f>IF(Formulario!G222&lt;&gt;"",IF(Formulario!G222=" "," ",Formulario!G222)," ")</f>
        <v xml:space="preserve"> </v>
      </c>
      <c r="L214" s="144" t="str">
        <f>IF(Formulario!H222&lt;&gt;"",IF(Formulario!H222=" "," ",Formulario!H222)," ")</f>
        <v xml:space="preserve"> </v>
      </c>
      <c r="M214" s="144" t="str">
        <f>IF(Formulario!I222&lt;&gt;"",IF(Formulario!I222=" "," ",Formulario!I222)," ")</f>
        <v xml:space="preserve"> </v>
      </c>
      <c r="N214" s="145" t="str">
        <f>IF(Formulario!J222&lt;&gt;"",IF(Formulario!J222=" "," ",Formulario!J222),IF(G214=".",".","Falta Fecha"))</f>
        <v>.</v>
      </c>
      <c r="O214" s="155">
        <f>Formulario!L222</f>
        <v>0</v>
      </c>
      <c r="P214" s="146">
        <f>IF(O214=1,"09:00",Formulario!M222)</f>
        <v>0</v>
      </c>
      <c r="Q214" s="146">
        <f>IF(O214=1,"18:30",Formulario!N222)</f>
        <v>0</v>
      </c>
      <c r="R214" s="146" t="str">
        <f>IF(Formulario!O222&lt;&gt;"",IF(Formulario!O222=" ",".",Formulario!O222),".")</f>
        <v>Post Venta</v>
      </c>
      <c r="S214" s="141" t="s">
        <v>131</v>
      </c>
    </row>
    <row r="215" spans="1:19">
      <c r="A215" s="141">
        <f>Formulario!B223</f>
        <v>0</v>
      </c>
      <c r="B215" s="144" t="str">
        <f>IF(G215="."," ",Formulario!D$5)</f>
        <v xml:space="preserve"> </v>
      </c>
      <c r="C215" s="144" t="str">
        <f>IF(G215=".","",Formulario!D$6)</f>
        <v/>
      </c>
      <c r="D215" s="144" t="str">
        <f>IF(H215=".","",Formulario!D$7)</f>
        <v/>
      </c>
      <c r="E215" s="144" t="str">
        <f>IF(G215=".","",Formulario!J$5)</f>
        <v/>
      </c>
      <c r="F215" s="145" t="str">
        <f>IF(G215=".","",Formulario!J$6)</f>
        <v/>
      </c>
      <c r="G215" s="180" t="str">
        <f>IF(Formulario!C223&lt;&gt;"",IF(Formulario!C223=" ","Falta Depto",IF(H215=".","Error En Descripción",Formulario!C223)),IF(H215=".",".","Falta Datos"))</f>
        <v>.</v>
      </c>
      <c r="H215" s="144" t="str">
        <f>IF(Formulario!D223&lt;&gt;"",IF(Formulario!D223=" ",".",Formulario!D223),".")</f>
        <v>.</v>
      </c>
      <c r="I215" s="144" t="str">
        <f>IF(Formulario!E223&lt;&gt;"",IF(Formulario!E223=" "," ",Formulario!E223),IF(G215=".",".","Falta Propietario"))</f>
        <v>.</v>
      </c>
      <c r="J215" s="144" t="str">
        <f>IF(Formulario!F223&lt;&gt;"",IF(Formulario!F223=" "," ",Formulario!F223)," ")</f>
        <v xml:space="preserve"> </v>
      </c>
      <c r="K215" s="144" t="str">
        <f>IF(Formulario!G223&lt;&gt;"",IF(Formulario!G223=" "," ",Formulario!G223)," ")</f>
        <v xml:space="preserve"> </v>
      </c>
      <c r="L215" s="144" t="str">
        <f>IF(Formulario!H223&lt;&gt;"",IF(Formulario!H223=" "," ",Formulario!H223)," ")</f>
        <v xml:space="preserve"> </v>
      </c>
      <c r="M215" s="144" t="str">
        <f>IF(Formulario!I223&lt;&gt;"",IF(Formulario!I223=" "," ",Formulario!I223)," ")</f>
        <v xml:space="preserve"> </v>
      </c>
      <c r="N215" s="145" t="str">
        <f>IF(Formulario!J223&lt;&gt;"",IF(Formulario!J223=" "," ",Formulario!J223),IF(G215=".",".","Falta Fecha"))</f>
        <v>.</v>
      </c>
      <c r="O215" s="155">
        <f>Formulario!L223</f>
        <v>0</v>
      </c>
      <c r="P215" s="146">
        <f>IF(O215=1,"09:00",Formulario!M223)</f>
        <v>0</v>
      </c>
      <c r="Q215" s="146">
        <f>IF(O215=1,"18:30",Formulario!N223)</f>
        <v>0</v>
      </c>
      <c r="R215" s="146" t="str">
        <f>IF(Formulario!O223&lt;&gt;"",IF(Formulario!O223=" ",".",Formulario!O223),".")</f>
        <v>Post Venta</v>
      </c>
      <c r="S215" s="141" t="s">
        <v>131</v>
      </c>
    </row>
    <row r="216" spans="1:19">
      <c r="A216" s="141">
        <f>Formulario!B224</f>
        <v>0</v>
      </c>
      <c r="B216" s="144" t="str">
        <f>IF(G216="."," ",Formulario!D$5)</f>
        <v xml:space="preserve"> </v>
      </c>
      <c r="C216" s="144" t="str">
        <f>IF(G216=".","",Formulario!D$6)</f>
        <v/>
      </c>
      <c r="D216" s="144" t="str">
        <f>IF(H216=".","",Formulario!D$7)</f>
        <v/>
      </c>
      <c r="E216" s="144" t="str">
        <f>IF(G216=".","",Formulario!J$5)</f>
        <v/>
      </c>
      <c r="F216" s="145" t="str">
        <f>IF(G216=".","",Formulario!J$6)</f>
        <v/>
      </c>
      <c r="G216" s="180" t="str">
        <f>IF(Formulario!C224&lt;&gt;"",IF(Formulario!C224=" ","Falta Depto",IF(H216=".","Error En Descripción",Formulario!C224)),IF(H216=".",".","Falta Datos"))</f>
        <v>.</v>
      </c>
      <c r="H216" s="144" t="str">
        <f>IF(Formulario!D224&lt;&gt;"",IF(Formulario!D224=" ",".",Formulario!D224),".")</f>
        <v>.</v>
      </c>
      <c r="I216" s="144" t="str">
        <f>IF(Formulario!E224&lt;&gt;"",IF(Formulario!E224=" "," ",Formulario!E224),IF(G216=".",".","Falta Propietario"))</f>
        <v>.</v>
      </c>
      <c r="J216" s="144" t="str">
        <f>IF(Formulario!F224&lt;&gt;"",IF(Formulario!F224=" "," ",Formulario!F224)," ")</f>
        <v xml:space="preserve"> </v>
      </c>
      <c r="K216" s="144" t="str">
        <f>IF(Formulario!G224&lt;&gt;"",IF(Formulario!G224=" "," ",Formulario!G224)," ")</f>
        <v xml:space="preserve"> </v>
      </c>
      <c r="L216" s="144" t="str">
        <f>IF(Formulario!H224&lt;&gt;"",IF(Formulario!H224=" "," ",Formulario!H224)," ")</f>
        <v xml:space="preserve"> </v>
      </c>
      <c r="M216" s="144" t="str">
        <f>IF(Formulario!I224&lt;&gt;"",IF(Formulario!I224=" "," ",Formulario!I224)," ")</f>
        <v xml:space="preserve"> </v>
      </c>
      <c r="N216" s="145" t="str">
        <f>IF(Formulario!J224&lt;&gt;"",IF(Formulario!J224=" "," ",Formulario!J224),IF(G216=".",".","Falta Fecha"))</f>
        <v>.</v>
      </c>
      <c r="O216" s="155">
        <f>Formulario!L224</f>
        <v>0</v>
      </c>
      <c r="P216" s="146">
        <f>IF(O216=1,"09:00",Formulario!M224)</f>
        <v>0</v>
      </c>
      <c r="Q216" s="146">
        <f>IF(O216=1,"18:30",Formulario!N224)</f>
        <v>0</v>
      </c>
      <c r="R216" s="146" t="str">
        <f>IF(Formulario!O224&lt;&gt;"",IF(Formulario!O224=" ",".",Formulario!O224),".")</f>
        <v>Post Venta</v>
      </c>
      <c r="S216" s="141" t="s">
        <v>131</v>
      </c>
    </row>
    <row r="217" spans="1:19">
      <c r="A217" s="141">
        <f>Formulario!B225</f>
        <v>0</v>
      </c>
      <c r="B217" s="144" t="str">
        <f>IF(G217="."," ",Formulario!D$5)</f>
        <v xml:space="preserve"> </v>
      </c>
      <c r="C217" s="144" t="str">
        <f>IF(G217=".","",Formulario!D$6)</f>
        <v/>
      </c>
      <c r="D217" s="144" t="str">
        <f>IF(H217=".","",Formulario!D$7)</f>
        <v/>
      </c>
      <c r="E217" s="144" t="str">
        <f>IF(G217=".","",Formulario!J$5)</f>
        <v/>
      </c>
      <c r="F217" s="145" t="str">
        <f>IF(G217=".","",Formulario!J$6)</f>
        <v/>
      </c>
      <c r="G217" s="180" t="str">
        <f>IF(Formulario!C225&lt;&gt;"",IF(Formulario!C225=" ","Falta Depto",IF(H217=".","Error En Descripción",Formulario!C225)),IF(H217=".",".","Falta Datos"))</f>
        <v>.</v>
      </c>
      <c r="H217" s="144" t="str">
        <f>IF(Formulario!D225&lt;&gt;"",IF(Formulario!D225=" ",".",Formulario!D225),".")</f>
        <v>.</v>
      </c>
      <c r="I217" s="144" t="str">
        <f>IF(Formulario!E225&lt;&gt;"",IF(Formulario!E225=" "," ",Formulario!E225),IF(G217=".",".","Falta Propietario"))</f>
        <v>.</v>
      </c>
      <c r="J217" s="144" t="str">
        <f>IF(Formulario!F225&lt;&gt;"",IF(Formulario!F225=" "," ",Formulario!F225)," ")</f>
        <v xml:space="preserve"> </v>
      </c>
      <c r="K217" s="144" t="str">
        <f>IF(Formulario!G225&lt;&gt;"",IF(Formulario!G225=" "," ",Formulario!G225)," ")</f>
        <v xml:space="preserve"> </v>
      </c>
      <c r="L217" s="144" t="str">
        <f>IF(Formulario!H225&lt;&gt;"",IF(Formulario!H225=" "," ",Formulario!H225)," ")</f>
        <v xml:space="preserve"> </v>
      </c>
      <c r="M217" s="144" t="str">
        <f>IF(Formulario!I225&lt;&gt;"",IF(Formulario!I225=" "," ",Formulario!I225)," ")</f>
        <v xml:space="preserve"> </v>
      </c>
      <c r="N217" s="145" t="str">
        <f>IF(Formulario!J225&lt;&gt;"",IF(Formulario!J225=" "," ",Formulario!J225),IF(G217=".",".","Falta Fecha"))</f>
        <v>.</v>
      </c>
      <c r="O217" s="155">
        <f>Formulario!L225</f>
        <v>0</v>
      </c>
      <c r="P217" s="146">
        <f>IF(O217=1,"09:00",Formulario!M225)</f>
        <v>0</v>
      </c>
      <c r="Q217" s="146">
        <f>IF(O217=1,"18:30",Formulario!N225)</f>
        <v>0</v>
      </c>
      <c r="R217" s="146" t="str">
        <f>IF(Formulario!O225&lt;&gt;"",IF(Formulario!O225=" ",".",Formulario!O225),".")</f>
        <v>Post Venta</v>
      </c>
      <c r="S217" s="141" t="s">
        <v>131</v>
      </c>
    </row>
    <row r="218" spans="1:19">
      <c r="A218" s="141">
        <f>Formulario!B226</f>
        <v>0</v>
      </c>
      <c r="B218" s="144" t="str">
        <f>IF(G218="."," ",Formulario!D$5)</f>
        <v xml:space="preserve"> </v>
      </c>
      <c r="C218" s="144" t="str">
        <f>IF(G218=".","",Formulario!D$6)</f>
        <v/>
      </c>
      <c r="D218" s="144" t="str">
        <f>IF(H218=".","",Formulario!D$7)</f>
        <v/>
      </c>
      <c r="E218" s="144" t="str">
        <f>IF(G218=".","",Formulario!J$5)</f>
        <v/>
      </c>
      <c r="F218" s="145" t="str">
        <f>IF(G218=".","",Formulario!J$6)</f>
        <v/>
      </c>
      <c r="G218" s="180" t="str">
        <f>IF(Formulario!C226&lt;&gt;"",IF(Formulario!C226=" ","Falta Depto",IF(H218=".","Error En Descripción",Formulario!C226)),IF(H218=".",".","Falta Datos"))</f>
        <v>.</v>
      </c>
      <c r="H218" s="144" t="str">
        <f>IF(Formulario!D226&lt;&gt;"",IF(Formulario!D226=" ",".",Formulario!D226),".")</f>
        <v>.</v>
      </c>
      <c r="I218" s="144" t="str">
        <f>IF(Formulario!E226&lt;&gt;"",IF(Formulario!E226=" "," ",Formulario!E226),IF(G218=".",".","Falta Propietario"))</f>
        <v>.</v>
      </c>
      <c r="J218" s="144" t="str">
        <f>IF(Formulario!F226&lt;&gt;"",IF(Formulario!F226=" "," ",Formulario!F226)," ")</f>
        <v xml:space="preserve"> </v>
      </c>
      <c r="K218" s="144" t="str">
        <f>IF(Formulario!G226&lt;&gt;"",IF(Formulario!G226=" "," ",Formulario!G226)," ")</f>
        <v xml:space="preserve"> </v>
      </c>
      <c r="L218" s="144" t="str">
        <f>IF(Formulario!H226&lt;&gt;"",IF(Formulario!H226=" "," ",Formulario!H226)," ")</f>
        <v xml:space="preserve"> </v>
      </c>
      <c r="M218" s="144" t="str">
        <f>IF(Formulario!I226&lt;&gt;"",IF(Formulario!I226=" "," ",Formulario!I226)," ")</f>
        <v xml:space="preserve"> </v>
      </c>
      <c r="N218" s="145" t="str">
        <f>IF(Formulario!J226&lt;&gt;"",IF(Formulario!J226=" "," ",Formulario!J226),IF(G218=".",".","Falta Fecha"))</f>
        <v>.</v>
      </c>
      <c r="O218" s="155">
        <f>Formulario!L226</f>
        <v>0</v>
      </c>
      <c r="P218" s="146">
        <f>IF(O218=1,"09:00",Formulario!M226)</f>
        <v>0</v>
      </c>
      <c r="Q218" s="146">
        <f>IF(O218=1,"18:30",Formulario!N226)</f>
        <v>0</v>
      </c>
      <c r="R218" s="146" t="str">
        <f>IF(Formulario!O226&lt;&gt;"",IF(Formulario!O226=" ",".",Formulario!O226),".")</f>
        <v>Post Venta</v>
      </c>
      <c r="S218" s="141" t="s">
        <v>131</v>
      </c>
    </row>
    <row r="219" spans="1:19">
      <c r="A219" s="141">
        <f>Formulario!B227</f>
        <v>0</v>
      </c>
      <c r="B219" s="144" t="str">
        <f>IF(G219="."," ",Formulario!D$5)</f>
        <v xml:space="preserve"> </v>
      </c>
      <c r="C219" s="144" t="str">
        <f>IF(G219=".","",Formulario!D$6)</f>
        <v/>
      </c>
      <c r="D219" s="144" t="str">
        <f>IF(H219=".","",Formulario!D$7)</f>
        <v/>
      </c>
      <c r="E219" s="144" t="str">
        <f>IF(G219=".","",Formulario!J$5)</f>
        <v/>
      </c>
      <c r="F219" s="145" t="str">
        <f>IF(G219=".","",Formulario!J$6)</f>
        <v/>
      </c>
      <c r="G219" s="180" t="str">
        <f>IF(Formulario!C227&lt;&gt;"",IF(Formulario!C227=" ","Falta Depto",IF(H219=".","Error En Descripción",Formulario!C227)),IF(H219=".",".","Falta Datos"))</f>
        <v>.</v>
      </c>
      <c r="H219" s="144" t="str">
        <f>IF(Formulario!D227&lt;&gt;"",IF(Formulario!D227=" ",".",Formulario!D227),".")</f>
        <v>.</v>
      </c>
      <c r="I219" s="144" t="str">
        <f>IF(Formulario!E227&lt;&gt;"",IF(Formulario!E227=" "," ",Formulario!E227),IF(G219=".",".","Falta Propietario"))</f>
        <v>.</v>
      </c>
      <c r="J219" s="144" t="str">
        <f>IF(Formulario!F227&lt;&gt;"",IF(Formulario!F227=" "," ",Formulario!F227)," ")</f>
        <v xml:space="preserve"> </v>
      </c>
      <c r="K219" s="144" t="str">
        <f>IF(Formulario!G227&lt;&gt;"",IF(Formulario!G227=" "," ",Formulario!G227)," ")</f>
        <v xml:space="preserve"> </v>
      </c>
      <c r="L219" s="144" t="str">
        <f>IF(Formulario!H227&lt;&gt;"",IF(Formulario!H227=" "," ",Formulario!H227)," ")</f>
        <v xml:space="preserve"> </v>
      </c>
      <c r="M219" s="144" t="str">
        <f>IF(Formulario!I227&lt;&gt;"",IF(Formulario!I227=" "," ",Formulario!I227)," ")</f>
        <v xml:space="preserve"> </v>
      </c>
      <c r="N219" s="145" t="str">
        <f>IF(Formulario!J227&lt;&gt;"",IF(Formulario!J227=" "," ",Formulario!J227),IF(G219=".",".","Falta Fecha"))</f>
        <v>.</v>
      </c>
      <c r="O219" s="155">
        <f>Formulario!L227</f>
        <v>0</v>
      </c>
      <c r="P219" s="146">
        <f>IF(O219=1,"09:00",Formulario!M227)</f>
        <v>0</v>
      </c>
      <c r="Q219" s="146">
        <f>IF(O219=1,"18:30",Formulario!N227)</f>
        <v>0</v>
      </c>
      <c r="R219" s="146" t="str">
        <f>IF(Formulario!O227&lt;&gt;"",IF(Formulario!O227=" ",".",Formulario!O227),".")</f>
        <v>Post Venta</v>
      </c>
      <c r="S219" s="141" t="s">
        <v>131</v>
      </c>
    </row>
    <row r="220" spans="1:19">
      <c r="A220" s="141">
        <f>Formulario!B228</f>
        <v>0</v>
      </c>
      <c r="B220" s="144" t="str">
        <f>IF(G220="."," ",Formulario!D$5)</f>
        <v xml:space="preserve"> </v>
      </c>
      <c r="C220" s="144" t="str">
        <f>IF(G220=".","",Formulario!D$6)</f>
        <v/>
      </c>
      <c r="D220" s="144" t="str">
        <f>IF(H220=".","",Formulario!D$7)</f>
        <v/>
      </c>
      <c r="E220" s="144" t="str">
        <f>IF(G220=".","",Formulario!J$5)</f>
        <v/>
      </c>
      <c r="F220" s="145" t="str">
        <f>IF(G220=".","",Formulario!J$6)</f>
        <v/>
      </c>
      <c r="G220" s="180" t="str">
        <f>IF(Formulario!C228&lt;&gt;"",IF(Formulario!C228=" ","Falta Depto",IF(H220=".","Error En Descripción",Formulario!C228)),IF(H220=".",".","Falta Datos"))</f>
        <v>.</v>
      </c>
      <c r="H220" s="144" t="str">
        <f>IF(Formulario!D228&lt;&gt;"",IF(Formulario!D228=" ",".",Formulario!D228),".")</f>
        <v>.</v>
      </c>
      <c r="I220" s="144" t="str">
        <f>IF(Formulario!E228&lt;&gt;"",IF(Formulario!E228=" "," ",Formulario!E228),IF(G220=".",".","Falta Propietario"))</f>
        <v>.</v>
      </c>
      <c r="J220" s="144" t="str">
        <f>IF(Formulario!F228&lt;&gt;"",IF(Formulario!F228=" "," ",Formulario!F228)," ")</f>
        <v xml:space="preserve"> </v>
      </c>
      <c r="K220" s="144" t="str">
        <f>IF(Formulario!G228&lt;&gt;"",IF(Formulario!G228=" "," ",Formulario!G228)," ")</f>
        <v xml:space="preserve"> </v>
      </c>
      <c r="L220" s="144" t="str">
        <f>IF(Formulario!H228&lt;&gt;"",IF(Formulario!H228=" "," ",Formulario!H228)," ")</f>
        <v xml:space="preserve"> </v>
      </c>
      <c r="M220" s="144" t="str">
        <f>IF(Formulario!I228&lt;&gt;"",IF(Formulario!I228=" "," ",Formulario!I228)," ")</f>
        <v xml:space="preserve"> </v>
      </c>
      <c r="N220" s="145" t="str">
        <f>IF(Formulario!J228&lt;&gt;"",IF(Formulario!J228=" "," ",Formulario!J228),IF(G220=".",".","Falta Fecha"))</f>
        <v>.</v>
      </c>
      <c r="O220" s="155">
        <f>Formulario!L228</f>
        <v>0</v>
      </c>
      <c r="P220" s="146">
        <f>IF(O220=1,"09:00",Formulario!M228)</f>
        <v>0</v>
      </c>
      <c r="Q220" s="146">
        <f>IF(O220=1,"18:30",Formulario!N228)</f>
        <v>0</v>
      </c>
      <c r="R220" s="146" t="str">
        <f>IF(Formulario!O228&lt;&gt;"",IF(Formulario!O228=" ",".",Formulario!O228),".")</f>
        <v>Post Venta</v>
      </c>
      <c r="S220" s="141" t="s">
        <v>131</v>
      </c>
    </row>
    <row r="221" spans="1:19">
      <c r="A221" s="141">
        <f>Formulario!B229</f>
        <v>0</v>
      </c>
      <c r="B221" s="144" t="str">
        <f>IF(G221="."," ",Formulario!D$5)</f>
        <v xml:space="preserve"> </v>
      </c>
      <c r="C221" s="144" t="str">
        <f>IF(G221=".","",Formulario!D$6)</f>
        <v/>
      </c>
      <c r="D221" s="144" t="str">
        <f>IF(H221=".","",Formulario!D$7)</f>
        <v/>
      </c>
      <c r="E221" s="144" t="str">
        <f>IF(G221=".","",Formulario!J$5)</f>
        <v/>
      </c>
      <c r="F221" s="145" t="str">
        <f>IF(G221=".","",Formulario!J$6)</f>
        <v/>
      </c>
      <c r="G221" s="180" t="str">
        <f>IF(Formulario!C229&lt;&gt;"",IF(Formulario!C229=" ","Falta Depto",IF(H221=".","Error En Descripción",Formulario!C229)),IF(H221=".",".","Falta Datos"))</f>
        <v>.</v>
      </c>
      <c r="H221" s="144" t="str">
        <f>IF(Formulario!D229&lt;&gt;"",IF(Formulario!D229=" ",".",Formulario!D229),".")</f>
        <v>.</v>
      </c>
      <c r="I221" s="144" t="str">
        <f>IF(Formulario!E229&lt;&gt;"",IF(Formulario!E229=" "," ",Formulario!E229),IF(G221=".",".","Falta Propietario"))</f>
        <v>.</v>
      </c>
      <c r="J221" s="144" t="str">
        <f>IF(Formulario!F229&lt;&gt;"",IF(Formulario!F229=" "," ",Formulario!F229)," ")</f>
        <v xml:space="preserve"> </v>
      </c>
      <c r="K221" s="144" t="str">
        <f>IF(Formulario!G229&lt;&gt;"",IF(Formulario!G229=" "," ",Formulario!G229)," ")</f>
        <v xml:space="preserve"> </v>
      </c>
      <c r="L221" s="144" t="str">
        <f>IF(Formulario!H229&lt;&gt;"",IF(Formulario!H229=" "," ",Formulario!H229)," ")</f>
        <v xml:space="preserve"> </v>
      </c>
      <c r="M221" s="144" t="str">
        <f>IF(Formulario!I229&lt;&gt;"",IF(Formulario!I229=" "," ",Formulario!I229)," ")</f>
        <v xml:space="preserve"> </v>
      </c>
      <c r="N221" s="145" t="str">
        <f>IF(Formulario!J229&lt;&gt;"",IF(Formulario!J229=" "," ",Formulario!J229),IF(G221=".",".","Falta Fecha"))</f>
        <v>.</v>
      </c>
      <c r="O221" s="155">
        <f>Formulario!L229</f>
        <v>0</v>
      </c>
      <c r="P221" s="146">
        <f>IF(O221=1,"09:00",Formulario!M229)</f>
        <v>0</v>
      </c>
      <c r="Q221" s="146">
        <f>IF(O221=1,"18:30",Formulario!N229)</f>
        <v>0</v>
      </c>
      <c r="R221" s="146" t="str">
        <f>IF(Formulario!O229&lt;&gt;"",IF(Formulario!O229=" ",".",Formulario!O229),".")</f>
        <v>Post Venta</v>
      </c>
      <c r="S221" s="141" t="s">
        <v>131</v>
      </c>
    </row>
    <row r="222" spans="1:19">
      <c r="A222" s="141">
        <f>Formulario!B230</f>
        <v>0</v>
      </c>
      <c r="B222" s="144" t="str">
        <f>IF(G222="."," ",Formulario!D$5)</f>
        <v xml:space="preserve"> </v>
      </c>
      <c r="C222" s="144" t="str">
        <f>IF(G222=".","",Formulario!D$6)</f>
        <v/>
      </c>
      <c r="D222" s="144" t="str">
        <f>IF(H222=".","",Formulario!D$7)</f>
        <v/>
      </c>
      <c r="E222" s="144" t="str">
        <f>IF(G222=".","",Formulario!J$5)</f>
        <v/>
      </c>
      <c r="F222" s="145" t="str">
        <f>IF(G222=".","",Formulario!J$6)</f>
        <v/>
      </c>
      <c r="G222" s="180" t="str">
        <f>IF(Formulario!C230&lt;&gt;"",IF(Formulario!C230=" ","Falta Depto",IF(H222=".","Error En Descripción",Formulario!C230)),IF(H222=".",".","Falta Datos"))</f>
        <v>.</v>
      </c>
      <c r="H222" s="144" t="str">
        <f>IF(Formulario!D230&lt;&gt;"",IF(Formulario!D230=" ",".",Formulario!D230),".")</f>
        <v>.</v>
      </c>
      <c r="I222" s="144" t="str">
        <f>IF(Formulario!E230&lt;&gt;"",IF(Formulario!E230=" "," ",Formulario!E230),IF(G222=".",".","Falta Propietario"))</f>
        <v>.</v>
      </c>
      <c r="J222" s="144" t="str">
        <f>IF(Formulario!F230&lt;&gt;"",IF(Formulario!F230=" "," ",Formulario!F230)," ")</f>
        <v xml:space="preserve"> </v>
      </c>
      <c r="K222" s="144" t="str">
        <f>IF(Formulario!G230&lt;&gt;"",IF(Formulario!G230=" "," ",Formulario!G230)," ")</f>
        <v xml:space="preserve"> </v>
      </c>
      <c r="L222" s="144" t="str">
        <f>IF(Formulario!H230&lt;&gt;"",IF(Formulario!H230=" "," ",Formulario!H230)," ")</f>
        <v xml:space="preserve"> </v>
      </c>
      <c r="M222" s="144" t="str">
        <f>IF(Formulario!I230&lt;&gt;"",IF(Formulario!I230=" "," ",Formulario!I230)," ")</f>
        <v xml:space="preserve"> </v>
      </c>
      <c r="N222" s="145" t="str">
        <f>IF(Formulario!J230&lt;&gt;"",IF(Formulario!J230=" "," ",Formulario!J230),IF(G222=".",".","Falta Fecha"))</f>
        <v>.</v>
      </c>
      <c r="O222" s="155">
        <f>Formulario!L230</f>
        <v>0</v>
      </c>
      <c r="P222" s="146">
        <f>IF(O222=1,"09:00",Formulario!M230)</f>
        <v>0</v>
      </c>
      <c r="Q222" s="146">
        <f>IF(O222=1,"18:30",Formulario!N230)</f>
        <v>0</v>
      </c>
      <c r="R222" s="146" t="str">
        <f>IF(Formulario!O230&lt;&gt;"",IF(Formulario!O230=" ",".",Formulario!O230),".")</f>
        <v>Post Venta</v>
      </c>
      <c r="S222" s="141" t="s">
        <v>131</v>
      </c>
    </row>
    <row r="223" spans="1:19">
      <c r="A223" s="141">
        <f>Formulario!B231</f>
        <v>0</v>
      </c>
      <c r="B223" s="144" t="str">
        <f>IF(G223="."," ",Formulario!D$5)</f>
        <v xml:space="preserve"> </v>
      </c>
      <c r="C223" s="144" t="str">
        <f>IF(G223=".","",Formulario!D$6)</f>
        <v/>
      </c>
      <c r="D223" s="144" t="str">
        <f>IF(H223=".","",Formulario!D$7)</f>
        <v/>
      </c>
      <c r="E223" s="144" t="str">
        <f>IF(G223=".","",Formulario!J$5)</f>
        <v/>
      </c>
      <c r="F223" s="145" t="str">
        <f>IF(G223=".","",Formulario!J$6)</f>
        <v/>
      </c>
      <c r="G223" s="180" t="str">
        <f>IF(Formulario!C231&lt;&gt;"",IF(Formulario!C231=" ","Falta Depto",IF(H223=".","Error En Descripción",Formulario!C231)),IF(H223=".",".","Falta Datos"))</f>
        <v>.</v>
      </c>
      <c r="H223" s="144" t="str">
        <f>IF(Formulario!D231&lt;&gt;"",IF(Formulario!D231=" ",".",Formulario!D231),".")</f>
        <v>.</v>
      </c>
      <c r="I223" s="144" t="str">
        <f>IF(Formulario!E231&lt;&gt;"",IF(Formulario!E231=" "," ",Formulario!E231),IF(G223=".",".","Falta Propietario"))</f>
        <v>.</v>
      </c>
      <c r="J223" s="144" t="str">
        <f>IF(Formulario!F231&lt;&gt;"",IF(Formulario!F231=" "," ",Formulario!F231)," ")</f>
        <v xml:space="preserve"> </v>
      </c>
      <c r="K223" s="144" t="str">
        <f>IF(Formulario!G231&lt;&gt;"",IF(Formulario!G231=" "," ",Formulario!G231)," ")</f>
        <v xml:space="preserve"> </v>
      </c>
      <c r="L223" s="144" t="str">
        <f>IF(Formulario!H231&lt;&gt;"",IF(Formulario!H231=" "," ",Formulario!H231)," ")</f>
        <v xml:space="preserve"> </v>
      </c>
      <c r="M223" s="144" t="str">
        <f>IF(Formulario!I231&lt;&gt;"",IF(Formulario!I231=" "," ",Formulario!I231)," ")</f>
        <v xml:space="preserve"> </v>
      </c>
      <c r="N223" s="145" t="str">
        <f>IF(Formulario!J231&lt;&gt;"",IF(Formulario!J231=" "," ",Formulario!J231),IF(G223=".",".","Falta Fecha"))</f>
        <v>.</v>
      </c>
      <c r="O223" s="155">
        <f>Formulario!L231</f>
        <v>0</v>
      </c>
      <c r="P223" s="146">
        <f>IF(O223=1,"09:00",Formulario!M231)</f>
        <v>0</v>
      </c>
      <c r="Q223" s="146">
        <f>IF(O223=1,"18:30",Formulario!N231)</f>
        <v>0</v>
      </c>
      <c r="R223" s="146" t="str">
        <f>IF(Formulario!O231&lt;&gt;"",IF(Formulario!O231=" ",".",Formulario!O231),".")</f>
        <v>Post Venta</v>
      </c>
      <c r="S223" s="141" t="s">
        <v>131</v>
      </c>
    </row>
    <row r="224" spans="1:19">
      <c r="A224" s="141">
        <f>Formulario!B232</f>
        <v>0</v>
      </c>
      <c r="B224" s="144" t="str">
        <f>IF(G224="."," ",Formulario!D$5)</f>
        <v xml:space="preserve"> </v>
      </c>
      <c r="C224" s="144" t="str">
        <f>IF(G224=".","",Formulario!D$6)</f>
        <v/>
      </c>
      <c r="D224" s="144" t="str">
        <f>IF(H224=".","",Formulario!D$7)</f>
        <v/>
      </c>
      <c r="E224" s="144" t="str">
        <f>IF(G224=".","",Formulario!J$5)</f>
        <v/>
      </c>
      <c r="F224" s="145" t="str">
        <f>IF(G224=".","",Formulario!J$6)</f>
        <v/>
      </c>
      <c r="G224" s="180" t="str">
        <f>IF(Formulario!C232&lt;&gt;"",IF(Formulario!C232=" ","Falta Depto",IF(H224=".","Error En Descripción",Formulario!C232)),IF(H224=".",".","Falta Datos"))</f>
        <v>.</v>
      </c>
      <c r="H224" s="144" t="str">
        <f>IF(Formulario!D232&lt;&gt;"",IF(Formulario!D232=" ",".",Formulario!D232),".")</f>
        <v>.</v>
      </c>
      <c r="I224" s="144" t="str">
        <f>IF(Formulario!E232&lt;&gt;"",IF(Formulario!E232=" "," ",Formulario!E232),IF(G224=".",".","Falta Propietario"))</f>
        <v>.</v>
      </c>
      <c r="J224" s="144" t="str">
        <f>IF(Formulario!F232&lt;&gt;"",IF(Formulario!F232=" "," ",Formulario!F232)," ")</f>
        <v xml:space="preserve"> </v>
      </c>
      <c r="K224" s="144" t="str">
        <f>IF(Formulario!G232&lt;&gt;"",IF(Formulario!G232=" "," ",Formulario!G232)," ")</f>
        <v xml:space="preserve"> </v>
      </c>
      <c r="L224" s="144" t="str">
        <f>IF(Formulario!H232&lt;&gt;"",IF(Formulario!H232=" "," ",Formulario!H232)," ")</f>
        <v xml:space="preserve"> </v>
      </c>
      <c r="M224" s="144" t="str">
        <f>IF(Formulario!I232&lt;&gt;"",IF(Formulario!I232=" "," ",Formulario!I232)," ")</f>
        <v xml:space="preserve"> </v>
      </c>
      <c r="N224" s="145" t="str">
        <f>IF(Formulario!J232&lt;&gt;"",IF(Formulario!J232=" "," ",Formulario!J232),IF(G224=".",".","Falta Fecha"))</f>
        <v>.</v>
      </c>
      <c r="O224" s="155">
        <f>Formulario!L232</f>
        <v>0</v>
      </c>
      <c r="P224" s="146">
        <f>IF(O224=1,"09:00",Formulario!M232)</f>
        <v>0</v>
      </c>
      <c r="Q224" s="146">
        <f>IF(O224=1,"18:30",Formulario!N232)</f>
        <v>0</v>
      </c>
      <c r="R224" s="146" t="str">
        <f>IF(Formulario!O232&lt;&gt;"",IF(Formulario!O232=" ",".",Formulario!O232),".")</f>
        <v>Post Venta</v>
      </c>
      <c r="S224" s="141" t="s">
        <v>131</v>
      </c>
    </row>
    <row r="225" spans="1:19">
      <c r="A225" s="141">
        <f>Formulario!B233</f>
        <v>0</v>
      </c>
      <c r="B225" s="144" t="str">
        <f>IF(G225="."," ",Formulario!D$5)</f>
        <v xml:space="preserve"> </v>
      </c>
      <c r="C225" s="144" t="str">
        <f>IF(G225=".","",Formulario!D$6)</f>
        <v/>
      </c>
      <c r="D225" s="144" t="str">
        <f>IF(H225=".","",Formulario!D$7)</f>
        <v/>
      </c>
      <c r="E225" s="144" t="str">
        <f>IF(G225=".","",Formulario!J$5)</f>
        <v/>
      </c>
      <c r="F225" s="145" t="str">
        <f>IF(G225=".","",Formulario!J$6)</f>
        <v/>
      </c>
      <c r="G225" s="180" t="str">
        <f>IF(Formulario!C233&lt;&gt;"",IF(Formulario!C233=" ","Falta Depto",IF(H225=".","Error En Descripción",Formulario!C233)),IF(H225=".",".","Falta Datos"))</f>
        <v>.</v>
      </c>
      <c r="H225" s="144" t="str">
        <f>IF(Formulario!D233&lt;&gt;"",IF(Formulario!D233=" ",".",Formulario!D233),".")</f>
        <v>.</v>
      </c>
      <c r="I225" s="144" t="str">
        <f>IF(Formulario!E233&lt;&gt;"",IF(Formulario!E233=" "," ",Formulario!E233),IF(G225=".",".","Falta Propietario"))</f>
        <v>.</v>
      </c>
      <c r="J225" s="144" t="str">
        <f>IF(Formulario!F233&lt;&gt;"",IF(Formulario!F233=" "," ",Formulario!F233)," ")</f>
        <v xml:space="preserve"> </v>
      </c>
      <c r="K225" s="144" t="str">
        <f>IF(Formulario!G233&lt;&gt;"",IF(Formulario!G233=" "," ",Formulario!G233)," ")</f>
        <v xml:space="preserve"> </v>
      </c>
      <c r="L225" s="144" t="str">
        <f>IF(Formulario!H233&lt;&gt;"",IF(Formulario!H233=" "," ",Formulario!H233)," ")</f>
        <v xml:space="preserve"> </v>
      </c>
      <c r="M225" s="144" t="str">
        <f>IF(Formulario!I233&lt;&gt;"",IF(Formulario!I233=" "," ",Formulario!I233)," ")</f>
        <v xml:space="preserve"> </v>
      </c>
      <c r="N225" s="145" t="str">
        <f>IF(Formulario!J233&lt;&gt;"",IF(Formulario!J233=" "," ",Formulario!J233),IF(G225=".",".","Falta Fecha"))</f>
        <v>.</v>
      </c>
      <c r="O225" s="155">
        <f>Formulario!L233</f>
        <v>0</v>
      </c>
      <c r="P225" s="146">
        <f>IF(O225=1,"09:00",Formulario!M233)</f>
        <v>0</v>
      </c>
      <c r="Q225" s="146">
        <f>IF(O225=1,"18:30",Formulario!N233)</f>
        <v>0</v>
      </c>
      <c r="R225" s="146" t="str">
        <f>IF(Formulario!O233&lt;&gt;"",IF(Formulario!O233=" ",".",Formulario!O233),".")</f>
        <v>Post Venta</v>
      </c>
      <c r="S225" s="141" t="s">
        <v>131</v>
      </c>
    </row>
    <row r="226" spans="1:19">
      <c r="A226" s="141">
        <f>Formulario!B234</f>
        <v>0</v>
      </c>
      <c r="B226" s="144" t="str">
        <f>IF(G226="."," ",Formulario!D$5)</f>
        <v xml:space="preserve"> </v>
      </c>
      <c r="C226" s="144" t="str">
        <f>IF(G226=".","",Formulario!D$6)</f>
        <v/>
      </c>
      <c r="D226" s="144" t="str">
        <f>IF(H226=".","",Formulario!D$7)</f>
        <v/>
      </c>
      <c r="E226" s="144" t="str">
        <f>IF(G226=".","",Formulario!J$5)</f>
        <v/>
      </c>
      <c r="F226" s="145" t="str">
        <f>IF(G226=".","",Formulario!J$6)</f>
        <v/>
      </c>
      <c r="G226" s="180" t="str">
        <f>IF(Formulario!C234&lt;&gt;"",IF(Formulario!C234=" ","Falta Depto",IF(H226=".","Error En Descripción",Formulario!C234)),IF(H226=".",".","Falta Datos"))</f>
        <v>.</v>
      </c>
      <c r="H226" s="144" t="str">
        <f>IF(Formulario!D234&lt;&gt;"",IF(Formulario!D234=" ",".",Formulario!D234),".")</f>
        <v>.</v>
      </c>
      <c r="I226" s="144" t="str">
        <f>IF(Formulario!E234&lt;&gt;"",IF(Formulario!E234=" "," ",Formulario!E234),IF(G226=".",".","Falta Propietario"))</f>
        <v>.</v>
      </c>
      <c r="J226" s="144" t="str">
        <f>IF(Formulario!F234&lt;&gt;"",IF(Formulario!F234=" "," ",Formulario!F234)," ")</f>
        <v xml:space="preserve"> </v>
      </c>
      <c r="K226" s="144" t="str">
        <f>IF(Formulario!G234&lt;&gt;"",IF(Formulario!G234=" "," ",Formulario!G234)," ")</f>
        <v xml:space="preserve"> </v>
      </c>
      <c r="L226" s="144" t="str">
        <f>IF(Formulario!H234&lt;&gt;"",IF(Formulario!H234=" "," ",Formulario!H234)," ")</f>
        <v xml:space="preserve"> </v>
      </c>
      <c r="M226" s="144" t="str">
        <f>IF(Formulario!I234&lt;&gt;"",IF(Formulario!I234=" "," ",Formulario!I234)," ")</f>
        <v xml:space="preserve"> </v>
      </c>
      <c r="N226" s="145" t="str">
        <f>IF(Formulario!J234&lt;&gt;"",IF(Formulario!J234=" "," ",Formulario!J234),IF(G226=".",".","Falta Fecha"))</f>
        <v>.</v>
      </c>
      <c r="O226" s="155">
        <f>Formulario!L234</f>
        <v>0</v>
      </c>
      <c r="P226" s="146">
        <f>IF(O226=1,"09:00",Formulario!M234)</f>
        <v>0</v>
      </c>
      <c r="Q226" s="146">
        <f>IF(O226=1,"18:30",Formulario!N234)</f>
        <v>0</v>
      </c>
      <c r="R226" s="146" t="str">
        <f>IF(Formulario!O234&lt;&gt;"",IF(Formulario!O234=" ",".",Formulario!O234),".")</f>
        <v>Post Venta</v>
      </c>
      <c r="S226" s="141" t="s">
        <v>131</v>
      </c>
    </row>
    <row r="227" spans="1:19">
      <c r="A227" s="141">
        <f>Formulario!B235</f>
        <v>0</v>
      </c>
      <c r="B227" s="144" t="str">
        <f>IF(G227="."," ",Formulario!D$5)</f>
        <v xml:space="preserve"> </v>
      </c>
      <c r="C227" s="144" t="str">
        <f>IF(G227=".","",Formulario!D$6)</f>
        <v/>
      </c>
      <c r="D227" s="144" t="str">
        <f>IF(H227=".","",Formulario!D$7)</f>
        <v/>
      </c>
      <c r="E227" s="144" t="str">
        <f>IF(G227=".","",Formulario!J$5)</f>
        <v/>
      </c>
      <c r="F227" s="145" t="str">
        <f>IF(G227=".","",Formulario!J$6)</f>
        <v/>
      </c>
      <c r="G227" s="180" t="str">
        <f>IF(Formulario!C235&lt;&gt;"",IF(Formulario!C235=" ","Falta Depto",IF(H227=".","Error En Descripción",Formulario!C235)),IF(H227=".",".","Falta Datos"))</f>
        <v>.</v>
      </c>
      <c r="H227" s="144" t="str">
        <f>IF(Formulario!D235&lt;&gt;"",IF(Formulario!D235=" ",".",Formulario!D235),".")</f>
        <v>.</v>
      </c>
      <c r="I227" s="144" t="str">
        <f>IF(Formulario!E235&lt;&gt;"",IF(Formulario!E235=" "," ",Formulario!E235),IF(G227=".",".","Falta Propietario"))</f>
        <v>.</v>
      </c>
      <c r="J227" s="144" t="str">
        <f>IF(Formulario!F235&lt;&gt;"",IF(Formulario!F235=" "," ",Formulario!F235)," ")</f>
        <v xml:space="preserve"> </v>
      </c>
      <c r="K227" s="144" t="str">
        <f>IF(Formulario!G235&lt;&gt;"",IF(Formulario!G235=" "," ",Formulario!G235)," ")</f>
        <v xml:space="preserve"> </v>
      </c>
      <c r="L227" s="144" t="str">
        <f>IF(Formulario!H235&lt;&gt;"",IF(Formulario!H235=" "," ",Formulario!H235)," ")</f>
        <v xml:space="preserve"> </v>
      </c>
      <c r="M227" s="144" t="str">
        <f>IF(Formulario!I235&lt;&gt;"",IF(Formulario!I235=" "," ",Formulario!I235)," ")</f>
        <v xml:space="preserve"> </v>
      </c>
      <c r="N227" s="145" t="str">
        <f>IF(Formulario!J235&lt;&gt;"",IF(Formulario!J235=" "," ",Formulario!J235),IF(G227=".",".","Falta Fecha"))</f>
        <v>.</v>
      </c>
      <c r="O227" s="155">
        <f>Formulario!L235</f>
        <v>0</v>
      </c>
      <c r="P227" s="146">
        <f>IF(O227=1,"09:00",Formulario!M235)</f>
        <v>0</v>
      </c>
      <c r="Q227" s="146">
        <f>IF(O227=1,"18:30",Formulario!N235)</f>
        <v>0</v>
      </c>
      <c r="R227" s="146" t="str">
        <f>IF(Formulario!O235&lt;&gt;"",IF(Formulario!O235=" ",".",Formulario!O235),".")</f>
        <v>Post Venta</v>
      </c>
      <c r="S227" s="141" t="s">
        <v>131</v>
      </c>
    </row>
    <row r="228" spans="1:19">
      <c r="A228" s="141">
        <f>Formulario!B236</f>
        <v>0</v>
      </c>
      <c r="B228" s="144" t="str">
        <f>IF(G228="."," ",Formulario!D$5)</f>
        <v xml:space="preserve"> </v>
      </c>
      <c r="C228" s="144" t="str">
        <f>IF(G228=".","",Formulario!D$6)</f>
        <v/>
      </c>
      <c r="D228" s="144" t="str">
        <f>IF(H228=".","",Formulario!D$7)</f>
        <v/>
      </c>
      <c r="E228" s="144" t="str">
        <f>IF(G228=".","",Formulario!J$5)</f>
        <v/>
      </c>
      <c r="F228" s="145" t="str">
        <f>IF(G228=".","",Formulario!J$6)</f>
        <v/>
      </c>
      <c r="G228" s="180" t="str">
        <f>IF(Formulario!C236&lt;&gt;"",IF(Formulario!C236=" ","Falta Depto",IF(H228=".","Error En Descripción",Formulario!C236)),IF(H228=".",".","Falta Datos"))</f>
        <v>.</v>
      </c>
      <c r="H228" s="144" t="str">
        <f>IF(Formulario!D236&lt;&gt;"",IF(Formulario!D236=" ",".",Formulario!D236),".")</f>
        <v>.</v>
      </c>
      <c r="I228" s="144" t="str">
        <f>IF(Formulario!E236&lt;&gt;"",IF(Formulario!E236=" "," ",Formulario!E236),IF(G228=".",".","Falta Propietario"))</f>
        <v>.</v>
      </c>
      <c r="J228" s="144" t="str">
        <f>IF(Formulario!F236&lt;&gt;"",IF(Formulario!F236=" "," ",Formulario!F236)," ")</f>
        <v xml:space="preserve"> </v>
      </c>
      <c r="K228" s="144" t="str">
        <f>IF(Formulario!G236&lt;&gt;"",IF(Formulario!G236=" "," ",Formulario!G236)," ")</f>
        <v xml:space="preserve"> </v>
      </c>
      <c r="L228" s="144" t="str">
        <f>IF(Formulario!H236&lt;&gt;"",IF(Formulario!H236=" "," ",Formulario!H236)," ")</f>
        <v xml:space="preserve"> </v>
      </c>
      <c r="M228" s="144" t="str">
        <f>IF(Formulario!I236&lt;&gt;"",IF(Formulario!I236=" "," ",Formulario!I236)," ")</f>
        <v xml:space="preserve"> </v>
      </c>
      <c r="N228" s="145" t="str">
        <f>IF(Formulario!J236&lt;&gt;"",IF(Formulario!J236=" "," ",Formulario!J236),IF(G228=".",".","Falta Fecha"))</f>
        <v>.</v>
      </c>
      <c r="O228" s="155">
        <f>Formulario!L236</f>
        <v>0</v>
      </c>
      <c r="P228" s="146">
        <f>IF(O228=1,"09:00",Formulario!M236)</f>
        <v>0</v>
      </c>
      <c r="Q228" s="146">
        <f>IF(O228=1,"18:30",Formulario!N236)</f>
        <v>0</v>
      </c>
      <c r="R228" s="146" t="str">
        <f>IF(Formulario!O236&lt;&gt;"",IF(Formulario!O236=" ",".",Formulario!O236),".")</f>
        <v>Post Venta</v>
      </c>
      <c r="S228" s="141" t="s">
        <v>131</v>
      </c>
    </row>
    <row r="229" spans="1:19">
      <c r="A229" s="141">
        <f>Formulario!B237</f>
        <v>0</v>
      </c>
      <c r="B229" s="144" t="str">
        <f>IF(G229="."," ",Formulario!D$5)</f>
        <v xml:space="preserve"> </v>
      </c>
      <c r="C229" s="144" t="str">
        <f>IF(G229=".","",Formulario!D$6)</f>
        <v/>
      </c>
      <c r="D229" s="144" t="str">
        <f>IF(H229=".","",Formulario!D$7)</f>
        <v/>
      </c>
      <c r="E229" s="144" t="str">
        <f>IF(G229=".","",Formulario!J$5)</f>
        <v/>
      </c>
      <c r="F229" s="145" t="str">
        <f>IF(G229=".","",Formulario!J$6)</f>
        <v/>
      </c>
      <c r="G229" s="180" t="str">
        <f>IF(Formulario!C237&lt;&gt;"",IF(Formulario!C237=" ","Falta Depto",IF(H229=".","Error En Descripción",Formulario!C237)),IF(H229=".",".","Falta Datos"))</f>
        <v>.</v>
      </c>
      <c r="H229" s="144" t="str">
        <f>IF(Formulario!D237&lt;&gt;"",IF(Formulario!D237=" ",".",Formulario!D237),".")</f>
        <v>.</v>
      </c>
      <c r="I229" s="144" t="str">
        <f>IF(Formulario!E237&lt;&gt;"",IF(Formulario!E237=" "," ",Formulario!E237),IF(G229=".",".","Falta Propietario"))</f>
        <v>.</v>
      </c>
      <c r="J229" s="144" t="str">
        <f>IF(Formulario!F237&lt;&gt;"",IF(Formulario!F237=" "," ",Formulario!F237)," ")</f>
        <v xml:space="preserve"> </v>
      </c>
      <c r="K229" s="144" t="str">
        <f>IF(Formulario!G237&lt;&gt;"",IF(Formulario!G237=" "," ",Formulario!G237)," ")</f>
        <v xml:space="preserve"> </v>
      </c>
      <c r="L229" s="144" t="str">
        <f>IF(Formulario!H237&lt;&gt;"",IF(Formulario!H237=" "," ",Formulario!H237)," ")</f>
        <v xml:space="preserve"> </v>
      </c>
      <c r="M229" s="144" t="str">
        <f>IF(Formulario!I237&lt;&gt;"",IF(Formulario!I237=" "," ",Formulario!I237)," ")</f>
        <v xml:space="preserve"> </v>
      </c>
      <c r="N229" s="145" t="str">
        <f>IF(Formulario!J237&lt;&gt;"",IF(Formulario!J237=" "," ",Formulario!J237),IF(G229=".",".","Falta Fecha"))</f>
        <v>.</v>
      </c>
      <c r="O229" s="155">
        <f>Formulario!L237</f>
        <v>0</v>
      </c>
      <c r="P229" s="146">
        <f>IF(O229=1,"09:00",Formulario!M237)</f>
        <v>0</v>
      </c>
      <c r="Q229" s="146">
        <f>IF(O229=1,"18:30",Formulario!N237)</f>
        <v>0</v>
      </c>
      <c r="R229" s="146" t="str">
        <f>IF(Formulario!O237&lt;&gt;"",IF(Formulario!O237=" ",".",Formulario!O237),".")</f>
        <v>Post Venta</v>
      </c>
      <c r="S229" s="141" t="s">
        <v>131</v>
      </c>
    </row>
    <row r="230" spans="1:19">
      <c r="A230" s="141">
        <f>Formulario!B238</f>
        <v>0</v>
      </c>
      <c r="B230" s="144" t="str">
        <f>IF(G230="."," ",Formulario!D$5)</f>
        <v xml:space="preserve"> </v>
      </c>
      <c r="C230" s="144" t="str">
        <f>IF(G230=".","",Formulario!D$6)</f>
        <v/>
      </c>
      <c r="D230" s="144" t="str">
        <f>IF(H230=".","",Formulario!D$7)</f>
        <v/>
      </c>
      <c r="E230" s="144" t="str">
        <f>IF(G230=".","",Formulario!J$5)</f>
        <v/>
      </c>
      <c r="F230" s="145" t="str">
        <f>IF(G230=".","",Formulario!J$6)</f>
        <v/>
      </c>
      <c r="G230" s="180" t="str">
        <f>IF(Formulario!C238&lt;&gt;"",IF(Formulario!C238=" ","Falta Depto",IF(H230=".","Error En Descripción",Formulario!C238)),IF(H230=".",".","Falta Datos"))</f>
        <v>.</v>
      </c>
      <c r="H230" s="144" t="str">
        <f>IF(Formulario!D238&lt;&gt;"",IF(Formulario!D238=" ",".",Formulario!D238),".")</f>
        <v>.</v>
      </c>
      <c r="I230" s="144" t="str">
        <f>IF(Formulario!E238&lt;&gt;"",IF(Formulario!E238=" "," ",Formulario!E238),IF(G230=".",".","Falta Propietario"))</f>
        <v>.</v>
      </c>
      <c r="J230" s="144" t="str">
        <f>IF(Formulario!F238&lt;&gt;"",IF(Formulario!F238=" "," ",Formulario!F238)," ")</f>
        <v xml:space="preserve"> </v>
      </c>
      <c r="K230" s="144" t="str">
        <f>IF(Formulario!G238&lt;&gt;"",IF(Formulario!G238=" "," ",Formulario!G238)," ")</f>
        <v xml:space="preserve"> </v>
      </c>
      <c r="L230" s="144" t="str">
        <f>IF(Formulario!H238&lt;&gt;"",IF(Formulario!H238=" "," ",Formulario!H238)," ")</f>
        <v xml:space="preserve"> </v>
      </c>
      <c r="M230" s="144" t="str">
        <f>IF(Formulario!I238&lt;&gt;"",IF(Formulario!I238=" "," ",Formulario!I238)," ")</f>
        <v xml:space="preserve"> </v>
      </c>
      <c r="N230" s="145" t="str">
        <f>IF(Formulario!J238&lt;&gt;"",IF(Formulario!J238=" "," ",Formulario!J238),IF(G230=".",".","Falta Fecha"))</f>
        <v>.</v>
      </c>
      <c r="O230" s="155">
        <f>Formulario!L238</f>
        <v>0</v>
      </c>
      <c r="P230" s="146">
        <f>IF(O230=1,"09:00",Formulario!M238)</f>
        <v>0</v>
      </c>
      <c r="Q230" s="146">
        <f>IF(O230=1,"18:30",Formulario!N238)</f>
        <v>0</v>
      </c>
      <c r="R230" s="146" t="str">
        <f>IF(Formulario!O238&lt;&gt;"",IF(Formulario!O238=" ",".",Formulario!O238),".")</f>
        <v>Post Venta</v>
      </c>
      <c r="S230" s="141" t="s">
        <v>131</v>
      </c>
    </row>
    <row r="231" spans="1:19">
      <c r="A231" s="141">
        <f>Formulario!B239</f>
        <v>0</v>
      </c>
      <c r="B231" s="144" t="str">
        <f>IF(G231="."," ",Formulario!D$5)</f>
        <v xml:space="preserve"> </v>
      </c>
      <c r="C231" s="144" t="str">
        <f>IF(G231=".","",Formulario!D$6)</f>
        <v/>
      </c>
      <c r="D231" s="144" t="str">
        <f>IF(H231=".","",Formulario!D$7)</f>
        <v/>
      </c>
      <c r="E231" s="144" t="str">
        <f>IF(G231=".","",Formulario!J$5)</f>
        <v/>
      </c>
      <c r="F231" s="145" t="str">
        <f>IF(G231=".","",Formulario!J$6)</f>
        <v/>
      </c>
      <c r="G231" s="180" t="str">
        <f>IF(Formulario!C239&lt;&gt;"",IF(Formulario!C239=" ","Falta Depto",IF(H231=".","Error En Descripción",Formulario!C239)),IF(H231=".",".","Falta Datos"))</f>
        <v>.</v>
      </c>
      <c r="H231" s="144" t="str">
        <f>IF(Formulario!D239&lt;&gt;"",IF(Formulario!D239=" ",".",Formulario!D239),".")</f>
        <v>.</v>
      </c>
      <c r="I231" s="144" t="str">
        <f>IF(Formulario!E239&lt;&gt;"",IF(Formulario!E239=" "," ",Formulario!E239),IF(G231=".",".","Falta Propietario"))</f>
        <v>.</v>
      </c>
      <c r="J231" s="144" t="str">
        <f>IF(Formulario!F239&lt;&gt;"",IF(Formulario!F239=" "," ",Formulario!F239)," ")</f>
        <v xml:space="preserve"> </v>
      </c>
      <c r="K231" s="144" t="str">
        <f>IF(Formulario!G239&lt;&gt;"",IF(Formulario!G239=" "," ",Formulario!G239)," ")</f>
        <v xml:space="preserve"> </v>
      </c>
      <c r="L231" s="144" t="str">
        <f>IF(Formulario!H239&lt;&gt;"",IF(Formulario!H239=" "," ",Formulario!H239)," ")</f>
        <v xml:space="preserve"> </v>
      </c>
      <c r="M231" s="144" t="str">
        <f>IF(Formulario!I239&lt;&gt;"",IF(Formulario!I239=" "," ",Formulario!I239)," ")</f>
        <v xml:space="preserve"> </v>
      </c>
      <c r="N231" s="145" t="str">
        <f>IF(Formulario!J239&lt;&gt;"",IF(Formulario!J239=" "," ",Formulario!J239),IF(G231=".",".","Falta Fecha"))</f>
        <v>.</v>
      </c>
      <c r="O231" s="155">
        <f>Formulario!L239</f>
        <v>0</v>
      </c>
      <c r="P231" s="146">
        <f>IF(O231=1,"09:00",Formulario!M239)</f>
        <v>0</v>
      </c>
      <c r="Q231" s="146">
        <f>IF(O231=1,"18:30",Formulario!N239)</f>
        <v>0</v>
      </c>
      <c r="R231" s="146" t="str">
        <f>IF(Formulario!O239&lt;&gt;"",IF(Formulario!O239=" ",".",Formulario!O239),".")</f>
        <v>Post Venta</v>
      </c>
      <c r="S231" s="141" t="s">
        <v>131</v>
      </c>
    </row>
    <row r="232" spans="1:19">
      <c r="A232" s="141">
        <f>Formulario!B240</f>
        <v>0</v>
      </c>
      <c r="B232" s="144" t="str">
        <f>IF(G232="."," ",Formulario!D$5)</f>
        <v xml:space="preserve"> </v>
      </c>
      <c r="C232" s="144" t="str">
        <f>IF(G232=".","",Formulario!D$6)</f>
        <v/>
      </c>
      <c r="D232" s="144" t="str">
        <f>IF(H232=".","",Formulario!D$7)</f>
        <v/>
      </c>
      <c r="E232" s="144" t="str">
        <f>IF(G232=".","",Formulario!J$5)</f>
        <v/>
      </c>
      <c r="F232" s="145" t="str">
        <f>IF(G232=".","",Formulario!J$6)</f>
        <v/>
      </c>
      <c r="G232" s="180" t="str">
        <f>IF(Formulario!C240&lt;&gt;"",IF(Formulario!C240=" ","Falta Depto",IF(H232=".","Error En Descripción",Formulario!C240)),IF(H232=".",".","Falta Datos"))</f>
        <v>.</v>
      </c>
      <c r="H232" s="144" t="str">
        <f>IF(Formulario!D240&lt;&gt;"",IF(Formulario!D240=" ",".",Formulario!D240),".")</f>
        <v>.</v>
      </c>
      <c r="I232" s="144" t="str">
        <f>IF(Formulario!E240&lt;&gt;"",IF(Formulario!E240=" "," ",Formulario!E240),IF(G232=".",".","Falta Propietario"))</f>
        <v>.</v>
      </c>
      <c r="J232" s="144" t="str">
        <f>IF(Formulario!F240&lt;&gt;"",IF(Formulario!F240=" "," ",Formulario!F240)," ")</f>
        <v xml:space="preserve"> </v>
      </c>
      <c r="K232" s="144" t="str">
        <f>IF(Formulario!G240&lt;&gt;"",IF(Formulario!G240=" "," ",Formulario!G240)," ")</f>
        <v xml:space="preserve"> </v>
      </c>
      <c r="L232" s="144" t="str">
        <f>IF(Formulario!H240&lt;&gt;"",IF(Formulario!H240=" "," ",Formulario!H240)," ")</f>
        <v xml:space="preserve"> </v>
      </c>
      <c r="M232" s="144" t="str">
        <f>IF(Formulario!I240&lt;&gt;"",IF(Formulario!I240=" "," ",Formulario!I240)," ")</f>
        <v xml:space="preserve"> </v>
      </c>
      <c r="N232" s="145" t="str">
        <f>IF(Formulario!J240&lt;&gt;"",IF(Formulario!J240=" "," ",Formulario!J240),IF(G232=".",".","Falta Fecha"))</f>
        <v>.</v>
      </c>
      <c r="O232" s="155">
        <f>Formulario!L240</f>
        <v>0</v>
      </c>
      <c r="P232" s="146">
        <f>IF(O232=1,"09:00",Formulario!M240)</f>
        <v>0</v>
      </c>
      <c r="Q232" s="146">
        <f>IF(O232=1,"18:30",Formulario!N240)</f>
        <v>0</v>
      </c>
      <c r="R232" s="146" t="str">
        <f>IF(Formulario!O240&lt;&gt;"",IF(Formulario!O240=" ",".",Formulario!O240),".")</f>
        <v>Post Venta</v>
      </c>
      <c r="S232" s="141" t="s">
        <v>131</v>
      </c>
    </row>
    <row r="233" spans="1:19">
      <c r="A233" s="141">
        <f>Formulario!B241</f>
        <v>0</v>
      </c>
      <c r="B233" s="144" t="str">
        <f>IF(G233="."," ",Formulario!D$5)</f>
        <v xml:space="preserve"> </v>
      </c>
      <c r="C233" s="144" t="str">
        <f>IF(G233=".","",Formulario!D$6)</f>
        <v/>
      </c>
      <c r="D233" s="144" t="str">
        <f>IF(H233=".","",Formulario!D$7)</f>
        <v/>
      </c>
      <c r="E233" s="144" t="str">
        <f>IF(G233=".","",Formulario!J$5)</f>
        <v/>
      </c>
      <c r="F233" s="145" t="str">
        <f>IF(G233=".","",Formulario!J$6)</f>
        <v/>
      </c>
      <c r="G233" s="180" t="str">
        <f>IF(Formulario!C241&lt;&gt;"",IF(Formulario!C241=" ","Falta Depto",IF(H233=".","Error En Descripción",Formulario!C241)),IF(H233=".",".","Falta Datos"))</f>
        <v>.</v>
      </c>
      <c r="H233" s="144" t="str">
        <f>IF(Formulario!D241&lt;&gt;"",IF(Formulario!D241=" ",".",Formulario!D241),".")</f>
        <v>.</v>
      </c>
      <c r="I233" s="144" t="str">
        <f>IF(Formulario!E241&lt;&gt;"",IF(Formulario!E241=" "," ",Formulario!E241),IF(G233=".",".","Falta Propietario"))</f>
        <v>.</v>
      </c>
      <c r="J233" s="144" t="str">
        <f>IF(Formulario!F241&lt;&gt;"",IF(Formulario!F241=" "," ",Formulario!F241)," ")</f>
        <v xml:space="preserve"> </v>
      </c>
      <c r="K233" s="144" t="str">
        <f>IF(Formulario!G241&lt;&gt;"",IF(Formulario!G241=" "," ",Formulario!G241)," ")</f>
        <v xml:space="preserve"> </v>
      </c>
      <c r="L233" s="144" t="str">
        <f>IF(Formulario!H241&lt;&gt;"",IF(Formulario!H241=" "," ",Formulario!H241)," ")</f>
        <v xml:space="preserve"> </v>
      </c>
      <c r="M233" s="144" t="str">
        <f>IF(Formulario!I241&lt;&gt;"",IF(Formulario!I241=" "," ",Formulario!I241)," ")</f>
        <v xml:space="preserve"> </v>
      </c>
      <c r="N233" s="145" t="str">
        <f>IF(Formulario!J241&lt;&gt;"",IF(Formulario!J241=" "," ",Formulario!J241),IF(G233=".",".","Falta Fecha"))</f>
        <v>.</v>
      </c>
      <c r="O233" s="155">
        <f>Formulario!L241</f>
        <v>0</v>
      </c>
      <c r="P233" s="146">
        <f>IF(O233=1,"09:00",Formulario!M241)</f>
        <v>0</v>
      </c>
      <c r="Q233" s="146">
        <f>IF(O233=1,"18:30",Formulario!N241)</f>
        <v>0</v>
      </c>
      <c r="R233" s="146" t="str">
        <f>IF(Formulario!O241&lt;&gt;"",IF(Formulario!O241=" ",".",Formulario!O241),".")</f>
        <v>Post Venta</v>
      </c>
      <c r="S233" s="141" t="s">
        <v>131</v>
      </c>
    </row>
    <row r="234" spans="1:19">
      <c r="A234" s="141">
        <f>Formulario!B242</f>
        <v>0</v>
      </c>
      <c r="B234" s="144" t="str">
        <f>IF(G234="."," ",Formulario!D$5)</f>
        <v xml:space="preserve"> </v>
      </c>
      <c r="C234" s="144" t="str">
        <f>IF(G234=".","",Formulario!D$6)</f>
        <v/>
      </c>
      <c r="D234" s="144" t="str">
        <f>IF(H234=".","",Formulario!D$7)</f>
        <v/>
      </c>
      <c r="E234" s="144" t="str">
        <f>IF(G234=".","",Formulario!J$5)</f>
        <v/>
      </c>
      <c r="F234" s="145" t="str">
        <f>IF(G234=".","",Formulario!J$6)</f>
        <v/>
      </c>
      <c r="G234" s="180" t="str">
        <f>IF(Formulario!C242&lt;&gt;"",IF(Formulario!C242=" ","Falta Depto",IF(H234=".","Error En Descripción",Formulario!C242)),IF(H234=".",".","Falta Datos"))</f>
        <v>.</v>
      </c>
      <c r="H234" s="144" t="str">
        <f>IF(Formulario!D242&lt;&gt;"",IF(Formulario!D242=" ",".",Formulario!D242),".")</f>
        <v>.</v>
      </c>
      <c r="I234" s="144" t="str">
        <f>IF(Formulario!E242&lt;&gt;"",IF(Formulario!E242=" "," ",Formulario!E242),IF(G234=".",".","Falta Propietario"))</f>
        <v>.</v>
      </c>
      <c r="J234" s="144" t="str">
        <f>IF(Formulario!F242&lt;&gt;"",IF(Formulario!F242=" "," ",Formulario!F242)," ")</f>
        <v xml:space="preserve"> </v>
      </c>
      <c r="K234" s="144" t="str">
        <f>IF(Formulario!G242&lt;&gt;"",IF(Formulario!G242=" "," ",Formulario!G242)," ")</f>
        <v xml:space="preserve"> </v>
      </c>
      <c r="L234" s="144" t="str">
        <f>IF(Formulario!H242&lt;&gt;"",IF(Formulario!H242=" "," ",Formulario!H242)," ")</f>
        <v xml:space="preserve"> </v>
      </c>
      <c r="M234" s="144" t="str">
        <f>IF(Formulario!I242&lt;&gt;"",IF(Formulario!I242=" "," ",Formulario!I242)," ")</f>
        <v xml:space="preserve"> </v>
      </c>
      <c r="N234" s="145" t="str">
        <f>IF(Formulario!J242&lt;&gt;"",IF(Formulario!J242=" "," ",Formulario!J242),IF(G234=".",".","Falta Fecha"))</f>
        <v>.</v>
      </c>
      <c r="O234" s="155">
        <f>Formulario!L242</f>
        <v>0</v>
      </c>
      <c r="P234" s="146">
        <f>IF(O234=1,"09:00",Formulario!M242)</f>
        <v>0</v>
      </c>
      <c r="Q234" s="146">
        <f>IF(O234=1,"18:30",Formulario!N242)</f>
        <v>0</v>
      </c>
      <c r="R234" s="146" t="str">
        <f>IF(Formulario!O242&lt;&gt;"",IF(Formulario!O242=" ",".",Formulario!O242),".")</f>
        <v>Post Venta</v>
      </c>
      <c r="S234" s="141" t="s">
        <v>131</v>
      </c>
    </row>
    <row r="235" spans="1:19">
      <c r="A235" s="141">
        <f>Formulario!B243</f>
        <v>0</v>
      </c>
      <c r="B235" s="144" t="str">
        <f>IF(G235="."," ",Formulario!D$5)</f>
        <v xml:space="preserve"> </v>
      </c>
      <c r="C235" s="144" t="str">
        <f>IF(G235=".","",Formulario!D$6)</f>
        <v/>
      </c>
      <c r="D235" s="144" t="str">
        <f>IF(H235=".","",Formulario!D$7)</f>
        <v/>
      </c>
      <c r="E235" s="144" t="str">
        <f>IF(G235=".","",Formulario!J$5)</f>
        <v/>
      </c>
      <c r="F235" s="145" t="str">
        <f>IF(G235=".","",Formulario!J$6)</f>
        <v/>
      </c>
      <c r="G235" s="180" t="str">
        <f>IF(Formulario!C243&lt;&gt;"",IF(Formulario!C243=" ","Falta Depto",IF(H235=".","Error En Descripción",Formulario!C243)),IF(H235=".",".","Falta Datos"))</f>
        <v>.</v>
      </c>
      <c r="H235" s="144" t="str">
        <f>IF(Formulario!D243&lt;&gt;"",IF(Formulario!D243=" ",".",Formulario!D243),".")</f>
        <v>.</v>
      </c>
      <c r="I235" s="144" t="str">
        <f>IF(Formulario!E243&lt;&gt;"",IF(Formulario!E243=" "," ",Formulario!E243),IF(G235=".",".","Falta Propietario"))</f>
        <v>.</v>
      </c>
      <c r="J235" s="144" t="str">
        <f>IF(Formulario!F243&lt;&gt;"",IF(Formulario!F243=" "," ",Formulario!F243)," ")</f>
        <v xml:space="preserve"> </v>
      </c>
      <c r="K235" s="144" t="str">
        <f>IF(Formulario!G243&lt;&gt;"",IF(Formulario!G243=" "," ",Formulario!G243)," ")</f>
        <v xml:space="preserve"> </v>
      </c>
      <c r="L235" s="144" t="str">
        <f>IF(Formulario!H243&lt;&gt;"",IF(Formulario!H243=" "," ",Formulario!H243)," ")</f>
        <v xml:space="preserve"> </v>
      </c>
      <c r="M235" s="144" t="str">
        <f>IF(Formulario!I243&lt;&gt;"",IF(Formulario!I243=" "," ",Formulario!I243)," ")</f>
        <v xml:space="preserve"> </v>
      </c>
      <c r="N235" s="145" t="str">
        <f>IF(Formulario!J243&lt;&gt;"",IF(Formulario!J243=" "," ",Formulario!J243),IF(G235=".",".","Falta Fecha"))</f>
        <v>.</v>
      </c>
      <c r="O235" s="155">
        <f>Formulario!L243</f>
        <v>0</v>
      </c>
      <c r="P235" s="146">
        <f>IF(O235=1,"09:00",Formulario!M243)</f>
        <v>0</v>
      </c>
      <c r="Q235" s="146">
        <f>IF(O235=1,"18:30",Formulario!N243)</f>
        <v>0</v>
      </c>
      <c r="R235" s="146" t="str">
        <f>IF(Formulario!O243&lt;&gt;"",IF(Formulario!O243=" ",".",Formulario!O243),".")</f>
        <v>Post Venta</v>
      </c>
      <c r="S235" s="141" t="s">
        <v>131</v>
      </c>
    </row>
    <row r="236" spans="1:19">
      <c r="A236" s="141">
        <f>Formulario!B244</f>
        <v>0</v>
      </c>
      <c r="B236" s="144" t="str">
        <f>IF(G236="."," ",Formulario!D$5)</f>
        <v xml:space="preserve"> </v>
      </c>
      <c r="C236" s="144" t="str">
        <f>IF(G236=".","",Formulario!D$6)</f>
        <v/>
      </c>
      <c r="D236" s="144" t="str">
        <f>IF(H236=".","",Formulario!D$7)</f>
        <v/>
      </c>
      <c r="E236" s="144" t="str">
        <f>IF(G236=".","",Formulario!J$5)</f>
        <v/>
      </c>
      <c r="F236" s="145" t="str">
        <f>IF(G236=".","",Formulario!J$6)</f>
        <v/>
      </c>
      <c r="G236" s="180" t="str">
        <f>IF(Formulario!C244&lt;&gt;"",IF(Formulario!C244=" ","Falta Depto",IF(H236=".","Error En Descripción",Formulario!C244)),IF(H236=".",".","Falta Datos"))</f>
        <v>.</v>
      </c>
      <c r="H236" s="144" t="str">
        <f>IF(Formulario!D244&lt;&gt;"",IF(Formulario!D244=" ",".",Formulario!D244),".")</f>
        <v>.</v>
      </c>
      <c r="I236" s="144" t="str">
        <f>IF(Formulario!E244&lt;&gt;"",IF(Formulario!E244=" "," ",Formulario!E244),IF(G236=".",".","Falta Propietario"))</f>
        <v>.</v>
      </c>
      <c r="J236" s="144" t="str">
        <f>IF(Formulario!F244&lt;&gt;"",IF(Formulario!F244=" "," ",Formulario!F244)," ")</f>
        <v xml:space="preserve"> </v>
      </c>
      <c r="K236" s="144" t="str">
        <f>IF(Formulario!G244&lt;&gt;"",IF(Formulario!G244=" "," ",Formulario!G244)," ")</f>
        <v xml:space="preserve"> </v>
      </c>
      <c r="L236" s="144" t="str">
        <f>IF(Formulario!H244&lt;&gt;"",IF(Formulario!H244=" "," ",Formulario!H244)," ")</f>
        <v xml:space="preserve"> </v>
      </c>
      <c r="M236" s="144" t="str">
        <f>IF(Formulario!I244&lt;&gt;"",IF(Formulario!I244=" "," ",Formulario!I244)," ")</f>
        <v xml:space="preserve"> </v>
      </c>
      <c r="N236" s="145" t="str">
        <f>IF(Formulario!J244&lt;&gt;"",IF(Formulario!J244=" "," ",Formulario!J244),IF(G236=".",".","Falta Fecha"))</f>
        <v>.</v>
      </c>
      <c r="O236" s="155">
        <f>Formulario!L244</f>
        <v>0</v>
      </c>
      <c r="P236" s="146">
        <f>IF(O236=1,"09:00",Formulario!M244)</f>
        <v>0</v>
      </c>
      <c r="Q236" s="146">
        <f>IF(O236=1,"18:30",Formulario!N244)</f>
        <v>0</v>
      </c>
      <c r="R236" s="146" t="str">
        <f>IF(Formulario!O244&lt;&gt;"",IF(Formulario!O244=" ",".",Formulario!O244),".")</f>
        <v>Post Venta</v>
      </c>
      <c r="S236" s="141" t="s">
        <v>131</v>
      </c>
    </row>
    <row r="237" spans="1:19">
      <c r="A237" s="141">
        <f>Formulario!B245</f>
        <v>0</v>
      </c>
      <c r="B237" s="144" t="str">
        <f>IF(G237="."," ",Formulario!D$5)</f>
        <v xml:space="preserve"> </v>
      </c>
      <c r="C237" s="144" t="str">
        <f>IF(G237=".","",Formulario!D$6)</f>
        <v/>
      </c>
      <c r="D237" s="144" t="str">
        <f>IF(H237=".","",Formulario!D$7)</f>
        <v/>
      </c>
      <c r="E237" s="144" t="str">
        <f>IF(G237=".","",Formulario!J$5)</f>
        <v/>
      </c>
      <c r="F237" s="145" t="str">
        <f>IF(G237=".","",Formulario!J$6)</f>
        <v/>
      </c>
      <c r="G237" s="180" t="str">
        <f>IF(Formulario!C245&lt;&gt;"",IF(Formulario!C245=" ","Falta Depto",IF(H237=".","Error En Descripción",Formulario!C245)),IF(H237=".",".","Falta Datos"))</f>
        <v>.</v>
      </c>
      <c r="H237" s="144" t="str">
        <f>IF(Formulario!D245&lt;&gt;"",IF(Formulario!D245=" ",".",Formulario!D245),".")</f>
        <v>.</v>
      </c>
      <c r="I237" s="144" t="str">
        <f>IF(Formulario!E245&lt;&gt;"",IF(Formulario!E245=" "," ",Formulario!E245),IF(G237=".",".","Falta Propietario"))</f>
        <v>.</v>
      </c>
      <c r="J237" s="144" t="str">
        <f>IF(Formulario!F245&lt;&gt;"",IF(Formulario!F245=" "," ",Formulario!F245)," ")</f>
        <v xml:space="preserve"> </v>
      </c>
      <c r="K237" s="144" t="str">
        <f>IF(Formulario!G245&lt;&gt;"",IF(Formulario!G245=" "," ",Formulario!G245)," ")</f>
        <v xml:space="preserve"> </v>
      </c>
      <c r="L237" s="144" t="str">
        <f>IF(Formulario!H245&lt;&gt;"",IF(Formulario!H245=" "," ",Formulario!H245)," ")</f>
        <v xml:space="preserve"> </v>
      </c>
      <c r="M237" s="144" t="str">
        <f>IF(Formulario!I245&lt;&gt;"",IF(Formulario!I245=" "," ",Formulario!I245)," ")</f>
        <v xml:space="preserve"> </v>
      </c>
      <c r="N237" s="145" t="str">
        <f>IF(Formulario!J245&lt;&gt;"",IF(Formulario!J245=" "," ",Formulario!J245),IF(G237=".",".","Falta Fecha"))</f>
        <v>.</v>
      </c>
      <c r="O237" s="155">
        <f>Formulario!L245</f>
        <v>0</v>
      </c>
      <c r="P237" s="146">
        <f>IF(O237=1,"09:00",Formulario!M245)</f>
        <v>0</v>
      </c>
      <c r="Q237" s="146">
        <f>IF(O237=1,"18:30",Formulario!N245)</f>
        <v>0</v>
      </c>
      <c r="R237" s="146" t="str">
        <f>IF(Formulario!O245&lt;&gt;"",IF(Formulario!O245=" ",".",Formulario!O245),".")</f>
        <v>Post Venta</v>
      </c>
      <c r="S237" s="141" t="s">
        <v>131</v>
      </c>
    </row>
    <row r="238" spans="1:19">
      <c r="A238" s="141">
        <f>Formulario!B246</f>
        <v>0</v>
      </c>
      <c r="B238" s="144" t="str">
        <f>IF(G238="."," ",Formulario!D$5)</f>
        <v xml:space="preserve"> </v>
      </c>
      <c r="C238" s="144" t="str">
        <f>IF(G238=".","",Formulario!D$6)</f>
        <v/>
      </c>
      <c r="D238" s="144" t="str">
        <f>IF(H238=".","",Formulario!D$7)</f>
        <v/>
      </c>
      <c r="E238" s="144" t="str">
        <f>IF(G238=".","",Formulario!J$5)</f>
        <v/>
      </c>
      <c r="F238" s="145" t="str">
        <f>IF(G238=".","",Formulario!J$6)</f>
        <v/>
      </c>
      <c r="G238" s="180" t="str">
        <f>IF(Formulario!C246&lt;&gt;"",IF(Formulario!C246=" ","Falta Depto",IF(H238=".","Error En Descripción",Formulario!C246)),IF(H238=".",".","Falta Datos"))</f>
        <v>.</v>
      </c>
      <c r="H238" s="144" t="str">
        <f>IF(Formulario!D246&lt;&gt;"",IF(Formulario!D246=" ",".",Formulario!D246),".")</f>
        <v>.</v>
      </c>
      <c r="I238" s="144" t="str">
        <f>IF(Formulario!E246&lt;&gt;"",IF(Formulario!E246=" "," ",Formulario!E246),IF(G238=".",".","Falta Propietario"))</f>
        <v>.</v>
      </c>
      <c r="J238" s="144" t="str">
        <f>IF(Formulario!F246&lt;&gt;"",IF(Formulario!F246=" "," ",Formulario!F246)," ")</f>
        <v xml:space="preserve"> </v>
      </c>
      <c r="K238" s="144" t="str">
        <f>IF(Formulario!G246&lt;&gt;"",IF(Formulario!G246=" "," ",Formulario!G246)," ")</f>
        <v xml:space="preserve"> </v>
      </c>
      <c r="L238" s="144" t="str">
        <f>IF(Formulario!H246&lt;&gt;"",IF(Formulario!H246=" "," ",Formulario!H246)," ")</f>
        <v xml:space="preserve"> </v>
      </c>
      <c r="M238" s="144" t="str">
        <f>IF(Formulario!I246&lt;&gt;"",IF(Formulario!I246=" "," ",Formulario!I246)," ")</f>
        <v xml:space="preserve"> </v>
      </c>
      <c r="N238" s="145" t="str">
        <f>IF(Formulario!J246&lt;&gt;"",IF(Formulario!J246=" "," ",Formulario!J246),IF(G238=".",".","Falta Fecha"))</f>
        <v>.</v>
      </c>
      <c r="O238" s="155">
        <f>Formulario!L246</f>
        <v>0</v>
      </c>
      <c r="P238" s="146">
        <f>IF(O238=1,"09:00",Formulario!M246)</f>
        <v>0</v>
      </c>
      <c r="Q238" s="146">
        <f>IF(O238=1,"18:30",Formulario!N246)</f>
        <v>0</v>
      </c>
      <c r="R238" s="146" t="str">
        <f>IF(Formulario!O246&lt;&gt;"",IF(Formulario!O246=" ",".",Formulario!O246),".")</f>
        <v>Post Venta</v>
      </c>
      <c r="S238" s="141" t="s">
        <v>131</v>
      </c>
    </row>
    <row r="239" spans="1:19">
      <c r="A239" s="141">
        <f>Formulario!B247</f>
        <v>0</v>
      </c>
      <c r="B239" s="144" t="str">
        <f>IF(G239="."," ",Formulario!D$5)</f>
        <v xml:space="preserve"> </v>
      </c>
      <c r="C239" s="144" t="str">
        <f>IF(G239=".","",Formulario!D$6)</f>
        <v/>
      </c>
      <c r="D239" s="144" t="str">
        <f>IF(H239=".","",Formulario!D$7)</f>
        <v/>
      </c>
      <c r="E239" s="144" t="str">
        <f>IF(G239=".","",Formulario!J$5)</f>
        <v/>
      </c>
      <c r="F239" s="145" t="str">
        <f>IF(G239=".","",Formulario!J$6)</f>
        <v/>
      </c>
      <c r="G239" s="180" t="str">
        <f>IF(Formulario!C247&lt;&gt;"",IF(Formulario!C247=" ","Falta Depto",IF(H239=".","Error En Descripción",Formulario!C247)),IF(H239=".",".","Falta Datos"))</f>
        <v>.</v>
      </c>
      <c r="H239" s="144" t="str">
        <f>IF(Formulario!D247&lt;&gt;"",IF(Formulario!D247=" ",".",Formulario!D247),".")</f>
        <v>.</v>
      </c>
      <c r="I239" s="144" t="str">
        <f>IF(Formulario!E247&lt;&gt;"",IF(Formulario!E247=" "," ",Formulario!E247),IF(G239=".",".","Falta Propietario"))</f>
        <v>.</v>
      </c>
      <c r="J239" s="144" t="str">
        <f>IF(Formulario!F247&lt;&gt;"",IF(Formulario!F247=" "," ",Formulario!F247)," ")</f>
        <v xml:space="preserve"> </v>
      </c>
      <c r="K239" s="144" t="str">
        <f>IF(Formulario!G247&lt;&gt;"",IF(Formulario!G247=" "," ",Formulario!G247)," ")</f>
        <v xml:space="preserve"> </v>
      </c>
      <c r="L239" s="144" t="str">
        <f>IF(Formulario!H247&lt;&gt;"",IF(Formulario!H247=" "," ",Formulario!H247)," ")</f>
        <v xml:space="preserve"> </v>
      </c>
      <c r="M239" s="144" t="str">
        <f>IF(Formulario!I247&lt;&gt;"",IF(Formulario!I247=" "," ",Formulario!I247)," ")</f>
        <v xml:space="preserve"> </v>
      </c>
      <c r="N239" s="145" t="str">
        <f>IF(Formulario!J247&lt;&gt;"",IF(Formulario!J247=" "," ",Formulario!J247),IF(G239=".",".","Falta Fecha"))</f>
        <v>.</v>
      </c>
      <c r="O239" s="155">
        <f>Formulario!L247</f>
        <v>0</v>
      </c>
      <c r="P239" s="146">
        <f>IF(O239=1,"09:00",Formulario!M247)</f>
        <v>0</v>
      </c>
      <c r="Q239" s="146">
        <f>IF(O239=1,"18:30",Formulario!N247)</f>
        <v>0</v>
      </c>
      <c r="R239" s="146" t="str">
        <f>IF(Formulario!O247&lt;&gt;"",IF(Formulario!O247=" ",".",Formulario!O247),".")</f>
        <v>Post Venta</v>
      </c>
      <c r="S239" s="141" t="s">
        <v>131</v>
      </c>
    </row>
    <row r="240" spans="1:19">
      <c r="A240" s="141">
        <f>Formulario!B248</f>
        <v>0</v>
      </c>
      <c r="B240" s="144" t="str">
        <f>IF(G240="."," ",Formulario!D$5)</f>
        <v xml:space="preserve"> </v>
      </c>
      <c r="C240" s="144" t="str">
        <f>IF(G240=".","",Formulario!D$6)</f>
        <v/>
      </c>
      <c r="D240" s="144" t="str">
        <f>IF(H240=".","",Formulario!D$7)</f>
        <v/>
      </c>
      <c r="E240" s="144" t="str">
        <f>IF(G240=".","",Formulario!J$5)</f>
        <v/>
      </c>
      <c r="F240" s="145" t="str">
        <f>IF(G240=".","",Formulario!J$6)</f>
        <v/>
      </c>
      <c r="G240" s="180" t="str">
        <f>IF(Formulario!C248&lt;&gt;"",IF(Formulario!C248=" ","Falta Depto",IF(H240=".","Error En Descripción",Formulario!C248)),IF(H240=".",".","Falta Datos"))</f>
        <v>.</v>
      </c>
      <c r="H240" s="144" t="str">
        <f>IF(Formulario!D248&lt;&gt;"",IF(Formulario!D248=" ",".",Formulario!D248),".")</f>
        <v>.</v>
      </c>
      <c r="I240" s="144" t="str">
        <f>IF(Formulario!E248&lt;&gt;"",IF(Formulario!E248=" "," ",Formulario!E248),IF(G240=".",".","Falta Propietario"))</f>
        <v>.</v>
      </c>
      <c r="J240" s="144" t="str">
        <f>IF(Formulario!F248&lt;&gt;"",IF(Formulario!F248=" "," ",Formulario!F248)," ")</f>
        <v xml:space="preserve"> </v>
      </c>
      <c r="K240" s="144" t="str">
        <f>IF(Formulario!G248&lt;&gt;"",IF(Formulario!G248=" "," ",Formulario!G248)," ")</f>
        <v xml:space="preserve"> </v>
      </c>
      <c r="L240" s="144" t="str">
        <f>IF(Formulario!H248&lt;&gt;"",IF(Formulario!H248=" "," ",Formulario!H248)," ")</f>
        <v xml:space="preserve"> </v>
      </c>
      <c r="M240" s="144" t="str">
        <f>IF(Formulario!I248&lt;&gt;"",IF(Formulario!I248=" "," ",Formulario!I248)," ")</f>
        <v xml:space="preserve"> </v>
      </c>
      <c r="N240" s="145" t="str">
        <f>IF(Formulario!J248&lt;&gt;"",IF(Formulario!J248=" "," ",Formulario!J248),IF(G240=".",".","Falta Fecha"))</f>
        <v>.</v>
      </c>
      <c r="O240" s="155">
        <f>Formulario!L248</f>
        <v>0</v>
      </c>
      <c r="P240" s="146">
        <f>IF(O240=1,"09:00",Formulario!M248)</f>
        <v>0</v>
      </c>
      <c r="Q240" s="146">
        <f>IF(O240=1,"18:30",Formulario!N248)</f>
        <v>0</v>
      </c>
      <c r="R240" s="146" t="str">
        <f>IF(Formulario!O248&lt;&gt;"",IF(Formulario!O248=" ",".",Formulario!O248),".")</f>
        <v>Post Venta</v>
      </c>
      <c r="S240" s="141" t="s">
        <v>131</v>
      </c>
    </row>
    <row r="241" spans="1:19">
      <c r="A241" s="141">
        <f>Formulario!B249</f>
        <v>0</v>
      </c>
      <c r="B241" s="144" t="str">
        <f>IF(G241="."," ",Formulario!D$5)</f>
        <v xml:space="preserve"> </v>
      </c>
      <c r="C241" s="144" t="str">
        <f>IF(G241=".","",Formulario!D$6)</f>
        <v/>
      </c>
      <c r="D241" s="144" t="str">
        <f>IF(H241=".","",Formulario!D$7)</f>
        <v/>
      </c>
      <c r="E241" s="144" t="str">
        <f>IF(G241=".","",Formulario!J$5)</f>
        <v/>
      </c>
      <c r="F241" s="145" t="str">
        <f>IF(G241=".","",Formulario!J$6)</f>
        <v/>
      </c>
      <c r="G241" s="180" t="str">
        <f>IF(Formulario!C249&lt;&gt;"",IF(Formulario!C249=" ","Falta Depto",IF(H241=".","Error En Descripción",Formulario!C249)),IF(H241=".",".","Falta Datos"))</f>
        <v>.</v>
      </c>
      <c r="H241" s="144" t="str">
        <f>IF(Formulario!D249&lt;&gt;"",IF(Formulario!D249=" ",".",Formulario!D249),".")</f>
        <v>.</v>
      </c>
      <c r="I241" s="144" t="str">
        <f>IF(Formulario!E249&lt;&gt;"",IF(Formulario!E249=" "," ",Formulario!E249),IF(G241=".",".","Falta Propietario"))</f>
        <v>.</v>
      </c>
      <c r="J241" s="144" t="str">
        <f>IF(Formulario!F249&lt;&gt;"",IF(Formulario!F249=" "," ",Formulario!F249)," ")</f>
        <v xml:space="preserve"> </v>
      </c>
      <c r="K241" s="144" t="str">
        <f>IF(Formulario!G249&lt;&gt;"",IF(Formulario!G249=" "," ",Formulario!G249)," ")</f>
        <v xml:space="preserve"> </v>
      </c>
      <c r="L241" s="144" t="str">
        <f>IF(Formulario!H249&lt;&gt;"",IF(Formulario!H249=" "," ",Formulario!H249)," ")</f>
        <v xml:space="preserve"> </v>
      </c>
      <c r="M241" s="144" t="str">
        <f>IF(Formulario!I249&lt;&gt;"",IF(Formulario!I249=" "," ",Formulario!I249)," ")</f>
        <v xml:space="preserve"> </v>
      </c>
      <c r="N241" s="145" t="str">
        <f>IF(Formulario!J249&lt;&gt;"",IF(Formulario!J249=" "," ",Formulario!J249),IF(G241=".",".","Falta Fecha"))</f>
        <v>.</v>
      </c>
      <c r="O241" s="155">
        <f>Formulario!L249</f>
        <v>0</v>
      </c>
      <c r="P241" s="146">
        <f>IF(O241=1,"09:00",Formulario!M249)</f>
        <v>0</v>
      </c>
      <c r="Q241" s="146">
        <f>IF(O241=1,"18:30",Formulario!N249)</f>
        <v>0</v>
      </c>
      <c r="R241" s="146" t="str">
        <f>IF(Formulario!O249&lt;&gt;"",IF(Formulario!O249=" ",".",Formulario!O249),".")</f>
        <v>Post Venta</v>
      </c>
      <c r="S241" s="141" t="s">
        <v>131</v>
      </c>
    </row>
    <row r="242" spans="1:19">
      <c r="A242" s="141">
        <f>Formulario!B250</f>
        <v>0</v>
      </c>
      <c r="B242" s="144" t="str">
        <f>IF(G242="."," ",Formulario!D$5)</f>
        <v xml:space="preserve"> </v>
      </c>
      <c r="C242" s="144" t="str">
        <f>IF(G242=".","",Formulario!D$6)</f>
        <v/>
      </c>
      <c r="D242" s="144" t="str">
        <f>IF(H242=".","",Formulario!D$7)</f>
        <v/>
      </c>
      <c r="E242" s="144" t="str">
        <f>IF(G242=".","",Formulario!J$5)</f>
        <v/>
      </c>
      <c r="F242" s="145" t="str">
        <f>IF(G242=".","",Formulario!J$6)</f>
        <v/>
      </c>
      <c r="G242" s="180" t="str">
        <f>IF(Formulario!C250&lt;&gt;"",IF(Formulario!C250=" ","Falta Depto",IF(H242=".","Error En Descripción",Formulario!C250)),IF(H242=".",".","Falta Datos"))</f>
        <v>.</v>
      </c>
      <c r="H242" s="144" t="str">
        <f>IF(Formulario!D250&lt;&gt;"",IF(Formulario!D250=" ",".",Formulario!D250),".")</f>
        <v>.</v>
      </c>
      <c r="I242" s="144" t="str">
        <f>IF(Formulario!E250&lt;&gt;"",IF(Formulario!E250=" "," ",Formulario!E250),IF(G242=".",".","Falta Propietario"))</f>
        <v>.</v>
      </c>
      <c r="J242" s="144" t="str">
        <f>IF(Formulario!F250&lt;&gt;"",IF(Formulario!F250=" "," ",Formulario!F250)," ")</f>
        <v xml:space="preserve"> </v>
      </c>
      <c r="K242" s="144" t="str">
        <f>IF(Formulario!G250&lt;&gt;"",IF(Formulario!G250=" "," ",Formulario!G250)," ")</f>
        <v xml:space="preserve"> </v>
      </c>
      <c r="L242" s="144" t="str">
        <f>IF(Formulario!H250&lt;&gt;"",IF(Formulario!H250=" "," ",Formulario!H250)," ")</f>
        <v xml:space="preserve"> </v>
      </c>
      <c r="M242" s="144" t="str">
        <f>IF(Formulario!I250&lt;&gt;"",IF(Formulario!I250=" "," ",Formulario!I250)," ")</f>
        <v xml:space="preserve"> </v>
      </c>
      <c r="N242" s="145" t="str">
        <f>IF(Formulario!J250&lt;&gt;"",IF(Formulario!J250=" "," ",Formulario!J250),IF(G242=".",".","Falta Fecha"))</f>
        <v>.</v>
      </c>
      <c r="O242" s="155">
        <f>Formulario!L250</f>
        <v>0</v>
      </c>
      <c r="P242" s="146">
        <f>IF(O242=1,"09:00",Formulario!M250)</f>
        <v>0</v>
      </c>
      <c r="Q242" s="146">
        <f>IF(O242=1,"18:30",Formulario!N250)</f>
        <v>0</v>
      </c>
      <c r="R242" s="146" t="str">
        <f>IF(Formulario!O250&lt;&gt;"",IF(Formulario!O250=" ",".",Formulario!O250),".")</f>
        <v>Post Venta</v>
      </c>
      <c r="S242" s="141" t="s">
        <v>131</v>
      </c>
    </row>
    <row r="243" spans="1:19">
      <c r="A243" s="141">
        <f>Formulario!B251</f>
        <v>0</v>
      </c>
      <c r="B243" s="144" t="str">
        <f>IF(G243="."," ",Formulario!D$5)</f>
        <v xml:space="preserve"> </v>
      </c>
      <c r="C243" s="144" t="str">
        <f>IF(G243=".","",Formulario!D$6)</f>
        <v/>
      </c>
      <c r="D243" s="144" t="str">
        <f>IF(H243=".","",Formulario!D$7)</f>
        <v/>
      </c>
      <c r="E243" s="144" t="str">
        <f>IF(G243=".","",Formulario!J$5)</f>
        <v/>
      </c>
      <c r="F243" s="145" t="str">
        <f>IF(G243=".","",Formulario!J$6)</f>
        <v/>
      </c>
      <c r="G243" s="180" t="str">
        <f>IF(Formulario!C251&lt;&gt;"",IF(Formulario!C251=" ","Falta Depto",IF(H243=".","Error En Descripción",Formulario!C251)),IF(H243=".",".","Falta Datos"))</f>
        <v>.</v>
      </c>
      <c r="H243" s="144" t="str">
        <f>IF(Formulario!D251&lt;&gt;"",IF(Formulario!D251=" ",".",Formulario!D251),".")</f>
        <v>.</v>
      </c>
      <c r="I243" s="144" t="str">
        <f>IF(Formulario!E251&lt;&gt;"",IF(Formulario!E251=" "," ",Formulario!E251),IF(G243=".",".","Falta Propietario"))</f>
        <v>.</v>
      </c>
      <c r="J243" s="144" t="str">
        <f>IF(Formulario!F251&lt;&gt;"",IF(Formulario!F251=" "," ",Formulario!F251)," ")</f>
        <v xml:space="preserve"> </v>
      </c>
      <c r="K243" s="144" t="str">
        <f>IF(Formulario!G251&lt;&gt;"",IF(Formulario!G251=" "," ",Formulario!G251)," ")</f>
        <v xml:space="preserve"> </v>
      </c>
      <c r="L243" s="144" t="str">
        <f>IF(Formulario!H251&lt;&gt;"",IF(Formulario!H251=" "," ",Formulario!H251)," ")</f>
        <v xml:space="preserve"> </v>
      </c>
      <c r="M243" s="144" t="str">
        <f>IF(Formulario!I251&lt;&gt;"",IF(Formulario!I251=" "," ",Formulario!I251)," ")</f>
        <v xml:space="preserve"> </v>
      </c>
      <c r="N243" s="145" t="str">
        <f>IF(Formulario!J251&lt;&gt;"",IF(Formulario!J251=" "," ",Formulario!J251),IF(G243=".",".","Falta Fecha"))</f>
        <v>.</v>
      </c>
      <c r="O243" s="155">
        <f>Formulario!L251</f>
        <v>0</v>
      </c>
      <c r="P243" s="146">
        <f>IF(O243=1,"09:00",Formulario!M251)</f>
        <v>0</v>
      </c>
      <c r="Q243" s="146">
        <f>IF(O243=1,"18:30",Formulario!N251)</f>
        <v>0</v>
      </c>
      <c r="R243" s="146" t="str">
        <f>IF(Formulario!O251&lt;&gt;"",IF(Formulario!O251=" ",".",Formulario!O251),".")</f>
        <v>Post Venta</v>
      </c>
      <c r="S243" s="141" t="s">
        <v>131</v>
      </c>
    </row>
    <row r="244" spans="1:19">
      <c r="A244" s="141">
        <f>Formulario!B252</f>
        <v>0</v>
      </c>
      <c r="B244" s="144" t="str">
        <f>IF(G244="."," ",Formulario!D$5)</f>
        <v xml:space="preserve"> </v>
      </c>
      <c r="C244" s="144" t="str">
        <f>IF(G244=".","",Formulario!D$6)</f>
        <v/>
      </c>
      <c r="D244" s="144" t="str">
        <f>IF(H244=".","",Formulario!D$7)</f>
        <v/>
      </c>
      <c r="E244" s="144" t="str">
        <f>IF(G244=".","",Formulario!J$5)</f>
        <v/>
      </c>
      <c r="F244" s="145" t="str">
        <f>IF(G244=".","",Formulario!J$6)</f>
        <v/>
      </c>
      <c r="G244" s="180" t="str">
        <f>IF(Formulario!C252&lt;&gt;"",IF(Formulario!C252=" ","Falta Depto",IF(H244=".","Error En Descripción",Formulario!C252)),IF(H244=".",".","Falta Datos"))</f>
        <v>.</v>
      </c>
      <c r="H244" s="144" t="str">
        <f>IF(Formulario!D252&lt;&gt;"",IF(Formulario!D252=" ",".",Formulario!D252),".")</f>
        <v>.</v>
      </c>
      <c r="I244" s="144" t="str">
        <f>IF(Formulario!E252&lt;&gt;"",IF(Formulario!E252=" "," ",Formulario!E252),IF(G244=".",".","Falta Propietario"))</f>
        <v>.</v>
      </c>
      <c r="J244" s="144" t="str">
        <f>IF(Formulario!F252&lt;&gt;"",IF(Formulario!F252=" "," ",Formulario!F252)," ")</f>
        <v xml:space="preserve"> </v>
      </c>
      <c r="K244" s="144" t="str">
        <f>IF(Formulario!G252&lt;&gt;"",IF(Formulario!G252=" "," ",Formulario!G252)," ")</f>
        <v xml:space="preserve"> </v>
      </c>
      <c r="L244" s="144" t="str">
        <f>IF(Formulario!H252&lt;&gt;"",IF(Formulario!H252=" "," ",Formulario!H252)," ")</f>
        <v xml:space="preserve"> </v>
      </c>
      <c r="M244" s="144" t="str">
        <f>IF(Formulario!I252&lt;&gt;"",IF(Formulario!I252=" "," ",Formulario!I252)," ")</f>
        <v xml:space="preserve"> </v>
      </c>
      <c r="N244" s="145" t="str">
        <f>IF(Formulario!J252&lt;&gt;"",IF(Formulario!J252=" "," ",Formulario!J252),IF(G244=".",".","Falta Fecha"))</f>
        <v>.</v>
      </c>
      <c r="O244" s="155">
        <f>Formulario!L252</f>
        <v>0</v>
      </c>
      <c r="P244" s="146">
        <f>IF(O244=1,"09:00",Formulario!M252)</f>
        <v>0</v>
      </c>
      <c r="Q244" s="146">
        <f>IF(O244=1,"18:30",Formulario!N252)</f>
        <v>0</v>
      </c>
      <c r="R244" s="146" t="str">
        <f>IF(Formulario!O252&lt;&gt;"",IF(Formulario!O252=" ",".",Formulario!O252),".")</f>
        <v>Post Venta</v>
      </c>
      <c r="S244" s="141" t="s">
        <v>131</v>
      </c>
    </row>
    <row r="245" spans="1:19">
      <c r="A245" s="141">
        <f>Formulario!B253</f>
        <v>0</v>
      </c>
      <c r="B245" s="144" t="str">
        <f>IF(G245="."," ",Formulario!D$5)</f>
        <v xml:space="preserve"> </v>
      </c>
      <c r="C245" s="144" t="str">
        <f>IF(G245=".","",Formulario!D$6)</f>
        <v/>
      </c>
      <c r="D245" s="144" t="str">
        <f>IF(H245=".","",Formulario!D$7)</f>
        <v/>
      </c>
      <c r="E245" s="144" t="str">
        <f>IF(G245=".","",Formulario!J$5)</f>
        <v/>
      </c>
      <c r="F245" s="145" t="str">
        <f>IF(G245=".","",Formulario!J$6)</f>
        <v/>
      </c>
      <c r="G245" s="180" t="str">
        <f>IF(Formulario!C253&lt;&gt;"",IF(Formulario!C253=" ","Falta Depto",IF(H245=".","Error En Descripción",Formulario!C253)),IF(H245=".",".","Falta Datos"))</f>
        <v>.</v>
      </c>
      <c r="H245" s="144" t="str">
        <f>IF(Formulario!D253&lt;&gt;"",IF(Formulario!D253=" ",".",Formulario!D253),".")</f>
        <v>.</v>
      </c>
      <c r="I245" s="144" t="str">
        <f>IF(Formulario!E253&lt;&gt;"",IF(Formulario!E253=" "," ",Formulario!E253),IF(G245=".",".","Falta Propietario"))</f>
        <v>.</v>
      </c>
      <c r="J245" s="144" t="str">
        <f>IF(Formulario!F253&lt;&gt;"",IF(Formulario!F253=" "," ",Formulario!F253)," ")</f>
        <v xml:space="preserve"> </v>
      </c>
      <c r="K245" s="144" t="str">
        <f>IF(Formulario!G253&lt;&gt;"",IF(Formulario!G253=" "," ",Formulario!G253)," ")</f>
        <v xml:space="preserve"> </v>
      </c>
      <c r="L245" s="144" t="str">
        <f>IF(Formulario!H253&lt;&gt;"",IF(Formulario!H253=" "," ",Formulario!H253)," ")</f>
        <v xml:space="preserve"> </v>
      </c>
      <c r="M245" s="144" t="str">
        <f>IF(Formulario!I253&lt;&gt;"",IF(Formulario!I253=" "," ",Formulario!I253)," ")</f>
        <v xml:space="preserve"> </v>
      </c>
      <c r="N245" s="145" t="str">
        <f>IF(Formulario!J253&lt;&gt;"",IF(Formulario!J253=" "," ",Formulario!J253),IF(G245=".",".","Falta Fecha"))</f>
        <v>.</v>
      </c>
      <c r="O245" s="155">
        <f>Formulario!L253</f>
        <v>0</v>
      </c>
      <c r="P245" s="146">
        <f>IF(O245=1,"09:00",Formulario!M253)</f>
        <v>0</v>
      </c>
      <c r="Q245" s="146">
        <f>IF(O245=1,"18:30",Formulario!N253)</f>
        <v>0</v>
      </c>
      <c r="R245" s="146" t="str">
        <f>IF(Formulario!O253&lt;&gt;"",IF(Formulario!O253=" ",".",Formulario!O253),".")</f>
        <v>Post Venta</v>
      </c>
      <c r="S245" s="141" t="s">
        <v>131</v>
      </c>
    </row>
    <row r="246" spans="1:19">
      <c r="A246" s="141">
        <f>Formulario!B254</f>
        <v>0</v>
      </c>
      <c r="B246" s="144" t="str">
        <f>IF(G246="."," ",Formulario!D$5)</f>
        <v xml:space="preserve"> </v>
      </c>
      <c r="C246" s="144" t="str">
        <f>IF(G246=".","",Formulario!D$6)</f>
        <v/>
      </c>
      <c r="D246" s="144" t="str">
        <f>IF(H246=".","",Formulario!D$7)</f>
        <v/>
      </c>
      <c r="E246" s="144" t="str">
        <f>IF(G246=".","",Formulario!J$5)</f>
        <v/>
      </c>
      <c r="F246" s="145" t="str">
        <f>IF(G246=".","",Formulario!J$6)</f>
        <v/>
      </c>
      <c r="G246" s="180" t="str">
        <f>IF(Formulario!C254&lt;&gt;"",IF(Formulario!C254=" ","Falta Depto",IF(H246=".","Error En Descripción",Formulario!C254)),IF(H246=".",".","Falta Datos"))</f>
        <v>.</v>
      </c>
      <c r="H246" s="144" t="str">
        <f>IF(Formulario!D254&lt;&gt;"",IF(Formulario!D254=" ",".",Formulario!D254),".")</f>
        <v>.</v>
      </c>
      <c r="I246" s="144" t="str">
        <f>IF(Formulario!E254&lt;&gt;"",IF(Formulario!E254=" "," ",Formulario!E254),IF(G246=".",".","Falta Propietario"))</f>
        <v>.</v>
      </c>
      <c r="J246" s="144" t="str">
        <f>IF(Formulario!F254&lt;&gt;"",IF(Formulario!F254=" "," ",Formulario!F254)," ")</f>
        <v xml:space="preserve"> </v>
      </c>
      <c r="K246" s="144" t="str">
        <f>IF(Formulario!G254&lt;&gt;"",IF(Formulario!G254=" "," ",Formulario!G254)," ")</f>
        <v xml:space="preserve"> </v>
      </c>
      <c r="L246" s="144" t="str">
        <f>IF(Formulario!H254&lt;&gt;"",IF(Formulario!H254=" "," ",Formulario!H254)," ")</f>
        <v xml:space="preserve"> </v>
      </c>
      <c r="M246" s="144" t="str">
        <f>IF(Formulario!I254&lt;&gt;"",IF(Formulario!I254=" "," ",Formulario!I254)," ")</f>
        <v xml:space="preserve"> </v>
      </c>
      <c r="N246" s="145" t="str">
        <f>IF(Formulario!J254&lt;&gt;"",IF(Formulario!J254=" "," ",Formulario!J254),IF(G246=".",".","Falta Fecha"))</f>
        <v>.</v>
      </c>
      <c r="O246" s="155">
        <f>Formulario!L254</f>
        <v>0</v>
      </c>
      <c r="P246" s="146">
        <f>IF(O246=1,"09:00",Formulario!M254)</f>
        <v>0</v>
      </c>
      <c r="Q246" s="146">
        <f>IF(O246=1,"18:30",Formulario!N254)</f>
        <v>0</v>
      </c>
      <c r="R246" s="146" t="str">
        <f>IF(Formulario!O254&lt;&gt;"",IF(Formulario!O254=" ",".",Formulario!O254),".")</f>
        <v>Post Venta</v>
      </c>
      <c r="S246" s="141" t="s">
        <v>131</v>
      </c>
    </row>
    <row r="247" spans="1:19">
      <c r="A247" s="141">
        <f>Formulario!B255</f>
        <v>0</v>
      </c>
      <c r="B247" s="144" t="str">
        <f>IF(G247="."," ",Formulario!D$5)</f>
        <v xml:space="preserve"> </v>
      </c>
      <c r="C247" s="144" t="str">
        <f>IF(G247=".","",Formulario!D$6)</f>
        <v/>
      </c>
      <c r="D247" s="144" t="str">
        <f>IF(H247=".","",Formulario!D$7)</f>
        <v/>
      </c>
      <c r="E247" s="144" t="str">
        <f>IF(G247=".","",Formulario!J$5)</f>
        <v/>
      </c>
      <c r="F247" s="145" t="str">
        <f>IF(G247=".","",Formulario!J$6)</f>
        <v/>
      </c>
      <c r="G247" s="180" t="str">
        <f>IF(Formulario!C255&lt;&gt;"",IF(Formulario!C255=" ","Falta Depto",IF(H247=".","Error En Descripción",Formulario!C255)),IF(H247=".",".","Falta Datos"))</f>
        <v>.</v>
      </c>
      <c r="H247" s="144" t="str">
        <f>IF(Formulario!D255&lt;&gt;"",IF(Formulario!D255=" ",".",Formulario!D255),".")</f>
        <v>.</v>
      </c>
      <c r="I247" s="144" t="str">
        <f>IF(Formulario!E255&lt;&gt;"",IF(Formulario!E255=" "," ",Formulario!E255),IF(G247=".",".","Falta Propietario"))</f>
        <v>.</v>
      </c>
      <c r="J247" s="144" t="str">
        <f>IF(Formulario!F255&lt;&gt;"",IF(Formulario!F255=" "," ",Formulario!F255)," ")</f>
        <v xml:space="preserve"> </v>
      </c>
      <c r="K247" s="144" t="str">
        <f>IF(Formulario!G255&lt;&gt;"",IF(Formulario!G255=" "," ",Formulario!G255)," ")</f>
        <v xml:space="preserve"> </v>
      </c>
      <c r="L247" s="144" t="str">
        <f>IF(Formulario!H255&lt;&gt;"",IF(Formulario!H255=" "," ",Formulario!H255)," ")</f>
        <v xml:space="preserve"> </v>
      </c>
      <c r="M247" s="144" t="str">
        <f>IF(Formulario!I255&lt;&gt;"",IF(Formulario!I255=" "," ",Formulario!I255)," ")</f>
        <v xml:space="preserve"> </v>
      </c>
      <c r="N247" s="145" t="str">
        <f>IF(Formulario!J255&lt;&gt;"",IF(Formulario!J255=" "," ",Formulario!J255),IF(G247=".",".","Falta Fecha"))</f>
        <v>.</v>
      </c>
      <c r="O247" s="155">
        <f>Formulario!L255</f>
        <v>0</v>
      </c>
      <c r="P247" s="146">
        <f>IF(O247=1,"09:00",Formulario!M255)</f>
        <v>0</v>
      </c>
      <c r="Q247" s="146">
        <f>IF(O247=1,"18:30",Formulario!N255)</f>
        <v>0</v>
      </c>
      <c r="R247" s="146" t="str">
        <f>IF(Formulario!O255&lt;&gt;"",IF(Formulario!O255=" ",".",Formulario!O255),".")</f>
        <v>Post Venta</v>
      </c>
      <c r="S247" s="141" t="s">
        <v>131</v>
      </c>
    </row>
    <row r="248" spans="1:19">
      <c r="A248" s="141">
        <f>Formulario!B256</f>
        <v>0</v>
      </c>
      <c r="B248" s="144" t="str">
        <f>IF(G248="."," ",Formulario!D$5)</f>
        <v xml:space="preserve"> </v>
      </c>
      <c r="C248" s="144" t="str">
        <f>IF(G248=".","",Formulario!D$6)</f>
        <v/>
      </c>
      <c r="D248" s="144" t="str">
        <f>IF(H248=".","",Formulario!D$7)</f>
        <v/>
      </c>
      <c r="E248" s="144" t="str">
        <f>IF(G248=".","",Formulario!J$5)</f>
        <v/>
      </c>
      <c r="F248" s="145" t="str">
        <f>IF(G248=".","",Formulario!J$6)</f>
        <v/>
      </c>
      <c r="G248" s="180" t="str">
        <f>IF(Formulario!C256&lt;&gt;"",IF(Formulario!C256=" ","Falta Depto",IF(H248=".","Error En Descripción",Formulario!C256)),IF(H248=".",".","Falta Datos"))</f>
        <v>.</v>
      </c>
      <c r="H248" s="144" t="str">
        <f>IF(Formulario!D256&lt;&gt;"",IF(Formulario!D256=" ",".",Formulario!D256),".")</f>
        <v>.</v>
      </c>
      <c r="I248" s="144" t="str">
        <f>IF(Formulario!E256&lt;&gt;"",IF(Formulario!E256=" "," ",Formulario!E256),IF(G248=".",".","Falta Propietario"))</f>
        <v>.</v>
      </c>
      <c r="J248" s="144" t="str">
        <f>IF(Formulario!F256&lt;&gt;"",IF(Formulario!F256=" "," ",Formulario!F256)," ")</f>
        <v xml:space="preserve"> </v>
      </c>
      <c r="K248" s="144" t="str">
        <f>IF(Formulario!G256&lt;&gt;"",IF(Formulario!G256=" "," ",Formulario!G256)," ")</f>
        <v xml:space="preserve"> </v>
      </c>
      <c r="L248" s="144" t="str">
        <f>IF(Formulario!H256&lt;&gt;"",IF(Formulario!H256=" "," ",Formulario!H256)," ")</f>
        <v xml:space="preserve"> </v>
      </c>
      <c r="M248" s="144" t="str">
        <f>IF(Formulario!I256&lt;&gt;"",IF(Formulario!I256=" "," ",Formulario!I256)," ")</f>
        <v xml:space="preserve"> </v>
      </c>
      <c r="N248" s="145" t="str">
        <f>IF(Formulario!J256&lt;&gt;"",IF(Formulario!J256=" "," ",Formulario!J256),IF(G248=".",".","Falta Fecha"))</f>
        <v>.</v>
      </c>
      <c r="O248" s="155">
        <f>Formulario!L256</f>
        <v>0</v>
      </c>
      <c r="P248" s="146">
        <f>IF(O248=1,"09:00",Formulario!M256)</f>
        <v>0</v>
      </c>
      <c r="Q248" s="146">
        <f>IF(O248=1,"18:30",Formulario!N256)</f>
        <v>0</v>
      </c>
      <c r="R248" s="146" t="str">
        <f>IF(Formulario!O256&lt;&gt;"",IF(Formulario!O256=" ",".",Formulario!O256),".")</f>
        <v>Post Venta</v>
      </c>
      <c r="S248" s="141" t="s">
        <v>131</v>
      </c>
    </row>
    <row r="249" spans="1:19">
      <c r="A249" s="141">
        <f>Formulario!B257</f>
        <v>0</v>
      </c>
      <c r="B249" s="144" t="str">
        <f>IF(G249="."," ",Formulario!D$5)</f>
        <v xml:space="preserve"> </v>
      </c>
      <c r="C249" s="144" t="str">
        <f>IF(G249=".","",Formulario!D$6)</f>
        <v/>
      </c>
      <c r="D249" s="144" t="str">
        <f>IF(H249=".","",Formulario!D$7)</f>
        <v/>
      </c>
      <c r="E249" s="144" t="str">
        <f>IF(G249=".","",Formulario!J$5)</f>
        <v/>
      </c>
      <c r="F249" s="145" t="str">
        <f>IF(G249=".","",Formulario!J$6)</f>
        <v/>
      </c>
      <c r="G249" s="180" t="str">
        <f>IF(Formulario!C257&lt;&gt;"",IF(Formulario!C257=" ","Falta Depto",IF(H249=".","Error En Descripción",Formulario!C257)),IF(H249=".",".","Falta Datos"))</f>
        <v>.</v>
      </c>
      <c r="H249" s="144" t="str">
        <f>IF(Formulario!D257&lt;&gt;"",IF(Formulario!D257=" ",".",Formulario!D257),".")</f>
        <v>.</v>
      </c>
      <c r="I249" s="144" t="str">
        <f>IF(Formulario!E257&lt;&gt;"",IF(Formulario!E257=" "," ",Formulario!E257),IF(G249=".",".","Falta Propietario"))</f>
        <v>.</v>
      </c>
      <c r="J249" s="144" t="str">
        <f>IF(Formulario!F257&lt;&gt;"",IF(Formulario!F257=" "," ",Formulario!F257)," ")</f>
        <v xml:space="preserve"> </v>
      </c>
      <c r="K249" s="144" t="str">
        <f>IF(Formulario!G257&lt;&gt;"",IF(Formulario!G257=" "," ",Formulario!G257)," ")</f>
        <v xml:space="preserve"> </v>
      </c>
      <c r="L249" s="144" t="str">
        <f>IF(Formulario!H257&lt;&gt;"",IF(Formulario!H257=" "," ",Formulario!H257)," ")</f>
        <v xml:space="preserve"> </v>
      </c>
      <c r="M249" s="144" t="str">
        <f>IF(Formulario!I257&lt;&gt;"",IF(Formulario!I257=" "," ",Formulario!I257)," ")</f>
        <v xml:space="preserve"> </v>
      </c>
      <c r="N249" s="145" t="str">
        <f>IF(Formulario!J257&lt;&gt;"",IF(Formulario!J257=" "," ",Formulario!J257),IF(G249=".",".","Falta Fecha"))</f>
        <v>.</v>
      </c>
      <c r="O249" s="155">
        <f>Formulario!L257</f>
        <v>0</v>
      </c>
      <c r="P249" s="146">
        <f>IF(O249=1,"09:00",Formulario!M257)</f>
        <v>0</v>
      </c>
      <c r="Q249" s="146">
        <f>IF(O249=1,"18:30",Formulario!N257)</f>
        <v>0</v>
      </c>
      <c r="R249" s="146" t="str">
        <f>IF(Formulario!O257&lt;&gt;"",IF(Formulario!O257=" ",".",Formulario!O257),".")</f>
        <v>Post Venta</v>
      </c>
      <c r="S249" s="141" t="s">
        <v>131</v>
      </c>
    </row>
    <row r="250" spans="1:19">
      <c r="A250" s="141">
        <f>Formulario!B258</f>
        <v>0</v>
      </c>
      <c r="B250" s="144" t="str">
        <f>IF(G250="."," ",Formulario!D$5)</f>
        <v xml:space="preserve"> </v>
      </c>
      <c r="C250" s="144" t="str">
        <f>IF(G250=".","",Formulario!D$6)</f>
        <v/>
      </c>
      <c r="D250" s="144" t="str">
        <f>IF(H250=".","",Formulario!D$7)</f>
        <v/>
      </c>
      <c r="E250" s="144" t="str">
        <f>IF(G250=".","",Formulario!J$5)</f>
        <v/>
      </c>
      <c r="F250" s="145" t="str">
        <f>IF(G250=".","",Formulario!J$6)</f>
        <v/>
      </c>
      <c r="G250" s="180" t="str">
        <f>IF(Formulario!C258&lt;&gt;"",IF(Formulario!C258=" ","Falta Depto",IF(H250=".","Error En Descripción",Formulario!C258)),IF(H250=".",".","Falta Datos"))</f>
        <v>.</v>
      </c>
      <c r="H250" s="144" t="str">
        <f>IF(Formulario!D258&lt;&gt;"",IF(Formulario!D258=" ",".",Formulario!D258),".")</f>
        <v>.</v>
      </c>
      <c r="I250" s="144" t="str">
        <f>IF(Formulario!E258&lt;&gt;"",IF(Formulario!E258=" "," ",Formulario!E258),IF(G250=".",".","Falta Propietario"))</f>
        <v>.</v>
      </c>
      <c r="J250" s="144" t="str">
        <f>IF(Formulario!F258&lt;&gt;"",IF(Formulario!F258=" "," ",Formulario!F258)," ")</f>
        <v xml:space="preserve"> </v>
      </c>
      <c r="K250" s="144" t="str">
        <f>IF(Formulario!G258&lt;&gt;"",IF(Formulario!G258=" "," ",Formulario!G258)," ")</f>
        <v xml:space="preserve"> </v>
      </c>
      <c r="L250" s="144" t="str">
        <f>IF(Formulario!H258&lt;&gt;"",IF(Formulario!H258=" "," ",Formulario!H258)," ")</f>
        <v xml:space="preserve"> </v>
      </c>
      <c r="M250" s="144" t="str">
        <f>IF(Formulario!I258&lt;&gt;"",IF(Formulario!I258=" "," ",Formulario!I258)," ")</f>
        <v xml:space="preserve"> </v>
      </c>
      <c r="N250" s="145" t="str">
        <f>IF(Formulario!J258&lt;&gt;"",IF(Formulario!J258=" "," ",Formulario!J258),IF(G250=".",".","Falta Fecha"))</f>
        <v>.</v>
      </c>
      <c r="O250" s="155">
        <f>Formulario!L258</f>
        <v>0</v>
      </c>
      <c r="P250" s="146">
        <f>IF(O250=1,"09:00",Formulario!M258)</f>
        <v>0</v>
      </c>
      <c r="Q250" s="146">
        <f>IF(O250=1,"18:30",Formulario!N258)</f>
        <v>0</v>
      </c>
      <c r="R250" s="146" t="str">
        <f>IF(Formulario!O258&lt;&gt;"",IF(Formulario!O258=" ",".",Formulario!O258),".")</f>
        <v>Post Venta</v>
      </c>
      <c r="S250" s="141" t="s">
        <v>131</v>
      </c>
    </row>
    <row r="251" spans="1:19">
      <c r="A251" s="141">
        <f>Formulario!B259</f>
        <v>0</v>
      </c>
      <c r="B251" s="144" t="str">
        <f>IF(G251="."," ",Formulario!D$5)</f>
        <v xml:space="preserve"> </v>
      </c>
      <c r="C251" s="144" t="str">
        <f>IF(G251=".","",Formulario!D$6)</f>
        <v/>
      </c>
      <c r="D251" s="144" t="str">
        <f>IF(H251=".","",Formulario!D$7)</f>
        <v/>
      </c>
      <c r="E251" s="144" t="str">
        <f>IF(G251=".","",Formulario!J$5)</f>
        <v/>
      </c>
      <c r="F251" s="145" t="str">
        <f>IF(G251=".","",Formulario!J$6)</f>
        <v/>
      </c>
      <c r="G251" s="180" t="str">
        <f>IF(Formulario!C259&lt;&gt;"",IF(Formulario!C259=" ","Falta Depto",IF(H251=".","Error En Descripción",Formulario!C259)),IF(H251=".",".","Falta Datos"))</f>
        <v>.</v>
      </c>
      <c r="H251" s="144" t="str">
        <f>IF(Formulario!D259&lt;&gt;"",IF(Formulario!D259=" ",".",Formulario!D259),".")</f>
        <v>.</v>
      </c>
      <c r="I251" s="144" t="str">
        <f>IF(Formulario!E259&lt;&gt;"",IF(Formulario!E259=" "," ",Formulario!E259),IF(G251=".",".","Falta Propietario"))</f>
        <v>.</v>
      </c>
      <c r="J251" s="144" t="str">
        <f>IF(Formulario!F259&lt;&gt;"",IF(Formulario!F259=" "," ",Formulario!F259)," ")</f>
        <v xml:space="preserve"> </v>
      </c>
      <c r="K251" s="144" t="str">
        <f>IF(Formulario!G259&lt;&gt;"",IF(Formulario!G259=" "," ",Formulario!G259)," ")</f>
        <v xml:space="preserve"> </v>
      </c>
      <c r="L251" s="144" t="str">
        <f>IF(Formulario!H259&lt;&gt;"",IF(Formulario!H259=" "," ",Formulario!H259)," ")</f>
        <v xml:space="preserve"> </v>
      </c>
      <c r="M251" s="144" t="str">
        <f>IF(Formulario!I259&lt;&gt;"",IF(Formulario!I259=" "," ",Formulario!I259)," ")</f>
        <v xml:space="preserve"> </v>
      </c>
      <c r="N251" s="145" t="str">
        <f>IF(Formulario!J259&lt;&gt;"",IF(Formulario!J259=" "," ",Formulario!J259),IF(G251=".",".","Falta Fecha"))</f>
        <v>.</v>
      </c>
      <c r="O251" s="155">
        <f>Formulario!L259</f>
        <v>0</v>
      </c>
      <c r="P251" s="146">
        <f>IF(O251=1,"09:00",Formulario!M259)</f>
        <v>0</v>
      </c>
      <c r="Q251" s="146">
        <f>IF(O251=1,"18:30",Formulario!N259)</f>
        <v>0</v>
      </c>
      <c r="R251" s="146" t="str">
        <f>IF(Formulario!O259&lt;&gt;"",IF(Formulario!O259=" ",".",Formulario!O259),".")</f>
        <v>Post Venta</v>
      </c>
      <c r="S251" s="141" t="s">
        <v>131</v>
      </c>
    </row>
    <row r="252" spans="1:19">
      <c r="A252" s="141">
        <f>Formulario!B260</f>
        <v>0</v>
      </c>
      <c r="B252" s="144" t="str">
        <f>IF(G252="."," ",Formulario!D$5)</f>
        <v xml:space="preserve"> </v>
      </c>
      <c r="C252" s="144" t="str">
        <f>IF(G252=".","",Formulario!D$6)</f>
        <v/>
      </c>
      <c r="D252" s="144" t="str">
        <f>IF(H252=".","",Formulario!D$7)</f>
        <v/>
      </c>
      <c r="E252" s="144" t="str">
        <f>IF(G252=".","",Formulario!J$5)</f>
        <v/>
      </c>
      <c r="F252" s="145" t="str">
        <f>IF(G252=".","",Formulario!J$6)</f>
        <v/>
      </c>
      <c r="G252" s="180" t="str">
        <f>IF(Formulario!C260&lt;&gt;"",IF(Formulario!C260=" ","Falta Depto",IF(H252=".","Error En Descripción",Formulario!C260)),IF(H252=".",".","Falta Datos"))</f>
        <v>.</v>
      </c>
      <c r="H252" s="144" t="str">
        <f>IF(Formulario!D260&lt;&gt;"",IF(Formulario!D260=" ",".",Formulario!D260),".")</f>
        <v>.</v>
      </c>
      <c r="I252" s="144" t="str">
        <f>IF(Formulario!E260&lt;&gt;"",IF(Formulario!E260=" "," ",Formulario!E260),IF(G252=".",".","Falta Propietario"))</f>
        <v>.</v>
      </c>
      <c r="J252" s="144" t="str">
        <f>IF(Formulario!F260&lt;&gt;"",IF(Formulario!F260=" "," ",Formulario!F260)," ")</f>
        <v xml:space="preserve"> </v>
      </c>
      <c r="K252" s="144" t="str">
        <f>IF(Formulario!G260&lt;&gt;"",IF(Formulario!G260=" "," ",Formulario!G260)," ")</f>
        <v xml:space="preserve"> </v>
      </c>
      <c r="L252" s="144" t="str">
        <f>IF(Formulario!H260&lt;&gt;"",IF(Formulario!H260=" "," ",Formulario!H260)," ")</f>
        <v xml:space="preserve"> </v>
      </c>
      <c r="M252" s="144" t="str">
        <f>IF(Formulario!I260&lt;&gt;"",IF(Formulario!I260=" "," ",Formulario!I260)," ")</f>
        <v xml:space="preserve"> </v>
      </c>
      <c r="N252" s="145" t="str">
        <f>IF(Formulario!J260&lt;&gt;"",IF(Formulario!J260=" "," ",Formulario!J260),IF(G252=".",".","Falta Fecha"))</f>
        <v>.</v>
      </c>
      <c r="O252" s="155">
        <f>Formulario!L260</f>
        <v>0</v>
      </c>
      <c r="P252" s="146">
        <f>IF(O252=1,"09:00",Formulario!M260)</f>
        <v>0</v>
      </c>
      <c r="Q252" s="146">
        <f>IF(O252=1,"18:30",Formulario!N260)</f>
        <v>0</v>
      </c>
      <c r="R252" s="146" t="str">
        <f>IF(Formulario!O260&lt;&gt;"",IF(Formulario!O260=" ",".",Formulario!O260),".")</f>
        <v>Post Venta</v>
      </c>
      <c r="S252" s="141" t="s">
        <v>131</v>
      </c>
    </row>
    <row r="253" spans="1:19">
      <c r="A253" s="141">
        <f>Formulario!B261</f>
        <v>0</v>
      </c>
      <c r="B253" s="144" t="str">
        <f>IF(G253="."," ",Formulario!D$5)</f>
        <v xml:space="preserve"> </v>
      </c>
      <c r="C253" s="144" t="str">
        <f>IF(G253=".","",Formulario!D$6)</f>
        <v/>
      </c>
      <c r="D253" s="144" t="str">
        <f>IF(H253=".","",Formulario!D$7)</f>
        <v/>
      </c>
      <c r="E253" s="144" t="str">
        <f>IF(G253=".","",Formulario!J$5)</f>
        <v/>
      </c>
      <c r="F253" s="145" t="str">
        <f>IF(G253=".","",Formulario!J$6)</f>
        <v/>
      </c>
      <c r="G253" s="180" t="str">
        <f>IF(Formulario!C261&lt;&gt;"",IF(Formulario!C261=" ","Falta Depto",IF(H253=".","Error En Descripción",Formulario!C261)),IF(H253=".",".","Falta Datos"))</f>
        <v>.</v>
      </c>
      <c r="H253" s="144" t="str">
        <f>IF(Formulario!D261&lt;&gt;"",IF(Formulario!D261=" ",".",Formulario!D261),".")</f>
        <v>.</v>
      </c>
      <c r="I253" s="144" t="str">
        <f>IF(Formulario!E261&lt;&gt;"",IF(Formulario!E261=" "," ",Formulario!E261),IF(G253=".",".","Falta Propietario"))</f>
        <v>.</v>
      </c>
      <c r="J253" s="144" t="str">
        <f>IF(Formulario!F261&lt;&gt;"",IF(Formulario!F261=" "," ",Formulario!F261)," ")</f>
        <v xml:space="preserve"> </v>
      </c>
      <c r="K253" s="144" t="str">
        <f>IF(Formulario!G261&lt;&gt;"",IF(Formulario!G261=" "," ",Formulario!G261)," ")</f>
        <v xml:space="preserve"> </v>
      </c>
      <c r="L253" s="144" t="str">
        <f>IF(Formulario!H261&lt;&gt;"",IF(Formulario!H261=" "," ",Formulario!H261)," ")</f>
        <v xml:space="preserve"> </v>
      </c>
      <c r="M253" s="144" t="str">
        <f>IF(Formulario!I261&lt;&gt;"",IF(Formulario!I261=" "," ",Formulario!I261)," ")</f>
        <v xml:space="preserve"> </v>
      </c>
      <c r="N253" s="145" t="str">
        <f>IF(Formulario!J261&lt;&gt;"",IF(Formulario!J261=" "," ",Formulario!J261),IF(G253=".",".","Falta Fecha"))</f>
        <v>.</v>
      </c>
      <c r="O253" s="155">
        <f>Formulario!L261</f>
        <v>0</v>
      </c>
      <c r="P253" s="146">
        <f>IF(O253=1,"09:00",Formulario!M261)</f>
        <v>0</v>
      </c>
      <c r="Q253" s="146">
        <f>IF(O253=1,"18:30",Formulario!N261)</f>
        <v>0</v>
      </c>
      <c r="R253" s="146" t="str">
        <f>IF(Formulario!O261&lt;&gt;"",IF(Formulario!O261=" ",".",Formulario!O261),".")</f>
        <v>Post Venta</v>
      </c>
      <c r="S253" s="141" t="s">
        <v>131</v>
      </c>
    </row>
    <row r="254" spans="1:19">
      <c r="A254" s="141">
        <f>Formulario!B262</f>
        <v>0</v>
      </c>
      <c r="B254" s="144" t="str">
        <f>IF(G254="."," ",Formulario!D$5)</f>
        <v xml:space="preserve"> </v>
      </c>
      <c r="C254" s="144" t="str">
        <f>IF(G254=".","",Formulario!D$6)</f>
        <v/>
      </c>
      <c r="D254" s="144" t="str">
        <f>IF(H254=".","",Formulario!D$7)</f>
        <v/>
      </c>
      <c r="E254" s="144" t="str">
        <f>IF(G254=".","",Formulario!J$5)</f>
        <v/>
      </c>
      <c r="F254" s="145" t="str">
        <f>IF(G254=".","",Formulario!J$6)</f>
        <v/>
      </c>
      <c r="G254" s="180" t="str">
        <f>IF(Formulario!C262&lt;&gt;"",IF(Formulario!C262=" ","Falta Depto",IF(H254=".","Error En Descripción",Formulario!C262)),IF(H254=".",".","Falta Datos"))</f>
        <v>.</v>
      </c>
      <c r="H254" s="144" t="str">
        <f>IF(Formulario!D262&lt;&gt;"",IF(Formulario!D262=" ",".",Formulario!D262),".")</f>
        <v>.</v>
      </c>
      <c r="I254" s="144" t="str">
        <f>IF(Formulario!E262&lt;&gt;"",IF(Formulario!E262=" "," ",Formulario!E262),IF(G254=".",".","Falta Propietario"))</f>
        <v>.</v>
      </c>
      <c r="J254" s="144" t="str">
        <f>IF(Formulario!F262&lt;&gt;"",IF(Formulario!F262=" "," ",Formulario!F262)," ")</f>
        <v xml:space="preserve"> </v>
      </c>
      <c r="K254" s="144" t="str">
        <f>IF(Formulario!G262&lt;&gt;"",IF(Formulario!G262=" "," ",Formulario!G262)," ")</f>
        <v xml:space="preserve"> </v>
      </c>
      <c r="L254" s="144" t="str">
        <f>IF(Formulario!H262&lt;&gt;"",IF(Formulario!H262=" "," ",Formulario!H262)," ")</f>
        <v xml:space="preserve"> </v>
      </c>
      <c r="M254" s="144" t="str">
        <f>IF(Formulario!I262&lt;&gt;"",IF(Formulario!I262=" "," ",Formulario!I262)," ")</f>
        <v xml:space="preserve"> </v>
      </c>
      <c r="N254" s="145" t="str">
        <f>IF(Formulario!J262&lt;&gt;"",IF(Formulario!J262=" "," ",Formulario!J262),IF(G254=".",".","Falta Fecha"))</f>
        <v>.</v>
      </c>
      <c r="O254" s="155">
        <f>Formulario!L262</f>
        <v>0</v>
      </c>
      <c r="P254" s="146">
        <f>IF(O254=1,"09:00",Formulario!M262)</f>
        <v>0</v>
      </c>
      <c r="Q254" s="146">
        <f>IF(O254=1,"18:30",Formulario!N262)</f>
        <v>0</v>
      </c>
      <c r="R254" s="146" t="str">
        <f>IF(Formulario!O262&lt;&gt;"",IF(Formulario!O262=" ",".",Formulario!O262),".")</f>
        <v>Post Venta</v>
      </c>
      <c r="S254" s="141" t="s">
        <v>131</v>
      </c>
    </row>
    <row r="255" spans="1:19">
      <c r="A255" s="141">
        <f>Formulario!B263</f>
        <v>0</v>
      </c>
      <c r="B255" s="144" t="str">
        <f>IF(G255="."," ",Formulario!D$5)</f>
        <v xml:space="preserve"> </v>
      </c>
      <c r="C255" s="144" t="str">
        <f>IF(G255=".","",Formulario!D$6)</f>
        <v/>
      </c>
      <c r="D255" s="144" t="str">
        <f>IF(H255=".","",Formulario!D$7)</f>
        <v/>
      </c>
      <c r="E255" s="144" t="str">
        <f>IF(G255=".","",Formulario!J$5)</f>
        <v/>
      </c>
      <c r="F255" s="145" t="str">
        <f>IF(G255=".","",Formulario!J$6)</f>
        <v/>
      </c>
      <c r="G255" s="180" t="str">
        <f>IF(Formulario!C263&lt;&gt;"",IF(Formulario!C263=" ","Falta Depto",IF(H255=".","Error En Descripción",Formulario!C263)),IF(H255=".",".","Falta Datos"))</f>
        <v>.</v>
      </c>
      <c r="H255" s="144" t="str">
        <f>IF(Formulario!D263&lt;&gt;"",IF(Formulario!D263=" ",".",Formulario!D263),".")</f>
        <v>.</v>
      </c>
      <c r="I255" s="144" t="str">
        <f>IF(Formulario!E263&lt;&gt;"",IF(Formulario!E263=" "," ",Formulario!E263),IF(G255=".",".","Falta Propietario"))</f>
        <v>.</v>
      </c>
      <c r="J255" s="144" t="str">
        <f>IF(Formulario!F263&lt;&gt;"",IF(Formulario!F263=" "," ",Formulario!F263)," ")</f>
        <v xml:space="preserve"> </v>
      </c>
      <c r="K255" s="144" t="str">
        <f>IF(Formulario!G263&lt;&gt;"",IF(Formulario!G263=" "," ",Formulario!G263)," ")</f>
        <v xml:space="preserve"> </v>
      </c>
      <c r="L255" s="144" t="str">
        <f>IF(Formulario!H263&lt;&gt;"",IF(Formulario!H263=" "," ",Formulario!H263)," ")</f>
        <v xml:space="preserve"> </v>
      </c>
      <c r="M255" s="144" t="str">
        <f>IF(Formulario!I263&lt;&gt;"",IF(Formulario!I263=" "," ",Formulario!I263)," ")</f>
        <v xml:space="preserve"> </v>
      </c>
      <c r="N255" s="145" t="str">
        <f>IF(Formulario!J263&lt;&gt;"",IF(Formulario!J263=" "," ",Formulario!J263),IF(G255=".",".","Falta Fecha"))</f>
        <v>.</v>
      </c>
      <c r="O255" s="155">
        <f>Formulario!L263</f>
        <v>0</v>
      </c>
      <c r="P255" s="146">
        <f>IF(O255=1,"09:00",Formulario!M263)</f>
        <v>0</v>
      </c>
      <c r="Q255" s="146">
        <f>IF(O255=1,"18:30",Formulario!N263)</f>
        <v>0</v>
      </c>
      <c r="R255" s="146" t="str">
        <f>IF(Formulario!O263&lt;&gt;"",IF(Formulario!O263=" ",".",Formulario!O263),".")</f>
        <v>Post Venta</v>
      </c>
      <c r="S255" s="141" t="s">
        <v>131</v>
      </c>
    </row>
    <row r="256" spans="1:19">
      <c r="A256" s="141">
        <f>Formulario!B264</f>
        <v>0</v>
      </c>
      <c r="B256" s="144" t="str">
        <f>IF(G256="."," ",Formulario!D$5)</f>
        <v xml:space="preserve"> </v>
      </c>
      <c r="C256" s="144" t="str">
        <f>IF(G256=".","",Formulario!D$6)</f>
        <v/>
      </c>
      <c r="D256" s="144" t="str">
        <f>IF(H256=".","",Formulario!D$7)</f>
        <v/>
      </c>
      <c r="E256" s="144" t="str">
        <f>IF(G256=".","",Formulario!J$5)</f>
        <v/>
      </c>
      <c r="F256" s="145" t="str">
        <f>IF(G256=".","",Formulario!J$6)</f>
        <v/>
      </c>
      <c r="G256" s="180" t="str">
        <f>IF(Formulario!C264&lt;&gt;"",IF(Formulario!C264=" ","Falta Depto",IF(H256=".","Error En Descripción",Formulario!C264)),IF(H256=".",".","Falta Datos"))</f>
        <v>.</v>
      </c>
      <c r="H256" s="144" t="str">
        <f>IF(Formulario!D264&lt;&gt;"",IF(Formulario!D264=" ",".",Formulario!D264),".")</f>
        <v>.</v>
      </c>
      <c r="I256" s="144" t="str">
        <f>IF(Formulario!E264&lt;&gt;"",IF(Formulario!E264=" "," ",Formulario!E264),IF(G256=".",".","Falta Propietario"))</f>
        <v>.</v>
      </c>
      <c r="J256" s="144" t="str">
        <f>IF(Formulario!F264&lt;&gt;"",IF(Formulario!F264=" "," ",Formulario!F264)," ")</f>
        <v xml:space="preserve"> </v>
      </c>
      <c r="K256" s="144" t="str">
        <f>IF(Formulario!G264&lt;&gt;"",IF(Formulario!G264=" "," ",Formulario!G264)," ")</f>
        <v xml:space="preserve"> </v>
      </c>
      <c r="L256" s="144" t="str">
        <f>IF(Formulario!H264&lt;&gt;"",IF(Formulario!H264=" "," ",Formulario!H264)," ")</f>
        <v xml:space="preserve"> </v>
      </c>
      <c r="M256" s="144" t="str">
        <f>IF(Formulario!I264&lt;&gt;"",IF(Formulario!I264=" "," ",Formulario!I264)," ")</f>
        <v xml:space="preserve"> </v>
      </c>
      <c r="N256" s="145" t="str">
        <f>IF(Formulario!J264&lt;&gt;"",IF(Formulario!J264=" "," ",Formulario!J264),IF(G256=".",".","Falta Fecha"))</f>
        <v>.</v>
      </c>
      <c r="O256" s="155">
        <f>Formulario!L264</f>
        <v>0</v>
      </c>
      <c r="P256" s="146">
        <f>IF(O256=1,"09:00",Formulario!M264)</f>
        <v>0</v>
      </c>
      <c r="Q256" s="146">
        <f>IF(O256=1,"18:30",Formulario!N264)</f>
        <v>0</v>
      </c>
      <c r="R256" s="146" t="str">
        <f>IF(Formulario!O264&lt;&gt;"",IF(Formulario!O264=" ",".",Formulario!O264),".")</f>
        <v>Post Venta</v>
      </c>
      <c r="S256" s="141" t="s">
        <v>131</v>
      </c>
    </row>
    <row r="257" spans="1:19">
      <c r="A257" s="141">
        <f>Formulario!B265</f>
        <v>0</v>
      </c>
      <c r="B257" s="144" t="str">
        <f>IF(G257="."," ",Formulario!D$5)</f>
        <v xml:space="preserve"> </v>
      </c>
      <c r="C257" s="144" t="str">
        <f>IF(G257=".","",Formulario!D$6)</f>
        <v/>
      </c>
      <c r="D257" s="144" t="str">
        <f>IF(H257=".","",Formulario!D$7)</f>
        <v/>
      </c>
      <c r="E257" s="144" t="str">
        <f>IF(G257=".","",Formulario!J$5)</f>
        <v/>
      </c>
      <c r="F257" s="145" t="str">
        <f>IF(G257=".","",Formulario!J$6)</f>
        <v/>
      </c>
      <c r="G257" s="180" t="str">
        <f>IF(Formulario!C265&lt;&gt;"",IF(Formulario!C265=" ","Falta Depto",IF(H257=".","Error En Descripción",Formulario!C265)),IF(H257=".",".","Falta Datos"))</f>
        <v>.</v>
      </c>
      <c r="H257" s="144" t="str">
        <f>IF(Formulario!D265&lt;&gt;"",IF(Formulario!D265=" ",".",Formulario!D265),".")</f>
        <v>.</v>
      </c>
      <c r="I257" s="144" t="str">
        <f>IF(Formulario!E265&lt;&gt;"",IF(Formulario!E265=" "," ",Formulario!E265),IF(G257=".",".","Falta Propietario"))</f>
        <v>.</v>
      </c>
      <c r="J257" s="144" t="str">
        <f>IF(Formulario!F265&lt;&gt;"",IF(Formulario!F265=" "," ",Formulario!F265)," ")</f>
        <v xml:space="preserve"> </v>
      </c>
      <c r="K257" s="144" t="str">
        <f>IF(Formulario!G265&lt;&gt;"",IF(Formulario!G265=" "," ",Formulario!G265)," ")</f>
        <v xml:space="preserve"> </v>
      </c>
      <c r="L257" s="144" t="str">
        <f>IF(Formulario!H265&lt;&gt;"",IF(Formulario!H265=" "," ",Formulario!H265)," ")</f>
        <v xml:space="preserve"> </v>
      </c>
      <c r="M257" s="144" t="str">
        <f>IF(Formulario!I265&lt;&gt;"",IF(Formulario!I265=" "," ",Formulario!I265)," ")</f>
        <v xml:space="preserve"> </v>
      </c>
      <c r="N257" s="145" t="str">
        <f>IF(Formulario!J265&lt;&gt;"",IF(Formulario!J265=" "," ",Formulario!J265),IF(G257=".",".","Falta Fecha"))</f>
        <v>.</v>
      </c>
      <c r="O257" s="155">
        <f>Formulario!L265</f>
        <v>0</v>
      </c>
      <c r="P257" s="146">
        <f>IF(O257=1,"09:00",Formulario!M265)</f>
        <v>0</v>
      </c>
      <c r="Q257" s="146">
        <f>IF(O257=1,"18:30",Formulario!N265)</f>
        <v>0</v>
      </c>
      <c r="R257" s="146" t="str">
        <f>IF(Formulario!O265&lt;&gt;"",IF(Formulario!O265=" ",".",Formulario!O265),".")</f>
        <v>Post Venta</v>
      </c>
      <c r="S257" s="141" t="s">
        <v>131</v>
      </c>
    </row>
    <row r="258" spans="1:19">
      <c r="A258" s="141">
        <f>Formulario!B266</f>
        <v>0</v>
      </c>
      <c r="B258" s="144" t="str">
        <f>IF(G258="."," ",Formulario!D$5)</f>
        <v xml:space="preserve"> </v>
      </c>
      <c r="C258" s="144" t="str">
        <f>IF(G258=".","",Formulario!D$6)</f>
        <v/>
      </c>
      <c r="D258" s="144" t="str">
        <f>IF(H258=".","",Formulario!D$7)</f>
        <v/>
      </c>
      <c r="E258" s="144" t="str">
        <f>IF(G258=".","",Formulario!J$5)</f>
        <v/>
      </c>
      <c r="F258" s="145" t="str">
        <f>IF(G258=".","",Formulario!J$6)</f>
        <v/>
      </c>
      <c r="G258" s="180" t="str">
        <f>IF(Formulario!C266&lt;&gt;"",IF(Formulario!C266=" ","Falta Depto",IF(H258=".","Error En Descripción",Formulario!C266)),IF(H258=".",".","Falta Datos"))</f>
        <v>.</v>
      </c>
      <c r="H258" s="144" t="str">
        <f>IF(Formulario!D266&lt;&gt;"",IF(Formulario!D266=" ",".",Formulario!D266),".")</f>
        <v>.</v>
      </c>
      <c r="I258" s="144" t="str">
        <f>IF(Formulario!E266&lt;&gt;"",IF(Formulario!E266=" "," ",Formulario!E266),IF(G258=".",".","Falta Propietario"))</f>
        <v>.</v>
      </c>
      <c r="J258" s="144" t="str">
        <f>IF(Formulario!F266&lt;&gt;"",IF(Formulario!F266=" "," ",Formulario!F266)," ")</f>
        <v xml:space="preserve"> </v>
      </c>
      <c r="K258" s="144" t="str">
        <f>IF(Formulario!G266&lt;&gt;"",IF(Formulario!G266=" "," ",Formulario!G266)," ")</f>
        <v xml:space="preserve"> </v>
      </c>
      <c r="L258" s="144" t="str">
        <f>IF(Formulario!H266&lt;&gt;"",IF(Formulario!H266=" "," ",Formulario!H266)," ")</f>
        <v xml:space="preserve"> </v>
      </c>
      <c r="M258" s="144" t="str">
        <f>IF(Formulario!I266&lt;&gt;"",IF(Formulario!I266=" "," ",Formulario!I266)," ")</f>
        <v xml:space="preserve"> </v>
      </c>
      <c r="N258" s="145" t="str">
        <f>IF(Formulario!J266&lt;&gt;"",IF(Formulario!J266=" "," ",Formulario!J266),IF(G258=".",".","Falta Fecha"))</f>
        <v>.</v>
      </c>
      <c r="O258" s="155">
        <f>Formulario!L266</f>
        <v>0</v>
      </c>
      <c r="P258" s="146">
        <f>IF(O258=1,"09:00",Formulario!M266)</f>
        <v>0</v>
      </c>
      <c r="Q258" s="146">
        <f>IF(O258=1,"18:30",Formulario!N266)</f>
        <v>0</v>
      </c>
      <c r="R258" s="146" t="str">
        <f>IF(Formulario!O266&lt;&gt;"",IF(Formulario!O266=" ",".",Formulario!O266),".")</f>
        <v>Post Venta</v>
      </c>
      <c r="S258" s="141" t="s">
        <v>131</v>
      </c>
    </row>
    <row r="259" spans="1:19">
      <c r="A259" s="141">
        <f>Formulario!B267</f>
        <v>0</v>
      </c>
      <c r="B259" s="144" t="str">
        <f>IF(G259="."," ",Formulario!D$5)</f>
        <v xml:space="preserve"> </v>
      </c>
      <c r="C259" s="144" t="str">
        <f>IF(G259=".","",Formulario!D$6)</f>
        <v/>
      </c>
      <c r="D259" s="144" t="str">
        <f>IF(H259=".","",Formulario!D$7)</f>
        <v/>
      </c>
      <c r="E259" s="144" t="str">
        <f>IF(G259=".","",Formulario!J$5)</f>
        <v/>
      </c>
      <c r="F259" s="145" t="str">
        <f>IF(G259=".","",Formulario!J$6)</f>
        <v/>
      </c>
      <c r="G259" s="180" t="str">
        <f>IF(Formulario!C267&lt;&gt;"",IF(Formulario!C267=" ","Falta Depto",IF(H259=".","Error En Descripción",Formulario!C267)),IF(H259=".",".","Falta Datos"))</f>
        <v>.</v>
      </c>
      <c r="H259" s="144" t="str">
        <f>IF(Formulario!D267&lt;&gt;"",IF(Formulario!D267=" ",".",Formulario!D267),".")</f>
        <v>.</v>
      </c>
      <c r="I259" s="144" t="str">
        <f>IF(Formulario!E267&lt;&gt;"",IF(Formulario!E267=" "," ",Formulario!E267),IF(G259=".",".","Falta Propietario"))</f>
        <v>.</v>
      </c>
      <c r="J259" s="144" t="str">
        <f>IF(Formulario!F267&lt;&gt;"",IF(Formulario!F267=" "," ",Formulario!F267)," ")</f>
        <v xml:space="preserve"> </v>
      </c>
      <c r="K259" s="144" t="str">
        <f>IF(Formulario!G267&lt;&gt;"",IF(Formulario!G267=" "," ",Formulario!G267)," ")</f>
        <v xml:space="preserve"> </v>
      </c>
      <c r="L259" s="144" t="str">
        <f>IF(Formulario!H267&lt;&gt;"",IF(Formulario!H267=" "," ",Formulario!H267)," ")</f>
        <v xml:space="preserve"> </v>
      </c>
      <c r="M259" s="144" t="str">
        <f>IF(Formulario!I267&lt;&gt;"",IF(Formulario!I267=" "," ",Formulario!I267)," ")</f>
        <v xml:space="preserve"> </v>
      </c>
      <c r="N259" s="145" t="str">
        <f>IF(Formulario!J267&lt;&gt;"",IF(Formulario!J267=" "," ",Formulario!J267),IF(G259=".",".","Falta Fecha"))</f>
        <v>.</v>
      </c>
      <c r="O259" s="155">
        <f>Formulario!L267</f>
        <v>0</v>
      </c>
      <c r="P259" s="146">
        <f>IF(O259=1,"09:00",Formulario!M267)</f>
        <v>0</v>
      </c>
      <c r="Q259" s="146">
        <f>IF(O259=1,"18:30",Formulario!N267)</f>
        <v>0</v>
      </c>
      <c r="R259" s="146" t="str">
        <f>IF(Formulario!O267&lt;&gt;"",IF(Formulario!O267=" ",".",Formulario!O267),".")</f>
        <v>Post Venta</v>
      </c>
      <c r="S259" s="141" t="s">
        <v>131</v>
      </c>
    </row>
    <row r="260" spans="1:19">
      <c r="A260" s="141">
        <f>Formulario!B268</f>
        <v>0</v>
      </c>
      <c r="B260" s="144" t="str">
        <f>IF(G260="."," ",Formulario!D$5)</f>
        <v xml:space="preserve"> </v>
      </c>
      <c r="C260" s="144" t="str">
        <f>IF(G260=".","",Formulario!D$6)</f>
        <v/>
      </c>
      <c r="D260" s="144" t="str">
        <f>IF(H260=".","",Formulario!D$7)</f>
        <v/>
      </c>
      <c r="E260" s="144" t="str">
        <f>IF(G260=".","",Formulario!J$5)</f>
        <v/>
      </c>
      <c r="F260" s="145" t="str">
        <f>IF(G260=".","",Formulario!J$6)</f>
        <v/>
      </c>
      <c r="G260" s="180" t="str">
        <f>IF(Formulario!C268&lt;&gt;"",IF(Formulario!C268=" ","Falta Depto",IF(H260=".","Error En Descripción",Formulario!C268)),IF(H260=".",".","Falta Datos"))</f>
        <v>.</v>
      </c>
      <c r="H260" s="144" t="str">
        <f>IF(Formulario!D268&lt;&gt;"",IF(Formulario!D268=" ",".",Formulario!D268),".")</f>
        <v>.</v>
      </c>
      <c r="I260" s="144" t="str">
        <f>IF(Formulario!E268&lt;&gt;"",IF(Formulario!E268=" "," ",Formulario!E268),IF(G260=".",".","Falta Propietario"))</f>
        <v>.</v>
      </c>
      <c r="J260" s="144" t="str">
        <f>IF(Formulario!F268&lt;&gt;"",IF(Formulario!F268=" "," ",Formulario!F268)," ")</f>
        <v xml:space="preserve"> </v>
      </c>
      <c r="K260" s="144" t="str">
        <f>IF(Formulario!G268&lt;&gt;"",IF(Formulario!G268=" "," ",Formulario!G268)," ")</f>
        <v xml:space="preserve"> </v>
      </c>
      <c r="L260" s="144" t="str">
        <f>IF(Formulario!H268&lt;&gt;"",IF(Formulario!H268=" "," ",Formulario!H268)," ")</f>
        <v xml:space="preserve"> </v>
      </c>
      <c r="M260" s="144" t="str">
        <f>IF(Formulario!I268&lt;&gt;"",IF(Formulario!I268=" "," ",Formulario!I268)," ")</f>
        <v xml:space="preserve"> </v>
      </c>
      <c r="N260" s="145" t="str">
        <f>IF(Formulario!J268&lt;&gt;"",IF(Formulario!J268=" "," ",Formulario!J268),IF(G260=".",".","Falta Fecha"))</f>
        <v>.</v>
      </c>
      <c r="O260" s="155">
        <f>Formulario!L268</f>
        <v>0</v>
      </c>
      <c r="P260" s="146">
        <f>IF(O260=1,"09:00",Formulario!M268)</f>
        <v>0</v>
      </c>
      <c r="Q260" s="146">
        <f>IF(O260=1,"18:30",Formulario!N268)</f>
        <v>0</v>
      </c>
      <c r="R260" s="146" t="str">
        <f>IF(Formulario!O268&lt;&gt;"",IF(Formulario!O268=" ",".",Formulario!O268),".")</f>
        <v>Post Venta</v>
      </c>
      <c r="S260" s="141" t="s">
        <v>131</v>
      </c>
    </row>
    <row r="261" spans="1:19">
      <c r="A261" s="141">
        <f>Formulario!B269</f>
        <v>0</v>
      </c>
      <c r="B261" s="144" t="str">
        <f>IF(G261="."," ",Formulario!D$5)</f>
        <v xml:space="preserve"> </v>
      </c>
      <c r="C261" s="144" t="str">
        <f>IF(G261=".","",Formulario!D$6)</f>
        <v/>
      </c>
      <c r="D261" s="144" t="str">
        <f>IF(H261=".","",Formulario!D$7)</f>
        <v/>
      </c>
      <c r="E261" s="144" t="str">
        <f>IF(G261=".","",Formulario!J$5)</f>
        <v/>
      </c>
      <c r="F261" s="145" t="str">
        <f>IF(G261=".","",Formulario!J$6)</f>
        <v/>
      </c>
      <c r="G261" s="180" t="str">
        <f>IF(Formulario!C269&lt;&gt;"",IF(Formulario!C269=" ","Falta Depto",IF(H261=".","Error En Descripción",Formulario!C269)),IF(H261=".",".","Falta Datos"))</f>
        <v>.</v>
      </c>
      <c r="H261" s="144" t="str">
        <f>IF(Formulario!D269&lt;&gt;"",IF(Formulario!D269=" ",".",Formulario!D269),".")</f>
        <v>.</v>
      </c>
      <c r="I261" s="144" t="str">
        <f>IF(Formulario!E269&lt;&gt;"",IF(Formulario!E269=" "," ",Formulario!E269),IF(G261=".",".","Falta Propietario"))</f>
        <v>.</v>
      </c>
      <c r="J261" s="144" t="str">
        <f>IF(Formulario!F269&lt;&gt;"",IF(Formulario!F269=" "," ",Formulario!F269)," ")</f>
        <v xml:space="preserve"> </v>
      </c>
      <c r="K261" s="144" t="str">
        <f>IF(Formulario!G269&lt;&gt;"",IF(Formulario!G269=" "," ",Formulario!G269)," ")</f>
        <v xml:space="preserve"> </v>
      </c>
      <c r="L261" s="144" t="str">
        <f>IF(Formulario!H269&lt;&gt;"",IF(Formulario!H269=" "," ",Formulario!H269)," ")</f>
        <v xml:space="preserve"> </v>
      </c>
      <c r="M261" s="144" t="str">
        <f>IF(Formulario!I269&lt;&gt;"",IF(Formulario!I269=" "," ",Formulario!I269)," ")</f>
        <v xml:space="preserve"> </v>
      </c>
      <c r="N261" s="145" t="str">
        <f>IF(Formulario!J269&lt;&gt;"",IF(Formulario!J269=" "," ",Formulario!J269),IF(G261=".",".","Falta Fecha"))</f>
        <v>.</v>
      </c>
      <c r="O261" s="155">
        <f>Formulario!L269</f>
        <v>0</v>
      </c>
      <c r="P261" s="146">
        <f>IF(O261=1,"09:00",Formulario!M269)</f>
        <v>0</v>
      </c>
      <c r="Q261" s="146">
        <f>IF(O261=1,"18:30",Formulario!N269)</f>
        <v>0</v>
      </c>
      <c r="R261" s="146" t="str">
        <f>IF(Formulario!O269&lt;&gt;"",IF(Formulario!O269=" ",".",Formulario!O269),".")</f>
        <v>Post Venta</v>
      </c>
      <c r="S261" s="141" t="s">
        <v>131</v>
      </c>
    </row>
    <row r="262" spans="1:19">
      <c r="A262" s="141">
        <f>Formulario!B270</f>
        <v>0</v>
      </c>
      <c r="B262" s="144" t="str">
        <f>IF(G262="."," ",Formulario!D$5)</f>
        <v xml:space="preserve"> </v>
      </c>
      <c r="C262" s="144" t="str">
        <f>IF(G262=".","",Formulario!D$6)</f>
        <v/>
      </c>
      <c r="D262" s="144" t="str">
        <f>IF(H262=".","",Formulario!D$7)</f>
        <v/>
      </c>
      <c r="E262" s="144" t="str">
        <f>IF(G262=".","",Formulario!J$5)</f>
        <v/>
      </c>
      <c r="F262" s="145" t="str">
        <f>IF(G262=".","",Formulario!J$6)</f>
        <v/>
      </c>
      <c r="G262" s="180" t="str">
        <f>IF(Formulario!C270&lt;&gt;"",IF(Formulario!C270=" ","Falta Depto",IF(H262=".","Error En Descripción",Formulario!C270)),IF(H262=".",".","Falta Datos"))</f>
        <v>.</v>
      </c>
      <c r="H262" s="144" t="str">
        <f>IF(Formulario!D270&lt;&gt;"",IF(Formulario!D270=" ",".",Formulario!D270),".")</f>
        <v>.</v>
      </c>
      <c r="I262" s="144" t="str">
        <f>IF(Formulario!E270&lt;&gt;"",IF(Formulario!E270=" "," ",Formulario!E270),IF(G262=".",".","Falta Propietario"))</f>
        <v>.</v>
      </c>
      <c r="J262" s="144" t="str">
        <f>IF(Formulario!F270&lt;&gt;"",IF(Formulario!F270=" "," ",Formulario!F270)," ")</f>
        <v xml:space="preserve"> </v>
      </c>
      <c r="K262" s="144" t="str">
        <f>IF(Formulario!G270&lt;&gt;"",IF(Formulario!G270=" "," ",Formulario!G270)," ")</f>
        <v xml:space="preserve"> </v>
      </c>
      <c r="L262" s="144" t="str">
        <f>IF(Formulario!H270&lt;&gt;"",IF(Formulario!H270=" "," ",Formulario!H270)," ")</f>
        <v xml:space="preserve"> </v>
      </c>
      <c r="M262" s="144" t="str">
        <f>IF(Formulario!I270&lt;&gt;"",IF(Formulario!I270=" "," ",Formulario!I270)," ")</f>
        <v xml:space="preserve"> </v>
      </c>
      <c r="N262" s="145" t="str">
        <f>IF(Formulario!J270&lt;&gt;"",IF(Formulario!J270=" "," ",Formulario!J270),IF(G262=".",".","Falta Fecha"))</f>
        <v>.</v>
      </c>
      <c r="O262" s="155">
        <f>Formulario!L270</f>
        <v>0</v>
      </c>
      <c r="P262" s="146">
        <f>IF(O262=1,"09:00",Formulario!M270)</f>
        <v>0</v>
      </c>
      <c r="Q262" s="146">
        <f>IF(O262=1,"18:30",Formulario!N270)</f>
        <v>0</v>
      </c>
      <c r="R262" s="146" t="str">
        <f>IF(Formulario!O270&lt;&gt;"",IF(Formulario!O270=" ",".",Formulario!O270),".")</f>
        <v>Post Venta</v>
      </c>
      <c r="S262" s="141" t="s">
        <v>131</v>
      </c>
    </row>
    <row r="263" spans="1:19">
      <c r="A263" s="141">
        <f>Formulario!B271</f>
        <v>0</v>
      </c>
      <c r="B263" s="144" t="str">
        <f>IF(G263="."," ",Formulario!D$5)</f>
        <v xml:space="preserve"> </v>
      </c>
      <c r="C263" s="144" t="str">
        <f>IF(G263=".","",Formulario!D$6)</f>
        <v/>
      </c>
      <c r="D263" s="144" t="str">
        <f>IF(H263=".","",Formulario!D$7)</f>
        <v/>
      </c>
      <c r="E263" s="144" t="str">
        <f>IF(G263=".","",Formulario!J$5)</f>
        <v/>
      </c>
      <c r="F263" s="145" t="str">
        <f>IF(G263=".","",Formulario!J$6)</f>
        <v/>
      </c>
      <c r="G263" s="180" t="str">
        <f>IF(Formulario!C271&lt;&gt;"",IF(Formulario!C271=" ","Falta Depto",IF(H263=".","Error En Descripción",Formulario!C271)),IF(H263=".",".","Falta Datos"))</f>
        <v>.</v>
      </c>
      <c r="H263" s="144" t="str">
        <f>IF(Formulario!D271&lt;&gt;"",IF(Formulario!D271=" ",".",Formulario!D271),".")</f>
        <v>.</v>
      </c>
      <c r="I263" s="144" t="str">
        <f>IF(Formulario!E271&lt;&gt;"",IF(Formulario!E271=" "," ",Formulario!E271),IF(G263=".",".","Falta Propietario"))</f>
        <v>.</v>
      </c>
      <c r="J263" s="144" t="str">
        <f>IF(Formulario!F271&lt;&gt;"",IF(Formulario!F271=" "," ",Formulario!F271)," ")</f>
        <v xml:space="preserve"> </v>
      </c>
      <c r="K263" s="144" t="str">
        <f>IF(Formulario!G271&lt;&gt;"",IF(Formulario!G271=" "," ",Formulario!G271)," ")</f>
        <v xml:space="preserve"> </v>
      </c>
      <c r="L263" s="144" t="str">
        <f>IF(Formulario!H271&lt;&gt;"",IF(Formulario!H271=" "," ",Formulario!H271)," ")</f>
        <v xml:space="preserve"> </v>
      </c>
      <c r="M263" s="144" t="str">
        <f>IF(Formulario!I271&lt;&gt;"",IF(Formulario!I271=" "," ",Formulario!I271)," ")</f>
        <v xml:space="preserve"> </v>
      </c>
      <c r="N263" s="145" t="str">
        <f>IF(Formulario!J271&lt;&gt;"",IF(Formulario!J271=" "," ",Formulario!J271),IF(G263=".",".","Falta Fecha"))</f>
        <v>.</v>
      </c>
      <c r="O263" s="155">
        <f>Formulario!L271</f>
        <v>0</v>
      </c>
      <c r="P263" s="146">
        <f>IF(O263=1,"09:00",Formulario!M271)</f>
        <v>0</v>
      </c>
      <c r="Q263" s="146">
        <f>IF(O263=1,"18:30",Formulario!N271)</f>
        <v>0</v>
      </c>
      <c r="R263" s="146" t="str">
        <f>IF(Formulario!O271&lt;&gt;"",IF(Formulario!O271=" ",".",Formulario!O271),".")</f>
        <v>Post Venta</v>
      </c>
      <c r="S263" s="141" t="s">
        <v>131</v>
      </c>
    </row>
    <row r="264" spans="1:19">
      <c r="A264" s="141">
        <f>Formulario!B272</f>
        <v>0</v>
      </c>
      <c r="B264" s="144" t="str">
        <f>IF(G264="."," ",Formulario!D$5)</f>
        <v xml:space="preserve"> </v>
      </c>
      <c r="C264" s="144" t="str">
        <f>IF(G264=".","",Formulario!D$6)</f>
        <v/>
      </c>
      <c r="D264" s="144" t="str">
        <f>IF(H264=".","",Formulario!D$7)</f>
        <v/>
      </c>
      <c r="E264" s="144" t="str">
        <f>IF(G264=".","",Formulario!J$5)</f>
        <v/>
      </c>
      <c r="F264" s="145" t="str">
        <f>IF(G264=".","",Formulario!J$6)</f>
        <v/>
      </c>
      <c r="G264" s="180" t="str">
        <f>IF(Formulario!C272&lt;&gt;"",IF(Formulario!C272=" ","Falta Depto",IF(H264=".","Error En Descripción",Formulario!C272)),IF(H264=".",".","Falta Datos"))</f>
        <v>.</v>
      </c>
      <c r="H264" s="144" t="str">
        <f>IF(Formulario!D272&lt;&gt;"",IF(Formulario!D272=" ",".",Formulario!D272),".")</f>
        <v>.</v>
      </c>
      <c r="I264" s="144" t="str">
        <f>IF(Formulario!E272&lt;&gt;"",IF(Formulario!E272=" "," ",Formulario!E272),IF(G264=".",".","Falta Propietario"))</f>
        <v>.</v>
      </c>
      <c r="J264" s="144" t="str">
        <f>IF(Formulario!F272&lt;&gt;"",IF(Formulario!F272=" "," ",Formulario!F272)," ")</f>
        <v xml:space="preserve"> </v>
      </c>
      <c r="K264" s="144" t="str">
        <f>IF(Formulario!G272&lt;&gt;"",IF(Formulario!G272=" "," ",Formulario!G272)," ")</f>
        <v xml:space="preserve"> </v>
      </c>
      <c r="L264" s="144" t="str">
        <f>IF(Formulario!H272&lt;&gt;"",IF(Formulario!H272=" "," ",Formulario!H272)," ")</f>
        <v xml:space="preserve"> </v>
      </c>
      <c r="M264" s="144" t="str">
        <f>IF(Formulario!I272&lt;&gt;"",IF(Formulario!I272=" "," ",Formulario!I272)," ")</f>
        <v xml:space="preserve"> </v>
      </c>
      <c r="N264" s="145" t="str">
        <f>IF(Formulario!J272&lt;&gt;"",IF(Formulario!J272=" "," ",Formulario!J272),IF(G264=".",".","Falta Fecha"))</f>
        <v>.</v>
      </c>
      <c r="O264" s="155">
        <f>Formulario!L272</f>
        <v>0</v>
      </c>
      <c r="P264" s="146">
        <f>IF(O264=1,"09:00",Formulario!M272)</f>
        <v>0</v>
      </c>
      <c r="Q264" s="146">
        <f>IF(O264=1,"18:30",Formulario!N272)</f>
        <v>0</v>
      </c>
      <c r="R264" s="146" t="str">
        <f>IF(Formulario!O272&lt;&gt;"",IF(Formulario!O272=" ",".",Formulario!O272),".")</f>
        <v>Post Venta</v>
      </c>
      <c r="S264" s="141" t="s">
        <v>131</v>
      </c>
    </row>
    <row r="265" spans="1:19">
      <c r="A265" s="141">
        <f>Formulario!B273</f>
        <v>0</v>
      </c>
      <c r="B265" s="144" t="str">
        <f>IF(G265="."," ",Formulario!D$5)</f>
        <v xml:space="preserve"> </v>
      </c>
      <c r="C265" s="144" t="str">
        <f>IF(G265=".","",Formulario!D$6)</f>
        <v/>
      </c>
      <c r="D265" s="144" t="str">
        <f>IF(H265=".","",Formulario!D$7)</f>
        <v/>
      </c>
      <c r="E265" s="144" t="str">
        <f>IF(G265=".","",Formulario!J$5)</f>
        <v/>
      </c>
      <c r="F265" s="145" t="str">
        <f>IF(G265=".","",Formulario!J$6)</f>
        <v/>
      </c>
      <c r="G265" s="180" t="str">
        <f>IF(Formulario!C273&lt;&gt;"",IF(Formulario!C273=" ","Falta Depto",IF(H265=".","Error En Descripción",Formulario!C273)),IF(H265=".",".","Falta Datos"))</f>
        <v>.</v>
      </c>
      <c r="H265" s="144" t="str">
        <f>IF(Formulario!D273&lt;&gt;"",IF(Formulario!D273=" ",".",Formulario!D273),".")</f>
        <v>.</v>
      </c>
      <c r="I265" s="144" t="str">
        <f>IF(Formulario!E273&lt;&gt;"",IF(Formulario!E273=" "," ",Formulario!E273),IF(G265=".",".","Falta Propietario"))</f>
        <v>.</v>
      </c>
      <c r="J265" s="144" t="str">
        <f>IF(Formulario!F273&lt;&gt;"",IF(Formulario!F273=" "," ",Formulario!F273)," ")</f>
        <v xml:space="preserve"> </v>
      </c>
      <c r="K265" s="144" t="str">
        <f>IF(Formulario!G273&lt;&gt;"",IF(Formulario!G273=" "," ",Formulario!G273)," ")</f>
        <v xml:space="preserve"> </v>
      </c>
      <c r="L265" s="144" t="str">
        <f>IF(Formulario!H273&lt;&gt;"",IF(Formulario!H273=" "," ",Formulario!H273)," ")</f>
        <v xml:space="preserve"> </v>
      </c>
      <c r="M265" s="144" t="str">
        <f>IF(Formulario!I273&lt;&gt;"",IF(Formulario!I273=" "," ",Formulario!I273)," ")</f>
        <v xml:space="preserve"> </v>
      </c>
      <c r="N265" s="145" t="str">
        <f>IF(Formulario!J273&lt;&gt;"",IF(Formulario!J273=" "," ",Formulario!J273),IF(G265=".",".","Falta Fecha"))</f>
        <v>.</v>
      </c>
      <c r="O265" s="155">
        <f>Formulario!L273</f>
        <v>0</v>
      </c>
      <c r="P265" s="146">
        <f>IF(O265=1,"09:00",Formulario!M273)</f>
        <v>0</v>
      </c>
      <c r="Q265" s="146">
        <f>IF(O265=1,"18:30",Formulario!N273)</f>
        <v>0</v>
      </c>
      <c r="R265" s="146" t="str">
        <f>IF(Formulario!O273&lt;&gt;"",IF(Formulario!O273=" ",".",Formulario!O273),".")</f>
        <v>Post Venta</v>
      </c>
      <c r="S265" s="141" t="s">
        <v>131</v>
      </c>
    </row>
    <row r="266" spans="1:19">
      <c r="A266" s="141">
        <f>Formulario!B274</f>
        <v>0</v>
      </c>
      <c r="B266" s="144" t="str">
        <f>IF(G266="."," ",Formulario!D$5)</f>
        <v xml:space="preserve"> </v>
      </c>
      <c r="C266" s="144" t="str">
        <f>IF(G266=".","",Formulario!D$6)</f>
        <v/>
      </c>
      <c r="D266" s="144" t="str">
        <f>IF(H266=".","",Formulario!D$7)</f>
        <v/>
      </c>
      <c r="E266" s="144" t="str">
        <f>IF(G266=".","",Formulario!J$5)</f>
        <v/>
      </c>
      <c r="F266" s="145" t="str">
        <f>IF(G266=".","",Formulario!J$6)</f>
        <v/>
      </c>
      <c r="G266" s="180" t="str">
        <f>IF(Formulario!C274&lt;&gt;"",IF(Formulario!C274=" ","Falta Depto",IF(H266=".","Error En Descripción",Formulario!C274)),IF(H266=".",".","Falta Datos"))</f>
        <v>.</v>
      </c>
      <c r="H266" s="144" t="str">
        <f>IF(Formulario!D274&lt;&gt;"",IF(Formulario!D274=" ",".",Formulario!D274),".")</f>
        <v>.</v>
      </c>
      <c r="I266" s="144" t="str">
        <f>IF(Formulario!E274&lt;&gt;"",IF(Formulario!E274=" "," ",Formulario!E274),IF(G266=".",".","Falta Propietario"))</f>
        <v>.</v>
      </c>
      <c r="J266" s="144" t="str">
        <f>IF(Formulario!F274&lt;&gt;"",IF(Formulario!F274=" "," ",Formulario!F274)," ")</f>
        <v xml:space="preserve"> </v>
      </c>
      <c r="K266" s="144" t="str">
        <f>IF(Formulario!G274&lt;&gt;"",IF(Formulario!G274=" "," ",Formulario!G274)," ")</f>
        <v xml:space="preserve"> </v>
      </c>
      <c r="L266" s="144" t="str">
        <f>IF(Formulario!H274&lt;&gt;"",IF(Formulario!H274=" "," ",Formulario!H274)," ")</f>
        <v xml:space="preserve"> </v>
      </c>
      <c r="M266" s="144" t="str">
        <f>IF(Formulario!I274&lt;&gt;"",IF(Formulario!I274=" "," ",Formulario!I274)," ")</f>
        <v xml:space="preserve"> </v>
      </c>
      <c r="N266" s="145" t="str">
        <f>IF(Formulario!J274&lt;&gt;"",IF(Formulario!J274=" "," ",Formulario!J274),IF(G266=".",".","Falta Fecha"))</f>
        <v>.</v>
      </c>
      <c r="O266" s="155">
        <f>Formulario!L274</f>
        <v>0</v>
      </c>
      <c r="P266" s="146">
        <f>IF(O266=1,"09:00",Formulario!M274)</f>
        <v>0</v>
      </c>
      <c r="Q266" s="146">
        <f>IF(O266=1,"18:30",Formulario!N274)</f>
        <v>0</v>
      </c>
      <c r="R266" s="146" t="str">
        <f>IF(Formulario!O274&lt;&gt;"",IF(Formulario!O274=" ",".",Formulario!O274),".")</f>
        <v>Post Venta</v>
      </c>
      <c r="S266" s="141" t="s">
        <v>131</v>
      </c>
    </row>
    <row r="267" spans="1:19">
      <c r="A267" s="141">
        <f>Formulario!B275</f>
        <v>0</v>
      </c>
      <c r="B267" s="144" t="str">
        <f>IF(G267="."," ",Formulario!D$5)</f>
        <v xml:space="preserve"> </v>
      </c>
      <c r="C267" s="144" t="str">
        <f>IF(G267=".","",Formulario!D$6)</f>
        <v/>
      </c>
      <c r="D267" s="144" t="str">
        <f>IF(H267=".","",Formulario!D$7)</f>
        <v/>
      </c>
      <c r="E267" s="144" t="str">
        <f>IF(G267=".","",Formulario!J$5)</f>
        <v/>
      </c>
      <c r="F267" s="145" t="str">
        <f>IF(G267=".","",Formulario!J$6)</f>
        <v/>
      </c>
      <c r="G267" s="180" t="str">
        <f>IF(Formulario!C275&lt;&gt;"",IF(Formulario!C275=" ","Falta Depto",IF(H267=".","Error En Descripción",Formulario!C275)),IF(H267=".",".","Falta Datos"))</f>
        <v>.</v>
      </c>
      <c r="H267" s="144" t="str">
        <f>IF(Formulario!D275&lt;&gt;"",IF(Formulario!D275=" ",".",Formulario!D275),".")</f>
        <v>.</v>
      </c>
      <c r="I267" s="144" t="str">
        <f>IF(Formulario!E275&lt;&gt;"",IF(Formulario!E275=" "," ",Formulario!E275),IF(G267=".",".","Falta Propietario"))</f>
        <v>.</v>
      </c>
      <c r="J267" s="144" t="str">
        <f>IF(Formulario!F275&lt;&gt;"",IF(Formulario!F275=" "," ",Formulario!F275)," ")</f>
        <v xml:space="preserve"> </v>
      </c>
      <c r="K267" s="144" t="str">
        <f>IF(Formulario!G275&lt;&gt;"",IF(Formulario!G275=" "," ",Formulario!G275)," ")</f>
        <v xml:space="preserve"> </v>
      </c>
      <c r="L267" s="144" t="str">
        <f>IF(Formulario!H275&lt;&gt;"",IF(Formulario!H275=" "," ",Formulario!H275)," ")</f>
        <v xml:space="preserve"> </v>
      </c>
      <c r="M267" s="144" t="str">
        <f>IF(Formulario!I275&lt;&gt;"",IF(Formulario!I275=" "," ",Formulario!I275)," ")</f>
        <v xml:space="preserve"> </v>
      </c>
      <c r="N267" s="145" t="str">
        <f>IF(Formulario!J275&lt;&gt;"",IF(Formulario!J275=" "," ",Formulario!J275),IF(G267=".",".","Falta Fecha"))</f>
        <v>.</v>
      </c>
      <c r="O267" s="155">
        <f>Formulario!L275</f>
        <v>0</v>
      </c>
      <c r="P267" s="146">
        <f>IF(O267=1,"09:00",Formulario!M275)</f>
        <v>0</v>
      </c>
      <c r="Q267" s="146">
        <f>IF(O267=1,"18:30",Formulario!N275)</f>
        <v>0</v>
      </c>
      <c r="R267" s="146" t="str">
        <f>IF(Formulario!O275&lt;&gt;"",IF(Formulario!O275=" ",".",Formulario!O275),".")</f>
        <v>Post Venta</v>
      </c>
      <c r="S267" s="141" t="s">
        <v>131</v>
      </c>
    </row>
    <row r="268" spans="1:19">
      <c r="A268" s="141">
        <f>Formulario!B276</f>
        <v>0</v>
      </c>
      <c r="B268" s="144" t="str">
        <f>IF(G268="."," ",Formulario!D$5)</f>
        <v xml:space="preserve"> </v>
      </c>
      <c r="C268" s="144" t="str">
        <f>IF(G268=".","",Formulario!D$6)</f>
        <v/>
      </c>
      <c r="D268" s="144" t="str">
        <f>IF(H268=".","",Formulario!D$7)</f>
        <v/>
      </c>
      <c r="E268" s="144" t="str">
        <f>IF(G268=".","",Formulario!J$5)</f>
        <v/>
      </c>
      <c r="F268" s="145" t="str">
        <f>IF(G268=".","",Formulario!J$6)</f>
        <v/>
      </c>
      <c r="G268" s="180" t="str">
        <f>IF(Formulario!C276&lt;&gt;"",IF(Formulario!C276=" ","Falta Depto",IF(H268=".","Error En Descripción",Formulario!C276)),IF(H268=".",".","Falta Datos"))</f>
        <v>.</v>
      </c>
      <c r="H268" s="144" t="str">
        <f>IF(Formulario!D276&lt;&gt;"",IF(Formulario!D276=" ",".",Formulario!D276),".")</f>
        <v>.</v>
      </c>
      <c r="I268" s="144" t="str">
        <f>IF(Formulario!E276&lt;&gt;"",IF(Formulario!E276=" "," ",Formulario!E276),IF(G268=".",".","Falta Propietario"))</f>
        <v>.</v>
      </c>
      <c r="J268" s="144" t="str">
        <f>IF(Formulario!F276&lt;&gt;"",IF(Formulario!F276=" "," ",Formulario!F276)," ")</f>
        <v xml:space="preserve"> </v>
      </c>
      <c r="K268" s="144" t="str">
        <f>IF(Formulario!G276&lt;&gt;"",IF(Formulario!G276=" "," ",Formulario!G276)," ")</f>
        <v xml:space="preserve"> </v>
      </c>
      <c r="L268" s="144" t="str">
        <f>IF(Formulario!H276&lt;&gt;"",IF(Formulario!H276=" "," ",Formulario!H276)," ")</f>
        <v xml:space="preserve"> </v>
      </c>
      <c r="M268" s="144" t="str">
        <f>IF(Formulario!I276&lt;&gt;"",IF(Formulario!I276=" "," ",Formulario!I276)," ")</f>
        <v xml:space="preserve"> </v>
      </c>
      <c r="N268" s="145" t="str">
        <f>IF(Formulario!J276&lt;&gt;"",IF(Formulario!J276=" "," ",Formulario!J276),IF(G268=".",".","Falta Fecha"))</f>
        <v>.</v>
      </c>
      <c r="O268" s="155">
        <f>Formulario!L276</f>
        <v>0</v>
      </c>
      <c r="P268" s="146">
        <f>IF(O268=1,"09:00",Formulario!M276)</f>
        <v>0</v>
      </c>
      <c r="Q268" s="146">
        <f>IF(O268=1,"18:30",Formulario!N276)</f>
        <v>0</v>
      </c>
      <c r="R268" s="146" t="str">
        <f>IF(Formulario!O276&lt;&gt;"",IF(Formulario!O276=" ",".",Formulario!O276),".")</f>
        <v>Post Venta</v>
      </c>
      <c r="S268" s="141" t="s">
        <v>131</v>
      </c>
    </row>
    <row r="269" spans="1:19">
      <c r="A269" s="141">
        <f>Formulario!B277</f>
        <v>0</v>
      </c>
      <c r="B269" s="144" t="str">
        <f>IF(G269="."," ",Formulario!D$5)</f>
        <v xml:space="preserve"> </v>
      </c>
      <c r="C269" s="144" t="str">
        <f>IF(G269=".","",Formulario!D$6)</f>
        <v/>
      </c>
      <c r="D269" s="144" t="str">
        <f>IF(H269=".","",Formulario!D$7)</f>
        <v/>
      </c>
      <c r="E269" s="144" t="str">
        <f>IF(G269=".","",Formulario!J$5)</f>
        <v/>
      </c>
      <c r="F269" s="145" t="str">
        <f>IF(G269=".","",Formulario!J$6)</f>
        <v/>
      </c>
      <c r="G269" s="180" t="str">
        <f>IF(Formulario!C277&lt;&gt;"",IF(Formulario!C277=" ","Falta Depto",IF(H269=".","Error En Descripción",Formulario!C277)),IF(H269=".",".","Falta Datos"))</f>
        <v>.</v>
      </c>
      <c r="H269" s="144" t="str">
        <f>IF(Formulario!D277&lt;&gt;"",IF(Formulario!D277=" ",".",Formulario!D277),".")</f>
        <v>.</v>
      </c>
      <c r="I269" s="144" t="str">
        <f>IF(Formulario!E277&lt;&gt;"",IF(Formulario!E277=" "," ",Formulario!E277),IF(G269=".",".","Falta Propietario"))</f>
        <v>.</v>
      </c>
      <c r="J269" s="144" t="str">
        <f>IF(Formulario!F277&lt;&gt;"",IF(Formulario!F277=" "," ",Formulario!F277)," ")</f>
        <v xml:space="preserve"> </v>
      </c>
      <c r="K269" s="144" t="str">
        <f>IF(Formulario!G277&lt;&gt;"",IF(Formulario!G277=" "," ",Formulario!G277)," ")</f>
        <v xml:space="preserve"> </v>
      </c>
      <c r="L269" s="144" t="str">
        <f>IF(Formulario!H277&lt;&gt;"",IF(Formulario!H277=" "," ",Formulario!H277)," ")</f>
        <v xml:space="preserve"> </v>
      </c>
      <c r="M269" s="144" t="str">
        <f>IF(Formulario!I277&lt;&gt;"",IF(Formulario!I277=" "," ",Formulario!I277)," ")</f>
        <v xml:space="preserve"> </v>
      </c>
      <c r="N269" s="145" t="str">
        <f>IF(Formulario!J277&lt;&gt;"",IF(Formulario!J277=" "," ",Formulario!J277),IF(G269=".",".","Falta Fecha"))</f>
        <v>.</v>
      </c>
      <c r="O269" s="155">
        <f>Formulario!L277</f>
        <v>0</v>
      </c>
      <c r="P269" s="146">
        <f>IF(O269=1,"09:00",Formulario!M277)</f>
        <v>0</v>
      </c>
      <c r="Q269" s="146">
        <f>IF(O269=1,"18:30",Formulario!N277)</f>
        <v>0</v>
      </c>
      <c r="R269" s="146" t="str">
        <f>IF(Formulario!O277&lt;&gt;"",IF(Formulario!O277=" ",".",Formulario!O277),".")</f>
        <v>Post Venta</v>
      </c>
      <c r="S269" s="141" t="s">
        <v>131</v>
      </c>
    </row>
    <row r="270" spans="1:19">
      <c r="A270" s="141">
        <f>Formulario!B278</f>
        <v>0</v>
      </c>
      <c r="B270" s="144" t="str">
        <f>IF(G270="."," ",Formulario!D$5)</f>
        <v xml:space="preserve"> </v>
      </c>
      <c r="C270" s="144" t="str">
        <f>IF(G270=".","",Formulario!D$6)</f>
        <v/>
      </c>
      <c r="D270" s="144" t="str">
        <f>IF(H270=".","",Formulario!D$7)</f>
        <v/>
      </c>
      <c r="E270" s="144" t="str">
        <f>IF(G270=".","",Formulario!J$5)</f>
        <v/>
      </c>
      <c r="F270" s="145" t="str">
        <f>IF(G270=".","",Formulario!J$6)</f>
        <v/>
      </c>
      <c r="G270" s="180" t="str">
        <f>IF(Formulario!C278&lt;&gt;"",IF(Formulario!C278=" ","Falta Depto",IF(H270=".","Error En Descripción",Formulario!C278)),IF(H270=".",".","Falta Datos"))</f>
        <v>.</v>
      </c>
      <c r="H270" s="144" t="str">
        <f>IF(Formulario!D278&lt;&gt;"",IF(Formulario!D278=" ",".",Formulario!D278),".")</f>
        <v>.</v>
      </c>
      <c r="I270" s="144" t="str">
        <f>IF(Formulario!E278&lt;&gt;"",IF(Formulario!E278=" "," ",Formulario!E278),IF(G270=".",".","Falta Propietario"))</f>
        <v>.</v>
      </c>
      <c r="J270" s="144" t="str">
        <f>IF(Formulario!F278&lt;&gt;"",IF(Formulario!F278=" "," ",Formulario!F278)," ")</f>
        <v xml:space="preserve"> </v>
      </c>
      <c r="K270" s="144" t="str">
        <f>IF(Formulario!G278&lt;&gt;"",IF(Formulario!G278=" "," ",Formulario!G278)," ")</f>
        <v xml:space="preserve"> </v>
      </c>
      <c r="L270" s="144" t="str">
        <f>IF(Formulario!H278&lt;&gt;"",IF(Formulario!H278=" "," ",Formulario!H278)," ")</f>
        <v xml:space="preserve"> </v>
      </c>
      <c r="M270" s="144" t="str">
        <f>IF(Formulario!I278&lt;&gt;"",IF(Formulario!I278=" "," ",Formulario!I278)," ")</f>
        <v xml:space="preserve"> </v>
      </c>
      <c r="N270" s="145" t="str">
        <f>IF(Formulario!J278&lt;&gt;"",IF(Formulario!J278=" "," ",Formulario!J278),IF(G270=".",".","Falta Fecha"))</f>
        <v>.</v>
      </c>
      <c r="O270" s="155">
        <f>Formulario!L278</f>
        <v>0</v>
      </c>
      <c r="P270" s="146">
        <f>IF(O270=1,"09:00",Formulario!M278)</f>
        <v>0</v>
      </c>
      <c r="Q270" s="146">
        <f>IF(O270=1,"18:30",Formulario!N278)</f>
        <v>0</v>
      </c>
      <c r="R270" s="146" t="str">
        <f>IF(Formulario!O278&lt;&gt;"",IF(Formulario!O278=" ",".",Formulario!O278),".")</f>
        <v>Post Venta</v>
      </c>
      <c r="S270" s="141" t="s">
        <v>131</v>
      </c>
    </row>
    <row r="271" spans="1:19">
      <c r="A271" s="141">
        <f>Formulario!B279</f>
        <v>0</v>
      </c>
      <c r="B271" s="144" t="str">
        <f>IF(G271="."," ",Formulario!D$5)</f>
        <v xml:space="preserve"> </v>
      </c>
      <c r="C271" s="144" t="str">
        <f>IF(G271=".","",Formulario!D$6)</f>
        <v/>
      </c>
      <c r="D271" s="144" t="str">
        <f>IF(H271=".","",Formulario!D$7)</f>
        <v/>
      </c>
      <c r="E271" s="144" t="str">
        <f>IF(G271=".","",Formulario!J$5)</f>
        <v/>
      </c>
      <c r="F271" s="145" t="str">
        <f>IF(G271=".","",Formulario!J$6)</f>
        <v/>
      </c>
      <c r="G271" s="180" t="str">
        <f>IF(Formulario!C279&lt;&gt;"",IF(Formulario!C279=" ","Falta Depto",IF(H271=".","Error En Descripción",Formulario!C279)),IF(H271=".",".","Falta Datos"))</f>
        <v>.</v>
      </c>
      <c r="H271" s="144" t="str">
        <f>IF(Formulario!D279&lt;&gt;"",IF(Formulario!D279=" ",".",Formulario!D279),".")</f>
        <v>.</v>
      </c>
      <c r="I271" s="144" t="str">
        <f>IF(Formulario!E279&lt;&gt;"",IF(Formulario!E279=" "," ",Formulario!E279),IF(G271=".",".","Falta Propietario"))</f>
        <v>.</v>
      </c>
      <c r="J271" s="144" t="str">
        <f>IF(Formulario!F279&lt;&gt;"",IF(Formulario!F279=" "," ",Formulario!F279)," ")</f>
        <v xml:space="preserve"> </v>
      </c>
      <c r="K271" s="144" t="str">
        <f>IF(Formulario!G279&lt;&gt;"",IF(Formulario!G279=" "," ",Formulario!G279)," ")</f>
        <v xml:space="preserve"> </v>
      </c>
      <c r="L271" s="144" t="str">
        <f>IF(Formulario!H279&lt;&gt;"",IF(Formulario!H279=" "," ",Formulario!H279)," ")</f>
        <v xml:space="preserve"> </v>
      </c>
      <c r="M271" s="144" t="str">
        <f>IF(Formulario!I279&lt;&gt;"",IF(Formulario!I279=" "," ",Formulario!I279)," ")</f>
        <v xml:space="preserve"> </v>
      </c>
      <c r="N271" s="145" t="str">
        <f>IF(Formulario!J279&lt;&gt;"",IF(Formulario!J279=" "," ",Formulario!J279),IF(G271=".",".","Falta Fecha"))</f>
        <v>.</v>
      </c>
      <c r="O271" s="155">
        <f>Formulario!L279</f>
        <v>0</v>
      </c>
      <c r="P271" s="146">
        <f>IF(O271=1,"09:00",Formulario!M279)</f>
        <v>0</v>
      </c>
      <c r="Q271" s="146">
        <f>IF(O271=1,"18:30",Formulario!N279)</f>
        <v>0</v>
      </c>
      <c r="R271" s="146" t="str">
        <f>IF(Formulario!O279&lt;&gt;"",IF(Formulario!O279=" ",".",Formulario!O279),".")</f>
        <v>Post Venta</v>
      </c>
      <c r="S271" s="141" t="s">
        <v>131</v>
      </c>
    </row>
    <row r="272" spans="1:19">
      <c r="A272" s="141">
        <f>Formulario!B280</f>
        <v>0</v>
      </c>
      <c r="B272" s="144" t="str">
        <f>IF(G272="."," ",Formulario!D$5)</f>
        <v xml:space="preserve"> </v>
      </c>
      <c r="C272" s="144" t="str">
        <f>IF(G272=".","",Formulario!D$6)</f>
        <v/>
      </c>
      <c r="D272" s="144" t="str">
        <f>IF(H272=".","",Formulario!D$7)</f>
        <v/>
      </c>
      <c r="E272" s="144" t="str">
        <f>IF(G272=".","",Formulario!J$5)</f>
        <v/>
      </c>
      <c r="F272" s="145" t="str">
        <f>IF(G272=".","",Formulario!J$6)</f>
        <v/>
      </c>
      <c r="G272" s="180" t="str">
        <f>IF(Formulario!C280&lt;&gt;"",IF(Formulario!C280=" ","Falta Depto",IF(H272=".","Error En Descripción",Formulario!C280)),IF(H272=".",".","Falta Datos"))</f>
        <v>.</v>
      </c>
      <c r="H272" s="144" t="str">
        <f>IF(Formulario!D280&lt;&gt;"",IF(Formulario!D280=" ",".",Formulario!D280),".")</f>
        <v>.</v>
      </c>
      <c r="I272" s="144" t="str">
        <f>IF(Formulario!E280&lt;&gt;"",IF(Formulario!E280=" "," ",Formulario!E280),IF(G272=".",".","Falta Propietario"))</f>
        <v>.</v>
      </c>
      <c r="J272" s="144" t="str">
        <f>IF(Formulario!F280&lt;&gt;"",IF(Formulario!F280=" "," ",Formulario!F280)," ")</f>
        <v xml:space="preserve"> </v>
      </c>
      <c r="K272" s="144" t="str">
        <f>IF(Formulario!G280&lt;&gt;"",IF(Formulario!G280=" "," ",Formulario!G280)," ")</f>
        <v xml:space="preserve"> </v>
      </c>
      <c r="L272" s="144" t="str">
        <f>IF(Formulario!H280&lt;&gt;"",IF(Formulario!H280=" "," ",Formulario!H280)," ")</f>
        <v xml:space="preserve"> </v>
      </c>
      <c r="M272" s="144" t="str">
        <f>IF(Formulario!I280&lt;&gt;"",IF(Formulario!I280=" "," ",Formulario!I280)," ")</f>
        <v xml:space="preserve"> </v>
      </c>
      <c r="N272" s="145" t="str">
        <f>IF(Formulario!J280&lt;&gt;"",IF(Formulario!J280=" "," ",Formulario!J280),IF(G272=".",".","Falta Fecha"))</f>
        <v>.</v>
      </c>
      <c r="O272" s="155">
        <f>Formulario!L280</f>
        <v>0</v>
      </c>
      <c r="P272" s="146">
        <f>IF(O272=1,"09:00",Formulario!M280)</f>
        <v>0</v>
      </c>
      <c r="Q272" s="146">
        <f>IF(O272=1,"18:30",Formulario!N280)</f>
        <v>0</v>
      </c>
      <c r="R272" s="146" t="str">
        <f>IF(Formulario!O280&lt;&gt;"",IF(Formulario!O280=" ",".",Formulario!O280),".")</f>
        <v>Post Venta</v>
      </c>
      <c r="S272" s="141" t="s">
        <v>131</v>
      </c>
    </row>
    <row r="273" spans="1:19">
      <c r="A273" s="141">
        <f>Formulario!B281</f>
        <v>0</v>
      </c>
      <c r="B273" s="144" t="str">
        <f>IF(G273="."," ",Formulario!D$5)</f>
        <v xml:space="preserve"> </v>
      </c>
      <c r="C273" s="144" t="str">
        <f>IF(G273=".","",Formulario!D$6)</f>
        <v/>
      </c>
      <c r="D273" s="144" t="str">
        <f>IF(H273=".","",Formulario!D$7)</f>
        <v/>
      </c>
      <c r="E273" s="144" t="str">
        <f>IF(G273=".","",Formulario!J$5)</f>
        <v/>
      </c>
      <c r="F273" s="145" t="str">
        <f>IF(G273=".","",Formulario!J$6)</f>
        <v/>
      </c>
      <c r="G273" s="180" t="str">
        <f>IF(Formulario!C281&lt;&gt;"",IF(Formulario!C281=" ","Falta Depto",IF(H273=".","Error En Descripción",Formulario!C281)),IF(H273=".",".","Falta Datos"))</f>
        <v>.</v>
      </c>
      <c r="H273" s="144" t="str">
        <f>IF(Formulario!D281&lt;&gt;"",IF(Formulario!D281=" ",".",Formulario!D281),".")</f>
        <v>.</v>
      </c>
      <c r="I273" s="144" t="str">
        <f>IF(Formulario!E281&lt;&gt;"",IF(Formulario!E281=" "," ",Formulario!E281),IF(G273=".",".","Falta Propietario"))</f>
        <v>.</v>
      </c>
      <c r="J273" s="144" t="str">
        <f>IF(Formulario!F281&lt;&gt;"",IF(Formulario!F281=" "," ",Formulario!F281)," ")</f>
        <v xml:space="preserve"> </v>
      </c>
      <c r="K273" s="144" t="str">
        <f>IF(Formulario!G281&lt;&gt;"",IF(Formulario!G281=" "," ",Formulario!G281)," ")</f>
        <v xml:space="preserve"> </v>
      </c>
      <c r="L273" s="144" t="str">
        <f>IF(Formulario!H281&lt;&gt;"",IF(Formulario!H281=" "," ",Formulario!H281)," ")</f>
        <v xml:space="preserve"> </v>
      </c>
      <c r="M273" s="144" t="str">
        <f>IF(Formulario!I281&lt;&gt;"",IF(Formulario!I281=" "," ",Formulario!I281)," ")</f>
        <v xml:space="preserve"> </v>
      </c>
      <c r="N273" s="145" t="str">
        <f>IF(Formulario!J281&lt;&gt;"",IF(Formulario!J281=" "," ",Formulario!J281),IF(G273=".",".","Falta Fecha"))</f>
        <v>.</v>
      </c>
      <c r="O273" s="155">
        <f>Formulario!L281</f>
        <v>0</v>
      </c>
      <c r="P273" s="146">
        <f>IF(O273=1,"09:00",Formulario!M281)</f>
        <v>0</v>
      </c>
      <c r="Q273" s="146">
        <f>IF(O273=1,"18:30",Formulario!N281)</f>
        <v>0</v>
      </c>
      <c r="R273" s="146" t="str">
        <f>IF(Formulario!O281&lt;&gt;"",IF(Formulario!O281=" ",".",Formulario!O281),".")</f>
        <v>Post Venta</v>
      </c>
      <c r="S273" s="141" t="s">
        <v>131</v>
      </c>
    </row>
    <row r="274" spans="1:19">
      <c r="A274" s="141">
        <f>Formulario!B282</f>
        <v>0</v>
      </c>
      <c r="B274" s="144" t="str">
        <f>IF(G274="."," ",Formulario!D$5)</f>
        <v xml:space="preserve"> </v>
      </c>
      <c r="C274" s="144" t="str">
        <f>IF(G274=".","",Formulario!D$6)</f>
        <v/>
      </c>
      <c r="D274" s="144" t="str">
        <f>IF(H274=".","",Formulario!D$7)</f>
        <v/>
      </c>
      <c r="E274" s="144" t="str">
        <f>IF(G274=".","",Formulario!J$5)</f>
        <v/>
      </c>
      <c r="F274" s="145" t="str">
        <f>IF(G274=".","",Formulario!J$6)</f>
        <v/>
      </c>
      <c r="G274" s="180" t="str">
        <f>IF(Formulario!C282&lt;&gt;"",IF(Formulario!C282=" ","Falta Depto",IF(H274=".","Error En Descripción",Formulario!C282)),IF(H274=".",".","Falta Datos"))</f>
        <v>.</v>
      </c>
      <c r="H274" s="144" t="str">
        <f>IF(Formulario!D282&lt;&gt;"",IF(Formulario!D282=" ",".",Formulario!D282),".")</f>
        <v>.</v>
      </c>
      <c r="I274" s="144" t="str">
        <f>IF(Formulario!E282&lt;&gt;"",IF(Formulario!E282=" "," ",Formulario!E282),IF(G274=".",".","Falta Propietario"))</f>
        <v>.</v>
      </c>
      <c r="J274" s="144" t="str">
        <f>IF(Formulario!F282&lt;&gt;"",IF(Formulario!F282=" "," ",Formulario!F282)," ")</f>
        <v xml:space="preserve"> </v>
      </c>
      <c r="K274" s="144" t="str">
        <f>IF(Formulario!G282&lt;&gt;"",IF(Formulario!G282=" "," ",Formulario!G282)," ")</f>
        <v xml:space="preserve"> </v>
      </c>
      <c r="L274" s="144" t="str">
        <f>IF(Formulario!H282&lt;&gt;"",IF(Formulario!H282=" "," ",Formulario!H282)," ")</f>
        <v xml:space="preserve"> </v>
      </c>
      <c r="M274" s="144" t="str">
        <f>IF(Formulario!I282&lt;&gt;"",IF(Formulario!I282=" "," ",Formulario!I282)," ")</f>
        <v xml:space="preserve"> </v>
      </c>
      <c r="N274" s="145" t="str">
        <f>IF(Formulario!J282&lt;&gt;"",IF(Formulario!J282=" "," ",Formulario!J282),IF(G274=".",".","Falta Fecha"))</f>
        <v>.</v>
      </c>
      <c r="O274" s="155">
        <f>Formulario!L282</f>
        <v>0</v>
      </c>
      <c r="P274" s="146">
        <f>IF(O274=1,"09:00",Formulario!M282)</f>
        <v>0</v>
      </c>
      <c r="Q274" s="146">
        <f>IF(O274=1,"18:30",Formulario!N282)</f>
        <v>0</v>
      </c>
      <c r="R274" s="146" t="str">
        <f>IF(Formulario!O282&lt;&gt;"",IF(Formulario!O282=" ",".",Formulario!O282),".")</f>
        <v>Post Venta</v>
      </c>
      <c r="S274" s="141" t="s">
        <v>131</v>
      </c>
    </row>
    <row r="275" spans="1:19">
      <c r="A275" s="141">
        <f>Formulario!B283</f>
        <v>0</v>
      </c>
      <c r="B275" s="144" t="str">
        <f>IF(G275="."," ",Formulario!D$5)</f>
        <v xml:space="preserve"> </v>
      </c>
      <c r="C275" s="144" t="str">
        <f>IF(G275=".","",Formulario!D$6)</f>
        <v/>
      </c>
      <c r="D275" s="144" t="str">
        <f>IF(H275=".","",Formulario!D$7)</f>
        <v/>
      </c>
      <c r="E275" s="144" t="str">
        <f>IF(G275=".","",Formulario!J$5)</f>
        <v/>
      </c>
      <c r="F275" s="145" t="str">
        <f>IF(G275=".","",Formulario!J$6)</f>
        <v/>
      </c>
      <c r="G275" s="180" t="str">
        <f>IF(Formulario!C283&lt;&gt;"",IF(Formulario!C283=" ","Falta Depto",IF(H275=".","Error En Descripción",Formulario!C283)),IF(H275=".",".","Falta Datos"))</f>
        <v>.</v>
      </c>
      <c r="H275" s="144" t="str">
        <f>IF(Formulario!D283&lt;&gt;"",IF(Formulario!D283=" ",".",Formulario!D283),".")</f>
        <v>.</v>
      </c>
      <c r="I275" s="144" t="str">
        <f>IF(Formulario!E283&lt;&gt;"",IF(Formulario!E283=" "," ",Formulario!E283),IF(G275=".",".","Falta Propietario"))</f>
        <v>.</v>
      </c>
      <c r="J275" s="144" t="str">
        <f>IF(Formulario!F283&lt;&gt;"",IF(Formulario!F283=" "," ",Formulario!F283)," ")</f>
        <v xml:space="preserve"> </v>
      </c>
      <c r="K275" s="144" t="str">
        <f>IF(Formulario!G283&lt;&gt;"",IF(Formulario!G283=" "," ",Formulario!G283)," ")</f>
        <v xml:space="preserve"> </v>
      </c>
      <c r="L275" s="144" t="str">
        <f>IF(Formulario!H283&lt;&gt;"",IF(Formulario!H283=" "," ",Formulario!H283)," ")</f>
        <v xml:space="preserve"> </v>
      </c>
      <c r="M275" s="144" t="str">
        <f>IF(Formulario!I283&lt;&gt;"",IF(Formulario!I283=" "," ",Formulario!I283)," ")</f>
        <v xml:space="preserve"> </v>
      </c>
      <c r="N275" s="145" t="str">
        <f>IF(Formulario!J283&lt;&gt;"",IF(Formulario!J283=" "," ",Formulario!J283),IF(G275=".",".","Falta Fecha"))</f>
        <v>.</v>
      </c>
      <c r="O275" s="155">
        <f>Formulario!L283</f>
        <v>0</v>
      </c>
      <c r="P275" s="146">
        <f>IF(O275=1,"09:00",Formulario!M283)</f>
        <v>0</v>
      </c>
      <c r="Q275" s="146">
        <f>IF(O275=1,"18:30",Formulario!N283)</f>
        <v>0</v>
      </c>
      <c r="R275" s="146" t="str">
        <f>IF(Formulario!O283&lt;&gt;"",IF(Formulario!O283=" ",".",Formulario!O283),".")</f>
        <v>Post Venta</v>
      </c>
      <c r="S275" s="141" t="s">
        <v>131</v>
      </c>
    </row>
    <row r="276" spans="1:19">
      <c r="A276" s="141">
        <f>Formulario!B284</f>
        <v>0</v>
      </c>
      <c r="B276" s="144" t="str">
        <f>IF(G276="."," ",Formulario!D$5)</f>
        <v xml:space="preserve"> </v>
      </c>
      <c r="C276" s="144" t="str">
        <f>IF(G276=".","",Formulario!D$6)</f>
        <v/>
      </c>
      <c r="D276" s="144" t="str">
        <f>IF(H276=".","",Formulario!D$7)</f>
        <v/>
      </c>
      <c r="E276" s="144" t="str">
        <f>IF(G276=".","",Formulario!J$5)</f>
        <v/>
      </c>
      <c r="F276" s="145" t="str">
        <f>IF(G276=".","",Formulario!J$6)</f>
        <v/>
      </c>
      <c r="G276" s="180" t="str">
        <f>IF(Formulario!C284&lt;&gt;"",IF(Formulario!C284=" ","Falta Depto",IF(H276=".","Error En Descripción",Formulario!C284)),IF(H276=".",".","Falta Datos"))</f>
        <v>.</v>
      </c>
      <c r="H276" s="144" t="str">
        <f>IF(Formulario!D284&lt;&gt;"",IF(Formulario!D284=" ",".",Formulario!D284),".")</f>
        <v>.</v>
      </c>
      <c r="I276" s="144" t="str">
        <f>IF(Formulario!E284&lt;&gt;"",IF(Formulario!E284=" "," ",Formulario!E284),IF(G276=".",".","Falta Propietario"))</f>
        <v>.</v>
      </c>
      <c r="J276" s="144" t="str">
        <f>IF(Formulario!F284&lt;&gt;"",IF(Formulario!F284=" "," ",Formulario!F284)," ")</f>
        <v xml:space="preserve"> </v>
      </c>
      <c r="K276" s="144" t="str">
        <f>IF(Formulario!G284&lt;&gt;"",IF(Formulario!G284=" "," ",Formulario!G284)," ")</f>
        <v xml:space="preserve"> </v>
      </c>
      <c r="L276" s="144" t="str">
        <f>IF(Formulario!H284&lt;&gt;"",IF(Formulario!H284=" "," ",Formulario!H284)," ")</f>
        <v xml:space="preserve"> </v>
      </c>
      <c r="M276" s="144" t="str">
        <f>IF(Formulario!I284&lt;&gt;"",IF(Formulario!I284=" "," ",Formulario!I284)," ")</f>
        <v xml:space="preserve"> </v>
      </c>
      <c r="N276" s="145" t="str">
        <f>IF(Formulario!J284&lt;&gt;"",IF(Formulario!J284=" "," ",Formulario!J284),IF(G276=".",".","Falta Fecha"))</f>
        <v>.</v>
      </c>
      <c r="O276" s="155">
        <f>Formulario!L284</f>
        <v>0</v>
      </c>
      <c r="P276" s="146">
        <f>IF(O276=1,"09:00",Formulario!M284)</f>
        <v>0</v>
      </c>
      <c r="Q276" s="146">
        <f>IF(O276=1,"18:30",Formulario!N284)</f>
        <v>0</v>
      </c>
      <c r="R276" s="146" t="str">
        <f>IF(Formulario!O284&lt;&gt;"",IF(Formulario!O284=" ",".",Formulario!O284),".")</f>
        <v>Post Venta</v>
      </c>
      <c r="S276" s="141" t="s">
        <v>131</v>
      </c>
    </row>
    <row r="277" spans="1:19">
      <c r="A277" s="141">
        <f>Formulario!B285</f>
        <v>0</v>
      </c>
      <c r="B277" s="144" t="str">
        <f>IF(G277="."," ",Formulario!D$5)</f>
        <v xml:space="preserve"> </v>
      </c>
      <c r="C277" s="144" t="str">
        <f>IF(G277=".","",Formulario!D$6)</f>
        <v/>
      </c>
      <c r="D277" s="144" t="str">
        <f>IF(H277=".","",Formulario!D$7)</f>
        <v/>
      </c>
      <c r="E277" s="144" t="str">
        <f>IF(G277=".","",Formulario!J$5)</f>
        <v/>
      </c>
      <c r="F277" s="145" t="str">
        <f>IF(G277=".","",Formulario!J$6)</f>
        <v/>
      </c>
      <c r="G277" s="180" t="str">
        <f>IF(Formulario!C285&lt;&gt;"",IF(Formulario!C285=" ","Falta Depto",IF(H277=".","Error En Descripción",Formulario!C285)),IF(H277=".",".","Falta Datos"))</f>
        <v>.</v>
      </c>
      <c r="H277" s="144" t="str">
        <f>IF(Formulario!D285&lt;&gt;"",IF(Formulario!D285=" ",".",Formulario!D285),".")</f>
        <v>.</v>
      </c>
      <c r="I277" s="144" t="str">
        <f>IF(Formulario!E285&lt;&gt;"",IF(Formulario!E285=" "," ",Formulario!E285),IF(G277=".",".","Falta Propietario"))</f>
        <v>.</v>
      </c>
      <c r="J277" s="144" t="str">
        <f>IF(Formulario!F285&lt;&gt;"",IF(Formulario!F285=" "," ",Formulario!F285)," ")</f>
        <v xml:space="preserve"> </v>
      </c>
      <c r="K277" s="144" t="str">
        <f>IF(Formulario!G285&lt;&gt;"",IF(Formulario!G285=" "," ",Formulario!G285)," ")</f>
        <v xml:space="preserve"> </v>
      </c>
      <c r="L277" s="144" t="str">
        <f>IF(Formulario!H285&lt;&gt;"",IF(Formulario!H285=" "," ",Formulario!H285)," ")</f>
        <v xml:space="preserve"> </v>
      </c>
      <c r="M277" s="144" t="str">
        <f>IF(Formulario!I285&lt;&gt;"",IF(Formulario!I285=" "," ",Formulario!I285)," ")</f>
        <v xml:space="preserve"> </v>
      </c>
      <c r="N277" s="145" t="str">
        <f>IF(Formulario!J285&lt;&gt;"",IF(Formulario!J285=" "," ",Formulario!J285),IF(G277=".",".","Falta Fecha"))</f>
        <v>.</v>
      </c>
      <c r="O277" s="155">
        <f>Formulario!L285</f>
        <v>0</v>
      </c>
      <c r="P277" s="146">
        <f>IF(O277=1,"09:00",Formulario!M285)</f>
        <v>0</v>
      </c>
      <c r="Q277" s="146">
        <f>IF(O277=1,"18:30",Formulario!N285)</f>
        <v>0</v>
      </c>
      <c r="R277" s="146" t="str">
        <f>IF(Formulario!O285&lt;&gt;"",IF(Formulario!O285=" ",".",Formulario!O285),".")</f>
        <v>Post Venta</v>
      </c>
      <c r="S277" s="141" t="s">
        <v>131</v>
      </c>
    </row>
    <row r="278" spans="1:19">
      <c r="A278" s="141">
        <f>Formulario!B286</f>
        <v>0</v>
      </c>
      <c r="B278" s="144" t="str">
        <f>IF(G278="."," ",Formulario!D$5)</f>
        <v xml:space="preserve"> </v>
      </c>
      <c r="C278" s="144" t="str">
        <f>IF(G278=".","",Formulario!D$6)</f>
        <v/>
      </c>
      <c r="D278" s="144" t="str">
        <f>IF(H278=".","",Formulario!D$7)</f>
        <v/>
      </c>
      <c r="E278" s="144" t="str">
        <f>IF(G278=".","",Formulario!J$5)</f>
        <v/>
      </c>
      <c r="F278" s="145" t="str">
        <f>IF(G278=".","",Formulario!J$6)</f>
        <v/>
      </c>
      <c r="G278" s="180" t="str">
        <f>IF(Formulario!C286&lt;&gt;"",IF(Formulario!C286=" ","Falta Depto",IF(H278=".","Error En Descripción",Formulario!C286)),IF(H278=".",".","Falta Datos"))</f>
        <v>.</v>
      </c>
      <c r="H278" s="144" t="str">
        <f>IF(Formulario!D286&lt;&gt;"",IF(Formulario!D286=" ",".",Formulario!D286),".")</f>
        <v>.</v>
      </c>
      <c r="I278" s="144" t="str">
        <f>IF(Formulario!E286&lt;&gt;"",IF(Formulario!E286=" "," ",Formulario!E286),IF(G278=".",".","Falta Propietario"))</f>
        <v>.</v>
      </c>
      <c r="J278" s="144" t="str">
        <f>IF(Formulario!F286&lt;&gt;"",IF(Formulario!F286=" "," ",Formulario!F286)," ")</f>
        <v xml:space="preserve"> </v>
      </c>
      <c r="K278" s="144" t="str">
        <f>IF(Formulario!G286&lt;&gt;"",IF(Formulario!G286=" "," ",Formulario!G286)," ")</f>
        <v xml:space="preserve"> </v>
      </c>
      <c r="L278" s="144" t="str">
        <f>IF(Formulario!H286&lt;&gt;"",IF(Formulario!H286=" "," ",Formulario!H286)," ")</f>
        <v xml:space="preserve"> </v>
      </c>
      <c r="M278" s="144" t="str">
        <f>IF(Formulario!I286&lt;&gt;"",IF(Formulario!I286=" "," ",Formulario!I286)," ")</f>
        <v xml:space="preserve"> </v>
      </c>
      <c r="N278" s="145" t="str">
        <f>IF(Formulario!J286&lt;&gt;"",IF(Formulario!J286=" "," ",Formulario!J286),IF(G278=".",".","Falta Fecha"))</f>
        <v>.</v>
      </c>
      <c r="O278" s="155">
        <f>Formulario!L286</f>
        <v>0</v>
      </c>
      <c r="P278" s="146">
        <f>IF(O278=1,"09:00",Formulario!M286)</f>
        <v>0</v>
      </c>
      <c r="Q278" s="146">
        <f>IF(O278=1,"18:30",Formulario!N286)</f>
        <v>0</v>
      </c>
      <c r="R278" s="146" t="str">
        <f>IF(Formulario!O286&lt;&gt;"",IF(Formulario!O286=" ",".",Formulario!O286),".")</f>
        <v>Post Venta</v>
      </c>
      <c r="S278" s="141" t="s">
        <v>131</v>
      </c>
    </row>
    <row r="279" spans="1:19">
      <c r="A279" s="141">
        <f>Formulario!B287</f>
        <v>0</v>
      </c>
      <c r="B279" s="144" t="str">
        <f>IF(G279="."," ",Formulario!D$5)</f>
        <v xml:space="preserve"> </v>
      </c>
      <c r="C279" s="144" t="str">
        <f>IF(G279=".","",Formulario!D$6)</f>
        <v/>
      </c>
      <c r="D279" s="144" t="str">
        <f>IF(H279=".","",Formulario!D$7)</f>
        <v/>
      </c>
      <c r="E279" s="144" t="str">
        <f>IF(G279=".","",Formulario!J$5)</f>
        <v/>
      </c>
      <c r="F279" s="145" t="str">
        <f>IF(G279=".","",Formulario!J$6)</f>
        <v/>
      </c>
      <c r="G279" s="180" t="str">
        <f>IF(Formulario!C287&lt;&gt;"",IF(Formulario!C287=" ","Falta Depto",IF(H279=".","Error En Descripción",Formulario!C287)),IF(H279=".",".","Falta Datos"))</f>
        <v>.</v>
      </c>
      <c r="H279" s="144" t="str">
        <f>IF(Formulario!D287&lt;&gt;"",IF(Formulario!D287=" ",".",Formulario!D287),".")</f>
        <v>.</v>
      </c>
      <c r="I279" s="144" t="str">
        <f>IF(Formulario!E287&lt;&gt;"",IF(Formulario!E287=" "," ",Formulario!E287),IF(G279=".",".","Falta Propietario"))</f>
        <v>.</v>
      </c>
      <c r="J279" s="144" t="str">
        <f>IF(Formulario!F287&lt;&gt;"",IF(Formulario!F287=" "," ",Formulario!F287)," ")</f>
        <v xml:space="preserve"> </v>
      </c>
      <c r="K279" s="144" t="str">
        <f>IF(Formulario!G287&lt;&gt;"",IF(Formulario!G287=" "," ",Formulario!G287)," ")</f>
        <v xml:space="preserve"> </v>
      </c>
      <c r="L279" s="144" t="str">
        <f>IF(Formulario!H287&lt;&gt;"",IF(Formulario!H287=" "," ",Formulario!H287)," ")</f>
        <v xml:space="preserve"> </v>
      </c>
      <c r="M279" s="144" t="str">
        <f>IF(Formulario!I287&lt;&gt;"",IF(Formulario!I287=" "," ",Formulario!I287)," ")</f>
        <v xml:space="preserve"> </v>
      </c>
      <c r="N279" s="145" t="str">
        <f>IF(Formulario!J287&lt;&gt;"",IF(Formulario!J287=" "," ",Formulario!J287),IF(G279=".",".","Falta Fecha"))</f>
        <v>.</v>
      </c>
      <c r="O279" s="155">
        <f>Formulario!L287</f>
        <v>0</v>
      </c>
      <c r="P279" s="146">
        <f>IF(O279=1,"09:00",Formulario!M287)</f>
        <v>0</v>
      </c>
      <c r="Q279" s="146">
        <f>IF(O279=1,"18:30",Formulario!N287)</f>
        <v>0</v>
      </c>
      <c r="R279" s="146" t="str">
        <f>IF(Formulario!O287&lt;&gt;"",IF(Formulario!O287=" ",".",Formulario!O287),".")</f>
        <v>Post Venta</v>
      </c>
      <c r="S279" s="141" t="s">
        <v>131</v>
      </c>
    </row>
    <row r="280" spans="1:19">
      <c r="A280" s="141">
        <f>Formulario!B288</f>
        <v>0</v>
      </c>
      <c r="B280" s="144" t="str">
        <f>IF(G280="."," ",Formulario!D$5)</f>
        <v xml:space="preserve"> </v>
      </c>
      <c r="C280" s="144" t="str">
        <f>IF(G280=".","",Formulario!D$6)</f>
        <v/>
      </c>
      <c r="D280" s="144" t="str">
        <f>IF(H280=".","",Formulario!D$7)</f>
        <v/>
      </c>
      <c r="E280" s="144" t="str">
        <f>IF(G280=".","",Formulario!J$5)</f>
        <v/>
      </c>
      <c r="F280" s="145" t="str">
        <f>IF(G280=".","",Formulario!J$6)</f>
        <v/>
      </c>
      <c r="G280" s="180" t="str">
        <f>IF(Formulario!C288&lt;&gt;"",IF(Formulario!C288=" ","Falta Depto",IF(H280=".","Error En Descripción",Formulario!C288)),IF(H280=".",".","Falta Datos"))</f>
        <v>.</v>
      </c>
      <c r="H280" s="144" t="str">
        <f>IF(Formulario!D288&lt;&gt;"",IF(Formulario!D288=" ",".",Formulario!D288),".")</f>
        <v>.</v>
      </c>
      <c r="I280" s="144" t="str">
        <f>IF(Formulario!E288&lt;&gt;"",IF(Formulario!E288=" "," ",Formulario!E288),IF(G280=".",".","Falta Propietario"))</f>
        <v>.</v>
      </c>
      <c r="J280" s="144" t="str">
        <f>IF(Formulario!F288&lt;&gt;"",IF(Formulario!F288=" "," ",Formulario!F288)," ")</f>
        <v xml:space="preserve"> </v>
      </c>
      <c r="K280" s="144" t="str">
        <f>IF(Formulario!G288&lt;&gt;"",IF(Formulario!G288=" "," ",Formulario!G288)," ")</f>
        <v xml:space="preserve"> </v>
      </c>
      <c r="L280" s="144" t="str">
        <f>IF(Formulario!H288&lt;&gt;"",IF(Formulario!H288=" "," ",Formulario!H288)," ")</f>
        <v xml:space="preserve"> </v>
      </c>
      <c r="M280" s="144" t="str">
        <f>IF(Formulario!I288&lt;&gt;"",IF(Formulario!I288=" "," ",Formulario!I288)," ")</f>
        <v xml:space="preserve"> </v>
      </c>
      <c r="N280" s="145" t="str">
        <f>IF(Formulario!J288&lt;&gt;"",IF(Formulario!J288=" "," ",Formulario!J288),IF(G280=".",".","Falta Fecha"))</f>
        <v>.</v>
      </c>
      <c r="O280" s="155">
        <f>Formulario!L288</f>
        <v>0</v>
      </c>
      <c r="P280" s="146">
        <f>IF(O280=1,"09:00",Formulario!M288)</f>
        <v>0</v>
      </c>
      <c r="Q280" s="146">
        <f>IF(O280=1,"18:30",Formulario!N288)</f>
        <v>0</v>
      </c>
      <c r="R280" s="146" t="str">
        <f>IF(Formulario!O288&lt;&gt;"",IF(Formulario!O288=" ",".",Formulario!O288),".")</f>
        <v>Post Venta</v>
      </c>
      <c r="S280" s="141" t="s">
        <v>131</v>
      </c>
    </row>
    <row r="281" spans="1:19">
      <c r="A281" s="141">
        <f>Formulario!B289</f>
        <v>0</v>
      </c>
      <c r="B281" s="144" t="str">
        <f>IF(G281="."," ",Formulario!D$5)</f>
        <v xml:space="preserve"> </v>
      </c>
      <c r="C281" s="144" t="str">
        <f>IF(G281=".","",Formulario!D$6)</f>
        <v/>
      </c>
      <c r="D281" s="144" t="str">
        <f>IF(H281=".","",Formulario!D$7)</f>
        <v/>
      </c>
      <c r="E281" s="144" t="str">
        <f>IF(G281=".","",Formulario!J$5)</f>
        <v/>
      </c>
      <c r="F281" s="145" t="str">
        <f>IF(G281=".","",Formulario!J$6)</f>
        <v/>
      </c>
      <c r="G281" s="180" t="str">
        <f>IF(Formulario!C289&lt;&gt;"",IF(Formulario!C289=" ","Falta Depto",IF(H281=".","Error En Descripción",Formulario!C289)),IF(H281=".",".","Falta Datos"))</f>
        <v>.</v>
      </c>
      <c r="H281" s="144" t="str">
        <f>IF(Formulario!D289&lt;&gt;"",IF(Formulario!D289=" ",".",Formulario!D289),".")</f>
        <v>.</v>
      </c>
      <c r="I281" s="144" t="str">
        <f>IF(Formulario!E289&lt;&gt;"",IF(Formulario!E289=" "," ",Formulario!E289),IF(G281=".",".","Falta Propietario"))</f>
        <v>.</v>
      </c>
      <c r="J281" s="144" t="str">
        <f>IF(Formulario!F289&lt;&gt;"",IF(Formulario!F289=" "," ",Formulario!F289)," ")</f>
        <v xml:space="preserve"> </v>
      </c>
      <c r="K281" s="144" t="str">
        <f>IF(Formulario!G289&lt;&gt;"",IF(Formulario!G289=" "," ",Formulario!G289)," ")</f>
        <v xml:space="preserve"> </v>
      </c>
      <c r="L281" s="144" t="str">
        <f>IF(Formulario!H289&lt;&gt;"",IF(Formulario!H289=" "," ",Formulario!H289)," ")</f>
        <v xml:space="preserve"> </v>
      </c>
      <c r="M281" s="144" t="str">
        <f>IF(Formulario!I289&lt;&gt;"",IF(Formulario!I289=" "," ",Formulario!I289)," ")</f>
        <v xml:space="preserve"> </v>
      </c>
      <c r="N281" s="145" t="str">
        <f>IF(Formulario!J289&lt;&gt;"",IF(Formulario!J289=" "," ",Formulario!J289),IF(G281=".",".","Falta Fecha"))</f>
        <v>.</v>
      </c>
      <c r="O281" s="155">
        <f>Formulario!L289</f>
        <v>0</v>
      </c>
      <c r="P281" s="146">
        <f>IF(O281=1,"09:00",Formulario!M289)</f>
        <v>0</v>
      </c>
      <c r="Q281" s="146">
        <f>IF(O281=1,"18:30",Formulario!N289)</f>
        <v>0</v>
      </c>
      <c r="R281" s="146" t="str">
        <f>IF(Formulario!O289&lt;&gt;"",IF(Formulario!O289=" ",".",Formulario!O289),".")</f>
        <v>Post Venta</v>
      </c>
      <c r="S281" s="141" t="s">
        <v>131</v>
      </c>
    </row>
    <row r="282" spans="1:19">
      <c r="A282" s="141">
        <f>Formulario!B290</f>
        <v>0</v>
      </c>
      <c r="B282" s="144" t="str">
        <f>IF(G282="."," ",Formulario!D$5)</f>
        <v xml:space="preserve"> </v>
      </c>
      <c r="C282" s="144" t="str">
        <f>IF(G282=".","",Formulario!D$6)</f>
        <v/>
      </c>
      <c r="D282" s="144" t="str">
        <f>IF(H282=".","",Formulario!D$7)</f>
        <v/>
      </c>
      <c r="E282" s="144" t="str">
        <f>IF(G282=".","",Formulario!J$5)</f>
        <v/>
      </c>
      <c r="F282" s="145" t="str">
        <f>IF(G282=".","",Formulario!J$6)</f>
        <v/>
      </c>
      <c r="G282" s="180" t="str">
        <f>IF(Formulario!C290&lt;&gt;"",IF(Formulario!C290=" ","Falta Depto",IF(H282=".","Error En Descripción",Formulario!C290)),IF(H282=".",".","Falta Datos"))</f>
        <v>.</v>
      </c>
      <c r="H282" s="144" t="str">
        <f>IF(Formulario!D290&lt;&gt;"",IF(Formulario!D290=" ",".",Formulario!D290),".")</f>
        <v>.</v>
      </c>
      <c r="I282" s="144" t="str">
        <f>IF(Formulario!E290&lt;&gt;"",IF(Formulario!E290=" "," ",Formulario!E290),IF(G282=".",".","Falta Propietario"))</f>
        <v>.</v>
      </c>
      <c r="J282" s="144" t="str">
        <f>IF(Formulario!F290&lt;&gt;"",IF(Formulario!F290=" "," ",Formulario!F290)," ")</f>
        <v xml:space="preserve"> </v>
      </c>
      <c r="K282" s="144" t="str">
        <f>IF(Formulario!G290&lt;&gt;"",IF(Formulario!G290=" "," ",Formulario!G290)," ")</f>
        <v xml:space="preserve"> </v>
      </c>
      <c r="L282" s="144" t="str">
        <f>IF(Formulario!H290&lt;&gt;"",IF(Formulario!H290=" "," ",Formulario!H290)," ")</f>
        <v xml:space="preserve"> </v>
      </c>
      <c r="M282" s="144" t="str">
        <f>IF(Formulario!I290&lt;&gt;"",IF(Formulario!I290=" "," ",Formulario!I290)," ")</f>
        <v xml:space="preserve"> </v>
      </c>
      <c r="N282" s="145" t="str">
        <f>IF(Formulario!J290&lt;&gt;"",IF(Formulario!J290=" "," ",Formulario!J290),IF(G282=".",".","Falta Fecha"))</f>
        <v>.</v>
      </c>
      <c r="O282" s="155">
        <f>Formulario!L290</f>
        <v>0</v>
      </c>
      <c r="P282" s="146">
        <f>IF(O282=1,"09:00",Formulario!M290)</f>
        <v>0</v>
      </c>
      <c r="Q282" s="146">
        <f>IF(O282=1,"18:30",Formulario!N290)</f>
        <v>0</v>
      </c>
      <c r="R282" s="146" t="str">
        <f>IF(Formulario!O290&lt;&gt;"",IF(Formulario!O290=" ",".",Formulario!O290),".")</f>
        <v>Post Venta</v>
      </c>
      <c r="S282" s="141" t="s">
        <v>131</v>
      </c>
    </row>
    <row r="283" spans="1:19">
      <c r="A283" s="141">
        <f>Formulario!B291</f>
        <v>0</v>
      </c>
      <c r="B283" s="144" t="str">
        <f>IF(G283="."," ",Formulario!D$5)</f>
        <v xml:space="preserve"> </v>
      </c>
      <c r="C283" s="144" t="str">
        <f>IF(G283=".","",Formulario!D$6)</f>
        <v/>
      </c>
      <c r="D283" s="144" t="str">
        <f>IF(H283=".","",Formulario!D$7)</f>
        <v/>
      </c>
      <c r="E283" s="144" t="str">
        <f>IF(G283=".","",Formulario!J$5)</f>
        <v/>
      </c>
      <c r="F283" s="145" t="str">
        <f>IF(G283=".","",Formulario!J$6)</f>
        <v/>
      </c>
      <c r="G283" s="180" t="str">
        <f>IF(Formulario!C291&lt;&gt;"",IF(Formulario!C291=" ","Falta Depto",IF(H283=".","Error En Descripción",Formulario!C291)),IF(H283=".",".","Falta Datos"))</f>
        <v>.</v>
      </c>
      <c r="H283" s="144" t="str">
        <f>IF(Formulario!D291&lt;&gt;"",IF(Formulario!D291=" ",".",Formulario!D291),".")</f>
        <v>.</v>
      </c>
      <c r="I283" s="144" t="str">
        <f>IF(Formulario!E291&lt;&gt;"",IF(Formulario!E291=" "," ",Formulario!E291),IF(G283=".",".","Falta Propietario"))</f>
        <v>.</v>
      </c>
      <c r="J283" s="144" t="str">
        <f>IF(Formulario!F291&lt;&gt;"",IF(Formulario!F291=" "," ",Formulario!F291)," ")</f>
        <v xml:space="preserve"> </v>
      </c>
      <c r="K283" s="144" t="str">
        <f>IF(Formulario!G291&lt;&gt;"",IF(Formulario!G291=" "," ",Formulario!G291)," ")</f>
        <v xml:space="preserve"> </v>
      </c>
      <c r="L283" s="144" t="str">
        <f>IF(Formulario!H291&lt;&gt;"",IF(Formulario!H291=" "," ",Formulario!H291)," ")</f>
        <v xml:space="preserve"> </v>
      </c>
      <c r="M283" s="144" t="str">
        <f>IF(Formulario!I291&lt;&gt;"",IF(Formulario!I291=" "," ",Formulario!I291)," ")</f>
        <v xml:space="preserve"> </v>
      </c>
      <c r="N283" s="145" t="str">
        <f>IF(Formulario!J291&lt;&gt;"",IF(Formulario!J291=" "," ",Formulario!J291),IF(G283=".",".","Falta Fecha"))</f>
        <v>.</v>
      </c>
      <c r="O283" s="155">
        <f>Formulario!L291</f>
        <v>0</v>
      </c>
      <c r="P283" s="146">
        <f>IF(O283=1,"09:00",Formulario!M291)</f>
        <v>0</v>
      </c>
      <c r="Q283" s="146">
        <f>IF(O283=1,"18:30",Formulario!N291)</f>
        <v>0</v>
      </c>
      <c r="R283" s="146" t="str">
        <f>IF(Formulario!O291&lt;&gt;"",IF(Formulario!O291=" ",".",Formulario!O291),".")</f>
        <v>Post Venta</v>
      </c>
      <c r="S283" s="141" t="s">
        <v>131</v>
      </c>
    </row>
    <row r="284" spans="1:19">
      <c r="A284" s="141">
        <f>Formulario!B292</f>
        <v>0</v>
      </c>
      <c r="B284" s="144" t="str">
        <f>IF(G284="."," ",Formulario!D$5)</f>
        <v xml:space="preserve"> </v>
      </c>
      <c r="C284" s="144" t="str">
        <f>IF(G284=".","",Formulario!D$6)</f>
        <v/>
      </c>
      <c r="D284" s="144" t="str">
        <f>IF(H284=".","",Formulario!D$7)</f>
        <v/>
      </c>
      <c r="E284" s="144" t="str">
        <f>IF(G284=".","",Formulario!J$5)</f>
        <v/>
      </c>
      <c r="F284" s="145" t="str">
        <f>IF(G284=".","",Formulario!J$6)</f>
        <v/>
      </c>
      <c r="G284" s="180" t="str">
        <f>IF(Formulario!C292&lt;&gt;"",IF(Formulario!C292=" ","Falta Depto",IF(H284=".","Error En Descripción",Formulario!C292)),IF(H284=".",".","Falta Datos"))</f>
        <v>.</v>
      </c>
      <c r="H284" s="144" t="str">
        <f>IF(Formulario!D292&lt;&gt;"",IF(Formulario!D292=" ",".",Formulario!D292),".")</f>
        <v>.</v>
      </c>
      <c r="I284" s="144" t="str">
        <f>IF(Formulario!E292&lt;&gt;"",IF(Formulario!E292=" "," ",Formulario!E292),IF(G284=".",".","Falta Propietario"))</f>
        <v>.</v>
      </c>
      <c r="J284" s="144" t="str">
        <f>IF(Formulario!F292&lt;&gt;"",IF(Formulario!F292=" "," ",Formulario!F292)," ")</f>
        <v xml:space="preserve"> </v>
      </c>
      <c r="K284" s="144" t="str">
        <f>IF(Formulario!G292&lt;&gt;"",IF(Formulario!G292=" "," ",Formulario!G292)," ")</f>
        <v xml:space="preserve"> </v>
      </c>
      <c r="L284" s="144" t="str">
        <f>IF(Formulario!H292&lt;&gt;"",IF(Formulario!H292=" "," ",Formulario!H292)," ")</f>
        <v xml:space="preserve"> </v>
      </c>
      <c r="M284" s="144" t="str">
        <f>IF(Formulario!I292&lt;&gt;"",IF(Formulario!I292=" "," ",Formulario!I292)," ")</f>
        <v xml:space="preserve"> </v>
      </c>
      <c r="N284" s="145" t="str">
        <f>IF(Formulario!J292&lt;&gt;"",IF(Formulario!J292=" "," ",Formulario!J292),IF(G284=".",".","Falta Fecha"))</f>
        <v>.</v>
      </c>
      <c r="O284" s="155">
        <f>Formulario!L292</f>
        <v>0</v>
      </c>
      <c r="P284" s="146">
        <f>IF(O284=1,"09:00",Formulario!M292)</f>
        <v>0</v>
      </c>
      <c r="Q284" s="146">
        <f>IF(O284=1,"18:30",Formulario!N292)</f>
        <v>0</v>
      </c>
      <c r="R284" s="146" t="str">
        <f>IF(Formulario!O292&lt;&gt;"",IF(Formulario!O292=" ",".",Formulario!O292),".")</f>
        <v>Post Venta</v>
      </c>
      <c r="S284" s="141" t="s">
        <v>131</v>
      </c>
    </row>
    <row r="285" spans="1:19">
      <c r="A285" s="141">
        <f>Formulario!B293</f>
        <v>0</v>
      </c>
      <c r="B285" s="144" t="str">
        <f>IF(G285="."," ",Formulario!D$5)</f>
        <v xml:space="preserve"> </v>
      </c>
      <c r="C285" s="144" t="str">
        <f>IF(G285=".","",Formulario!D$6)</f>
        <v/>
      </c>
      <c r="D285" s="144" t="str">
        <f>IF(H285=".","",Formulario!D$7)</f>
        <v/>
      </c>
      <c r="E285" s="144" t="str">
        <f>IF(G285=".","",Formulario!J$5)</f>
        <v/>
      </c>
      <c r="F285" s="145" t="str">
        <f>IF(G285=".","",Formulario!J$6)</f>
        <v/>
      </c>
      <c r="G285" s="180" t="str">
        <f>IF(Formulario!C293&lt;&gt;"",IF(Formulario!C293=" ","Falta Depto",IF(H285=".","Error En Descripción",Formulario!C293)),IF(H285=".",".","Falta Datos"))</f>
        <v>.</v>
      </c>
      <c r="H285" s="144" t="str">
        <f>IF(Formulario!D293&lt;&gt;"",IF(Formulario!D293=" ",".",Formulario!D293),".")</f>
        <v>.</v>
      </c>
      <c r="I285" s="144" t="str">
        <f>IF(Formulario!E293&lt;&gt;"",IF(Formulario!E293=" "," ",Formulario!E293),IF(G285=".",".","Falta Propietario"))</f>
        <v>.</v>
      </c>
      <c r="J285" s="144" t="str">
        <f>IF(Formulario!F293&lt;&gt;"",IF(Formulario!F293=" "," ",Formulario!F293)," ")</f>
        <v xml:space="preserve"> </v>
      </c>
      <c r="K285" s="144" t="str">
        <f>IF(Formulario!G293&lt;&gt;"",IF(Formulario!G293=" "," ",Formulario!G293)," ")</f>
        <v xml:space="preserve"> </v>
      </c>
      <c r="L285" s="144" t="str">
        <f>IF(Formulario!H293&lt;&gt;"",IF(Formulario!H293=" "," ",Formulario!H293)," ")</f>
        <v xml:space="preserve"> </v>
      </c>
      <c r="M285" s="144" t="str">
        <f>IF(Formulario!I293&lt;&gt;"",IF(Formulario!I293=" "," ",Formulario!I293)," ")</f>
        <v xml:space="preserve"> </v>
      </c>
      <c r="N285" s="145" t="str">
        <f>IF(Formulario!J293&lt;&gt;"",IF(Formulario!J293=" "," ",Formulario!J293),IF(G285=".",".","Falta Fecha"))</f>
        <v>.</v>
      </c>
      <c r="O285" s="155">
        <f>Formulario!L293</f>
        <v>0</v>
      </c>
      <c r="P285" s="146">
        <f>IF(O285=1,"09:00",Formulario!M293)</f>
        <v>0</v>
      </c>
      <c r="Q285" s="146">
        <f>IF(O285=1,"18:30",Formulario!N293)</f>
        <v>0</v>
      </c>
      <c r="R285" s="146" t="str">
        <f>IF(Formulario!O293&lt;&gt;"",IF(Formulario!O293=" ",".",Formulario!O293),".")</f>
        <v>Post Venta</v>
      </c>
      <c r="S285" s="141" t="s">
        <v>131</v>
      </c>
    </row>
    <row r="286" spans="1:19">
      <c r="A286" s="141">
        <f>Formulario!B294</f>
        <v>0</v>
      </c>
      <c r="B286" s="144" t="str">
        <f>IF(G286="."," ",Formulario!D$5)</f>
        <v xml:space="preserve"> </v>
      </c>
      <c r="C286" s="144" t="str">
        <f>IF(G286=".","",Formulario!D$6)</f>
        <v/>
      </c>
      <c r="D286" s="144" t="str">
        <f>IF(H286=".","",Formulario!D$7)</f>
        <v/>
      </c>
      <c r="E286" s="144" t="str">
        <f>IF(G286=".","",Formulario!J$5)</f>
        <v/>
      </c>
      <c r="F286" s="145" t="str">
        <f>IF(G286=".","",Formulario!J$6)</f>
        <v/>
      </c>
      <c r="G286" s="180" t="str">
        <f>IF(Formulario!C294&lt;&gt;"",IF(Formulario!C294=" ","Falta Depto",IF(H286=".","Error En Descripción",Formulario!C294)),IF(H286=".",".","Falta Datos"))</f>
        <v>.</v>
      </c>
      <c r="H286" s="144" t="str">
        <f>IF(Formulario!D294&lt;&gt;"",IF(Formulario!D294=" ",".",Formulario!D294),".")</f>
        <v>.</v>
      </c>
      <c r="I286" s="144" t="str">
        <f>IF(Formulario!E294&lt;&gt;"",IF(Formulario!E294=" "," ",Formulario!E294),IF(G286=".",".","Falta Propietario"))</f>
        <v>.</v>
      </c>
      <c r="J286" s="144" t="str">
        <f>IF(Formulario!F294&lt;&gt;"",IF(Formulario!F294=" "," ",Formulario!F294)," ")</f>
        <v xml:space="preserve"> </v>
      </c>
      <c r="K286" s="144" t="str">
        <f>IF(Formulario!G294&lt;&gt;"",IF(Formulario!G294=" "," ",Formulario!G294)," ")</f>
        <v xml:space="preserve"> </v>
      </c>
      <c r="L286" s="144" t="str">
        <f>IF(Formulario!H294&lt;&gt;"",IF(Formulario!H294=" "," ",Formulario!H294)," ")</f>
        <v xml:space="preserve"> </v>
      </c>
      <c r="M286" s="144" t="str">
        <f>IF(Formulario!I294&lt;&gt;"",IF(Formulario!I294=" "," ",Formulario!I294)," ")</f>
        <v xml:space="preserve"> </v>
      </c>
      <c r="N286" s="145" t="str">
        <f>IF(Formulario!J294&lt;&gt;"",IF(Formulario!J294=" "," ",Formulario!J294),IF(G286=".",".","Falta Fecha"))</f>
        <v>.</v>
      </c>
      <c r="O286" s="155">
        <f>Formulario!L294</f>
        <v>0</v>
      </c>
      <c r="P286" s="146">
        <f>IF(O286=1,"09:00",Formulario!M294)</f>
        <v>0</v>
      </c>
      <c r="Q286" s="146">
        <f>IF(O286=1,"18:30",Formulario!N294)</f>
        <v>0</v>
      </c>
      <c r="R286" s="146" t="str">
        <f>IF(Formulario!O294&lt;&gt;"",IF(Formulario!O294=" ",".",Formulario!O294),".")</f>
        <v>Post Venta</v>
      </c>
      <c r="S286" s="141" t="s">
        <v>131</v>
      </c>
    </row>
    <row r="287" spans="1:19">
      <c r="A287" s="141">
        <f>Formulario!B295</f>
        <v>0</v>
      </c>
      <c r="B287" s="144" t="str">
        <f>IF(G287="."," ",Formulario!D$5)</f>
        <v xml:space="preserve"> </v>
      </c>
      <c r="C287" s="144" t="str">
        <f>IF(G287=".","",Formulario!D$6)</f>
        <v/>
      </c>
      <c r="D287" s="144" t="str">
        <f>IF(H287=".","",Formulario!D$7)</f>
        <v/>
      </c>
      <c r="E287" s="144" t="str">
        <f>IF(G287=".","",Formulario!J$5)</f>
        <v/>
      </c>
      <c r="F287" s="145" t="str">
        <f>IF(G287=".","",Formulario!J$6)</f>
        <v/>
      </c>
      <c r="G287" s="180" t="str">
        <f>IF(Formulario!C295&lt;&gt;"",IF(Formulario!C295=" ","Falta Depto",IF(H287=".","Error En Descripción",Formulario!C295)),IF(H287=".",".","Falta Datos"))</f>
        <v>.</v>
      </c>
      <c r="H287" s="144" t="str">
        <f>IF(Formulario!D295&lt;&gt;"",IF(Formulario!D295=" ",".",Formulario!D295),".")</f>
        <v>.</v>
      </c>
      <c r="I287" s="144" t="str">
        <f>IF(Formulario!E295&lt;&gt;"",IF(Formulario!E295=" "," ",Formulario!E295),IF(G287=".",".","Falta Propietario"))</f>
        <v>.</v>
      </c>
      <c r="J287" s="144" t="str">
        <f>IF(Formulario!F295&lt;&gt;"",IF(Formulario!F295=" "," ",Formulario!F295)," ")</f>
        <v xml:space="preserve"> </v>
      </c>
      <c r="K287" s="144" t="str">
        <f>IF(Formulario!G295&lt;&gt;"",IF(Formulario!G295=" "," ",Formulario!G295)," ")</f>
        <v xml:space="preserve"> </v>
      </c>
      <c r="L287" s="144" t="str">
        <f>IF(Formulario!H295&lt;&gt;"",IF(Formulario!H295=" "," ",Formulario!H295)," ")</f>
        <v xml:space="preserve"> </v>
      </c>
      <c r="M287" s="144" t="str">
        <f>IF(Formulario!I295&lt;&gt;"",IF(Formulario!I295=" "," ",Formulario!I295)," ")</f>
        <v xml:space="preserve"> </v>
      </c>
      <c r="N287" s="145" t="str">
        <f>IF(Formulario!J295&lt;&gt;"",IF(Formulario!J295=" "," ",Formulario!J295),IF(G287=".",".","Falta Fecha"))</f>
        <v>.</v>
      </c>
      <c r="O287" s="155">
        <f>Formulario!L295</f>
        <v>0</v>
      </c>
      <c r="P287" s="146">
        <f>IF(O287=1,"09:00",Formulario!M295)</f>
        <v>0</v>
      </c>
      <c r="Q287" s="146">
        <f>IF(O287=1,"18:30",Formulario!N295)</f>
        <v>0</v>
      </c>
      <c r="R287" s="146" t="str">
        <f>IF(Formulario!O295&lt;&gt;"",IF(Formulario!O295=" ",".",Formulario!O295),".")</f>
        <v>Post Venta</v>
      </c>
      <c r="S287" s="141" t="s">
        <v>131</v>
      </c>
    </row>
    <row r="288" spans="1:19">
      <c r="A288" s="141">
        <f>Formulario!B296</f>
        <v>0</v>
      </c>
      <c r="B288" s="144" t="str">
        <f>IF(G288="."," ",Formulario!D$5)</f>
        <v xml:space="preserve"> </v>
      </c>
      <c r="C288" s="144" t="str">
        <f>IF(G288=".","",Formulario!D$6)</f>
        <v/>
      </c>
      <c r="D288" s="144" t="str">
        <f>IF(H288=".","",Formulario!D$7)</f>
        <v/>
      </c>
      <c r="E288" s="144" t="str">
        <f>IF(G288=".","",Formulario!J$5)</f>
        <v/>
      </c>
      <c r="F288" s="145" t="str">
        <f>IF(G288=".","",Formulario!J$6)</f>
        <v/>
      </c>
      <c r="G288" s="180" t="str">
        <f>IF(Formulario!C296&lt;&gt;"",IF(Formulario!C296=" ","Falta Depto",IF(H288=".","Error En Descripción",Formulario!C296)),IF(H288=".",".","Falta Datos"))</f>
        <v>.</v>
      </c>
      <c r="H288" s="144" t="str">
        <f>IF(Formulario!D296&lt;&gt;"",IF(Formulario!D296=" ",".",Formulario!D296),".")</f>
        <v>.</v>
      </c>
      <c r="I288" s="144" t="str">
        <f>IF(Formulario!E296&lt;&gt;"",IF(Formulario!E296=" "," ",Formulario!E296),IF(G288=".",".","Falta Propietario"))</f>
        <v>.</v>
      </c>
      <c r="J288" s="144" t="str">
        <f>IF(Formulario!F296&lt;&gt;"",IF(Formulario!F296=" "," ",Formulario!F296)," ")</f>
        <v xml:space="preserve"> </v>
      </c>
      <c r="K288" s="144" t="str">
        <f>IF(Formulario!G296&lt;&gt;"",IF(Formulario!G296=" "," ",Formulario!G296)," ")</f>
        <v xml:space="preserve"> </v>
      </c>
      <c r="L288" s="144" t="str">
        <f>IF(Formulario!H296&lt;&gt;"",IF(Formulario!H296=" "," ",Formulario!H296)," ")</f>
        <v xml:space="preserve"> </v>
      </c>
      <c r="M288" s="144" t="str">
        <f>IF(Formulario!I296&lt;&gt;"",IF(Formulario!I296=" "," ",Formulario!I296)," ")</f>
        <v xml:space="preserve"> </v>
      </c>
      <c r="N288" s="145" t="str">
        <f>IF(Formulario!J296&lt;&gt;"",IF(Formulario!J296=" "," ",Formulario!J296),IF(G288=".",".","Falta Fecha"))</f>
        <v>.</v>
      </c>
      <c r="O288" s="155">
        <f>Formulario!L296</f>
        <v>0</v>
      </c>
      <c r="P288" s="146">
        <f>IF(O288=1,"09:00",Formulario!M296)</f>
        <v>0</v>
      </c>
      <c r="Q288" s="146">
        <f>IF(O288=1,"18:30",Formulario!N296)</f>
        <v>0</v>
      </c>
      <c r="R288" s="146" t="str">
        <f>IF(Formulario!O296&lt;&gt;"",IF(Formulario!O296=" ",".",Formulario!O296),".")</f>
        <v>Post Venta</v>
      </c>
      <c r="S288" s="141" t="s">
        <v>131</v>
      </c>
    </row>
    <row r="289" spans="1:19">
      <c r="A289" s="141">
        <f>Formulario!B297</f>
        <v>0</v>
      </c>
      <c r="B289" s="144" t="str">
        <f>IF(G289="."," ",Formulario!D$5)</f>
        <v xml:space="preserve"> </v>
      </c>
      <c r="C289" s="144" t="str">
        <f>IF(G289=".","",Formulario!D$6)</f>
        <v/>
      </c>
      <c r="D289" s="144" t="str">
        <f>IF(H289=".","",Formulario!D$7)</f>
        <v/>
      </c>
      <c r="E289" s="144" t="str">
        <f>IF(G289=".","",Formulario!J$5)</f>
        <v/>
      </c>
      <c r="F289" s="145" t="str">
        <f>IF(G289=".","",Formulario!J$6)</f>
        <v/>
      </c>
      <c r="G289" s="180" t="str">
        <f>IF(Formulario!C297&lt;&gt;"",IF(Formulario!C297=" ","Falta Depto",IF(H289=".","Error En Descripción",Formulario!C297)),IF(H289=".",".","Falta Datos"))</f>
        <v>.</v>
      </c>
      <c r="H289" s="144" t="str">
        <f>IF(Formulario!D297&lt;&gt;"",IF(Formulario!D297=" ",".",Formulario!D297),".")</f>
        <v>.</v>
      </c>
      <c r="I289" s="144" t="str">
        <f>IF(Formulario!E297&lt;&gt;"",IF(Formulario!E297=" "," ",Formulario!E297),IF(G289=".",".","Falta Propietario"))</f>
        <v>.</v>
      </c>
      <c r="J289" s="144" t="str">
        <f>IF(Formulario!F297&lt;&gt;"",IF(Formulario!F297=" "," ",Formulario!F297)," ")</f>
        <v xml:space="preserve"> </v>
      </c>
      <c r="K289" s="144" t="str">
        <f>IF(Formulario!G297&lt;&gt;"",IF(Formulario!G297=" "," ",Formulario!G297)," ")</f>
        <v xml:space="preserve"> </v>
      </c>
      <c r="L289" s="144" t="str">
        <f>IF(Formulario!H297&lt;&gt;"",IF(Formulario!H297=" "," ",Formulario!H297)," ")</f>
        <v xml:space="preserve"> </v>
      </c>
      <c r="M289" s="144" t="str">
        <f>IF(Formulario!I297&lt;&gt;"",IF(Formulario!I297=" "," ",Formulario!I297)," ")</f>
        <v xml:space="preserve"> </v>
      </c>
      <c r="N289" s="145" t="str">
        <f>IF(Formulario!J297&lt;&gt;"",IF(Formulario!J297=" "," ",Formulario!J297),IF(G289=".",".","Falta Fecha"))</f>
        <v>.</v>
      </c>
      <c r="O289" s="155">
        <f>Formulario!L297</f>
        <v>0</v>
      </c>
      <c r="P289" s="146">
        <f>IF(O289=1,"09:00",Formulario!M297)</f>
        <v>0</v>
      </c>
      <c r="Q289" s="146">
        <f>IF(O289=1,"18:30",Formulario!N297)</f>
        <v>0</v>
      </c>
      <c r="R289" s="146" t="str">
        <f>IF(Formulario!O297&lt;&gt;"",IF(Formulario!O297=" ",".",Formulario!O297),".")</f>
        <v>Post Venta</v>
      </c>
      <c r="S289" s="141" t="s">
        <v>131</v>
      </c>
    </row>
    <row r="290" spans="1:19">
      <c r="A290" s="141">
        <f>Formulario!B298</f>
        <v>0</v>
      </c>
      <c r="B290" s="144" t="str">
        <f>IF(G290="."," ",Formulario!D$5)</f>
        <v xml:space="preserve"> </v>
      </c>
      <c r="C290" s="144" t="str">
        <f>IF(G290=".","",Formulario!D$6)</f>
        <v/>
      </c>
      <c r="D290" s="144" t="str">
        <f>IF(H290=".","",Formulario!D$7)</f>
        <v/>
      </c>
      <c r="E290" s="144" t="str">
        <f>IF(G290=".","",Formulario!J$5)</f>
        <v/>
      </c>
      <c r="F290" s="145" t="str">
        <f>IF(G290=".","",Formulario!J$6)</f>
        <v/>
      </c>
      <c r="G290" s="180" t="str">
        <f>IF(Formulario!C298&lt;&gt;"",IF(Formulario!C298=" ","Falta Depto",IF(H290=".","Error En Descripción",Formulario!C298)),IF(H290=".",".","Falta Datos"))</f>
        <v>.</v>
      </c>
      <c r="H290" s="144" t="str">
        <f>IF(Formulario!D298&lt;&gt;"",IF(Formulario!D298=" ",".",Formulario!D298),".")</f>
        <v>.</v>
      </c>
      <c r="I290" s="144" t="str">
        <f>IF(Formulario!E298&lt;&gt;"",IF(Formulario!E298=" "," ",Formulario!E298),IF(G290=".",".","Falta Propietario"))</f>
        <v>.</v>
      </c>
      <c r="J290" s="144" t="str">
        <f>IF(Formulario!F298&lt;&gt;"",IF(Formulario!F298=" "," ",Formulario!F298)," ")</f>
        <v xml:space="preserve"> </v>
      </c>
      <c r="K290" s="144" t="str">
        <f>IF(Formulario!G298&lt;&gt;"",IF(Formulario!G298=" "," ",Formulario!G298)," ")</f>
        <v xml:space="preserve"> </v>
      </c>
      <c r="L290" s="144" t="str">
        <f>IF(Formulario!H298&lt;&gt;"",IF(Formulario!H298=" "," ",Formulario!H298)," ")</f>
        <v xml:space="preserve"> </v>
      </c>
      <c r="M290" s="144" t="str">
        <f>IF(Formulario!I298&lt;&gt;"",IF(Formulario!I298=" "," ",Formulario!I298)," ")</f>
        <v xml:space="preserve"> </v>
      </c>
      <c r="N290" s="145" t="str">
        <f>IF(Formulario!J298&lt;&gt;"",IF(Formulario!J298=" "," ",Formulario!J298),IF(G290=".",".","Falta Fecha"))</f>
        <v>.</v>
      </c>
      <c r="O290" s="155">
        <f>Formulario!L298</f>
        <v>0</v>
      </c>
      <c r="P290" s="146">
        <f>IF(O290=1,"09:00",Formulario!M298)</f>
        <v>0</v>
      </c>
      <c r="Q290" s="146">
        <f>IF(O290=1,"18:30",Formulario!N298)</f>
        <v>0</v>
      </c>
      <c r="R290" s="146" t="str">
        <f>IF(Formulario!O298&lt;&gt;"",IF(Formulario!O298=" ",".",Formulario!O298),".")</f>
        <v>Post Venta</v>
      </c>
      <c r="S290" s="141" t="s">
        <v>131</v>
      </c>
    </row>
    <row r="291" spans="1:19">
      <c r="A291" s="141">
        <f>Formulario!B299</f>
        <v>0</v>
      </c>
      <c r="B291" s="144" t="str">
        <f>IF(G291="."," ",Formulario!D$5)</f>
        <v xml:space="preserve"> </v>
      </c>
      <c r="C291" s="144" t="str">
        <f>IF(G291=".","",Formulario!D$6)</f>
        <v/>
      </c>
      <c r="D291" s="144" t="str">
        <f>IF(H291=".","",Formulario!D$7)</f>
        <v/>
      </c>
      <c r="E291" s="144" t="str">
        <f>IF(G291=".","",Formulario!J$5)</f>
        <v/>
      </c>
      <c r="F291" s="145" t="str">
        <f>IF(G291=".","",Formulario!J$6)</f>
        <v/>
      </c>
      <c r="G291" s="180" t="str">
        <f>IF(Formulario!C299&lt;&gt;"",IF(Formulario!C299=" ","Falta Depto",IF(H291=".","Error En Descripción",Formulario!C299)),IF(H291=".",".","Falta Datos"))</f>
        <v>.</v>
      </c>
      <c r="H291" s="144" t="str">
        <f>IF(Formulario!D299&lt;&gt;"",IF(Formulario!D299=" ",".",Formulario!D299),".")</f>
        <v>.</v>
      </c>
      <c r="I291" s="144" t="str">
        <f>IF(Formulario!E299&lt;&gt;"",IF(Formulario!E299=" "," ",Formulario!E299),IF(G291=".",".","Falta Propietario"))</f>
        <v>.</v>
      </c>
      <c r="J291" s="144" t="str">
        <f>IF(Formulario!F299&lt;&gt;"",IF(Formulario!F299=" "," ",Formulario!F299)," ")</f>
        <v xml:space="preserve"> </v>
      </c>
      <c r="K291" s="144" t="str">
        <f>IF(Formulario!G299&lt;&gt;"",IF(Formulario!G299=" "," ",Formulario!G299)," ")</f>
        <v xml:space="preserve"> </v>
      </c>
      <c r="L291" s="144" t="str">
        <f>IF(Formulario!H299&lt;&gt;"",IF(Formulario!H299=" "," ",Formulario!H299)," ")</f>
        <v xml:space="preserve"> </v>
      </c>
      <c r="M291" s="144" t="str">
        <f>IF(Formulario!I299&lt;&gt;"",IF(Formulario!I299=" "," ",Formulario!I299)," ")</f>
        <v xml:space="preserve"> </v>
      </c>
      <c r="N291" s="145" t="str">
        <f>IF(Formulario!J299&lt;&gt;"",IF(Formulario!J299=" "," ",Formulario!J299),IF(G291=".",".","Falta Fecha"))</f>
        <v>.</v>
      </c>
      <c r="O291" s="155">
        <f>Formulario!L299</f>
        <v>0</v>
      </c>
      <c r="P291" s="146">
        <f>IF(O291=1,"09:00",Formulario!M299)</f>
        <v>0</v>
      </c>
      <c r="Q291" s="146">
        <f>IF(O291=1,"18:30",Formulario!N299)</f>
        <v>0</v>
      </c>
      <c r="R291" s="146" t="str">
        <f>IF(Formulario!O299&lt;&gt;"",IF(Formulario!O299=" ",".",Formulario!O299),".")</f>
        <v>Post Venta</v>
      </c>
      <c r="S291" s="141" t="s">
        <v>131</v>
      </c>
    </row>
    <row r="292" spans="1:19">
      <c r="A292" s="141">
        <f>Formulario!B300</f>
        <v>0</v>
      </c>
      <c r="B292" s="144" t="str">
        <f>IF(G292="."," ",Formulario!D$5)</f>
        <v xml:space="preserve"> </v>
      </c>
      <c r="C292" s="144" t="str">
        <f>IF(G292=".","",Formulario!D$6)</f>
        <v/>
      </c>
      <c r="D292" s="144" t="str">
        <f>IF(H292=".","",Formulario!D$7)</f>
        <v/>
      </c>
      <c r="E292" s="144" t="str">
        <f>IF(G292=".","",Formulario!J$5)</f>
        <v/>
      </c>
      <c r="F292" s="145" t="str">
        <f>IF(G292=".","",Formulario!J$6)</f>
        <v/>
      </c>
      <c r="G292" s="180" t="str">
        <f>IF(Formulario!C300&lt;&gt;"",IF(Formulario!C300=" ","Falta Depto",IF(H292=".","Error En Descripción",Formulario!C300)),IF(H292=".",".","Falta Datos"))</f>
        <v>.</v>
      </c>
      <c r="H292" s="144" t="str">
        <f>IF(Formulario!D300&lt;&gt;"",IF(Formulario!D300=" ",".",Formulario!D300),".")</f>
        <v>.</v>
      </c>
      <c r="I292" s="144" t="str">
        <f>IF(Formulario!E300&lt;&gt;"",IF(Formulario!E300=" "," ",Formulario!E300),IF(G292=".",".","Falta Propietario"))</f>
        <v>.</v>
      </c>
      <c r="J292" s="144" t="str">
        <f>IF(Formulario!F300&lt;&gt;"",IF(Formulario!F300=" "," ",Formulario!F300)," ")</f>
        <v xml:space="preserve"> </v>
      </c>
      <c r="K292" s="144" t="str">
        <f>IF(Formulario!G300&lt;&gt;"",IF(Formulario!G300=" "," ",Formulario!G300)," ")</f>
        <v xml:space="preserve"> </v>
      </c>
      <c r="L292" s="144" t="str">
        <f>IF(Formulario!H300&lt;&gt;"",IF(Formulario!H300=" "," ",Formulario!H300)," ")</f>
        <v xml:space="preserve"> </v>
      </c>
      <c r="M292" s="144" t="str">
        <f>IF(Formulario!I300&lt;&gt;"",IF(Formulario!I300=" "," ",Formulario!I300)," ")</f>
        <v xml:space="preserve"> </v>
      </c>
      <c r="N292" s="145" t="str">
        <f>IF(Formulario!J300&lt;&gt;"",IF(Formulario!J300=" "," ",Formulario!J300),IF(G292=".",".","Falta Fecha"))</f>
        <v>.</v>
      </c>
      <c r="O292" s="155">
        <f>Formulario!L300</f>
        <v>0</v>
      </c>
      <c r="P292" s="146">
        <f>IF(O292=1,"09:00",Formulario!M300)</f>
        <v>0</v>
      </c>
      <c r="Q292" s="146">
        <f>IF(O292=1,"18:30",Formulario!N300)</f>
        <v>0</v>
      </c>
      <c r="R292" s="146" t="str">
        <f>IF(Formulario!O300&lt;&gt;"",IF(Formulario!O300=" ",".",Formulario!O300),".")</f>
        <v>Post Venta</v>
      </c>
      <c r="S292" s="141" t="s">
        <v>131</v>
      </c>
    </row>
    <row r="293" spans="1:19">
      <c r="A293" s="141">
        <f>Formulario!B301</f>
        <v>0</v>
      </c>
      <c r="B293" s="144" t="str">
        <f>IF(G293="."," ",Formulario!D$5)</f>
        <v xml:space="preserve"> </v>
      </c>
      <c r="C293" s="144" t="str">
        <f>IF(G293=".","",Formulario!D$6)</f>
        <v/>
      </c>
      <c r="D293" s="144" t="str">
        <f>IF(H293=".","",Formulario!D$7)</f>
        <v/>
      </c>
      <c r="E293" s="144" t="str">
        <f>IF(G293=".","",Formulario!J$5)</f>
        <v/>
      </c>
      <c r="F293" s="145" t="str">
        <f>IF(G293=".","",Formulario!J$6)</f>
        <v/>
      </c>
      <c r="G293" s="180" t="str">
        <f>IF(Formulario!C301&lt;&gt;"",IF(Formulario!C301=" ","Falta Depto",IF(H293=".","Error En Descripción",Formulario!C301)),IF(H293=".",".","Falta Datos"))</f>
        <v>.</v>
      </c>
      <c r="H293" s="144" t="str">
        <f>IF(Formulario!D301&lt;&gt;"",IF(Formulario!D301=" ",".",Formulario!D301),".")</f>
        <v>.</v>
      </c>
      <c r="I293" s="144" t="str">
        <f>IF(Formulario!E301&lt;&gt;"",IF(Formulario!E301=" "," ",Formulario!E301),IF(G293=".",".","Falta Propietario"))</f>
        <v>.</v>
      </c>
      <c r="J293" s="144" t="str">
        <f>IF(Formulario!F301&lt;&gt;"",IF(Formulario!F301=" "," ",Formulario!F301)," ")</f>
        <v xml:space="preserve"> </v>
      </c>
      <c r="K293" s="144" t="str">
        <f>IF(Formulario!G301&lt;&gt;"",IF(Formulario!G301=" "," ",Formulario!G301)," ")</f>
        <v xml:space="preserve"> </v>
      </c>
      <c r="L293" s="144" t="str">
        <f>IF(Formulario!H301&lt;&gt;"",IF(Formulario!H301=" "," ",Formulario!H301)," ")</f>
        <v xml:space="preserve"> </v>
      </c>
      <c r="M293" s="144" t="str">
        <f>IF(Formulario!I301&lt;&gt;"",IF(Formulario!I301=" "," ",Formulario!I301)," ")</f>
        <v xml:space="preserve"> </v>
      </c>
      <c r="N293" s="145" t="str">
        <f>IF(Formulario!J301&lt;&gt;"",IF(Formulario!J301=" "," ",Formulario!J301),IF(G293=".",".","Falta Fecha"))</f>
        <v>.</v>
      </c>
      <c r="O293" s="155">
        <f>Formulario!L301</f>
        <v>0</v>
      </c>
      <c r="P293" s="146">
        <f>IF(O293=1,"09:00",Formulario!M301)</f>
        <v>0</v>
      </c>
      <c r="Q293" s="146">
        <f>IF(O293=1,"18:30",Formulario!N301)</f>
        <v>0</v>
      </c>
      <c r="R293" s="146" t="str">
        <f>IF(Formulario!O301&lt;&gt;"",IF(Formulario!O301=" ",".",Formulario!O301),".")</f>
        <v>Post Venta</v>
      </c>
      <c r="S293" s="141" t="s">
        <v>131</v>
      </c>
    </row>
    <row r="294" spans="1:19">
      <c r="A294" s="141">
        <f>Formulario!B302</f>
        <v>0</v>
      </c>
      <c r="B294" s="144" t="str">
        <f>IF(G294="."," ",Formulario!D$5)</f>
        <v xml:space="preserve"> </v>
      </c>
      <c r="C294" s="144" t="str">
        <f>IF(G294=".","",Formulario!D$6)</f>
        <v/>
      </c>
      <c r="D294" s="144" t="str">
        <f>IF(H294=".","",Formulario!D$7)</f>
        <v/>
      </c>
      <c r="E294" s="144" t="str">
        <f>IF(G294=".","",Formulario!J$5)</f>
        <v/>
      </c>
      <c r="F294" s="145" t="str">
        <f>IF(G294=".","",Formulario!J$6)</f>
        <v/>
      </c>
      <c r="G294" s="180" t="str">
        <f>IF(Formulario!C302&lt;&gt;"",IF(Formulario!C302=" ","Falta Depto",IF(H294=".","Error En Descripción",Formulario!C302)),IF(H294=".",".","Falta Datos"))</f>
        <v>.</v>
      </c>
      <c r="H294" s="144" t="str">
        <f>IF(Formulario!D302&lt;&gt;"",IF(Formulario!D302=" ",".",Formulario!D302),".")</f>
        <v>.</v>
      </c>
      <c r="I294" s="144" t="str">
        <f>IF(Formulario!E302&lt;&gt;"",IF(Formulario!E302=" "," ",Formulario!E302),IF(G294=".",".","Falta Propietario"))</f>
        <v>.</v>
      </c>
      <c r="J294" s="144" t="str">
        <f>IF(Formulario!F302&lt;&gt;"",IF(Formulario!F302=" "," ",Formulario!F302)," ")</f>
        <v xml:space="preserve"> </v>
      </c>
      <c r="K294" s="144" t="str">
        <f>IF(Formulario!G302&lt;&gt;"",IF(Formulario!G302=" "," ",Formulario!G302)," ")</f>
        <v xml:space="preserve"> </v>
      </c>
      <c r="L294" s="144" t="str">
        <f>IF(Formulario!H302&lt;&gt;"",IF(Formulario!H302=" "," ",Formulario!H302)," ")</f>
        <v xml:space="preserve"> </v>
      </c>
      <c r="M294" s="144" t="str">
        <f>IF(Formulario!I302&lt;&gt;"",IF(Formulario!I302=" "," ",Formulario!I302)," ")</f>
        <v xml:space="preserve"> </v>
      </c>
      <c r="N294" s="145" t="str">
        <f>IF(Formulario!J302&lt;&gt;"",IF(Formulario!J302=" "," ",Formulario!J302),IF(G294=".",".","Falta Fecha"))</f>
        <v>.</v>
      </c>
      <c r="O294" s="155">
        <f>Formulario!L302</f>
        <v>0</v>
      </c>
      <c r="P294" s="146">
        <f>IF(O294=1,"09:00",Formulario!M302)</f>
        <v>0</v>
      </c>
      <c r="Q294" s="146">
        <f>IF(O294=1,"18:30",Formulario!N302)</f>
        <v>0</v>
      </c>
      <c r="R294" s="146" t="str">
        <f>IF(Formulario!O302&lt;&gt;"",IF(Formulario!O302=" ",".",Formulario!O302),".")</f>
        <v>Post Venta</v>
      </c>
      <c r="S294" s="141" t="s">
        <v>131</v>
      </c>
    </row>
    <row r="295" spans="1:19">
      <c r="A295" s="141">
        <f>Formulario!B303</f>
        <v>0</v>
      </c>
      <c r="B295" s="144" t="str">
        <f>IF(G295="."," ",Formulario!D$5)</f>
        <v xml:space="preserve"> </v>
      </c>
      <c r="C295" s="144" t="str">
        <f>IF(G295=".","",Formulario!D$6)</f>
        <v/>
      </c>
      <c r="D295" s="144" t="str">
        <f>IF(H295=".","",Formulario!D$7)</f>
        <v/>
      </c>
      <c r="E295" s="144" t="str">
        <f>IF(G295=".","",Formulario!J$5)</f>
        <v/>
      </c>
      <c r="F295" s="145" t="str">
        <f>IF(G295=".","",Formulario!J$6)</f>
        <v/>
      </c>
      <c r="G295" s="180" t="str">
        <f>IF(Formulario!C303&lt;&gt;"",IF(Formulario!C303=" ","Falta Depto",IF(H295=".","Error En Descripción",Formulario!C303)),IF(H295=".",".","Falta Datos"))</f>
        <v>.</v>
      </c>
      <c r="H295" s="144" t="str">
        <f>IF(Formulario!D303&lt;&gt;"",IF(Formulario!D303=" ",".",Formulario!D303),".")</f>
        <v>.</v>
      </c>
      <c r="I295" s="144" t="str">
        <f>IF(Formulario!E303&lt;&gt;"",IF(Formulario!E303=" "," ",Formulario!E303),IF(G295=".",".","Falta Propietario"))</f>
        <v>.</v>
      </c>
      <c r="J295" s="144" t="str">
        <f>IF(Formulario!F303&lt;&gt;"",IF(Formulario!F303=" "," ",Formulario!F303)," ")</f>
        <v xml:space="preserve"> </v>
      </c>
      <c r="K295" s="144" t="str">
        <f>IF(Formulario!G303&lt;&gt;"",IF(Formulario!G303=" "," ",Formulario!G303)," ")</f>
        <v xml:space="preserve"> </v>
      </c>
      <c r="L295" s="144" t="str">
        <f>IF(Formulario!H303&lt;&gt;"",IF(Formulario!H303=" "," ",Formulario!H303)," ")</f>
        <v xml:space="preserve"> </v>
      </c>
      <c r="M295" s="144" t="str">
        <f>IF(Formulario!I303&lt;&gt;"",IF(Formulario!I303=" "," ",Formulario!I303)," ")</f>
        <v xml:space="preserve"> </v>
      </c>
      <c r="N295" s="145" t="str">
        <f>IF(Formulario!J303&lt;&gt;"",IF(Formulario!J303=" "," ",Formulario!J303),IF(G295=".",".","Falta Fecha"))</f>
        <v>.</v>
      </c>
      <c r="O295" s="155">
        <f>Formulario!L303</f>
        <v>0</v>
      </c>
      <c r="P295" s="146">
        <f>IF(O295=1,"09:00",Formulario!M303)</f>
        <v>0</v>
      </c>
      <c r="Q295" s="146">
        <f>IF(O295=1,"18:30",Formulario!N303)</f>
        <v>0</v>
      </c>
      <c r="R295" s="146" t="str">
        <f>IF(Formulario!O303&lt;&gt;"",IF(Formulario!O303=" ",".",Formulario!O303),".")</f>
        <v>Post Venta</v>
      </c>
      <c r="S295" s="141" t="s">
        <v>131</v>
      </c>
    </row>
    <row r="296" spans="1:19">
      <c r="A296" s="141">
        <f>Formulario!B304</f>
        <v>0</v>
      </c>
      <c r="B296" s="144" t="str">
        <f>IF(G296="."," ",Formulario!D$5)</f>
        <v xml:space="preserve"> </v>
      </c>
      <c r="C296" s="144" t="str">
        <f>IF(G296=".","",Formulario!D$6)</f>
        <v/>
      </c>
      <c r="D296" s="144" t="str">
        <f>IF(H296=".","",Formulario!D$7)</f>
        <v/>
      </c>
      <c r="E296" s="144" t="str">
        <f>IF(G296=".","",Formulario!J$5)</f>
        <v/>
      </c>
      <c r="F296" s="145" t="str">
        <f>IF(G296=".","",Formulario!J$6)</f>
        <v/>
      </c>
      <c r="G296" s="180" t="str">
        <f>IF(Formulario!C304&lt;&gt;"",IF(Formulario!C304=" ","Falta Depto",IF(H296=".","Error En Descripción",Formulario!C304)),IF(H296=".",".","Falta Datos"))</f>
        <v>.</v>
      </c>
      <c r="H296" s="144" t="str">
        <f>IF(Formulario!D304&lt;&gt;"",IF(Formulario!D304=" ",".",Formulario!D304),".")</f>
        <v>.</v>
      </c>
      <c r="I296" s="144" t="str">
        <f>IF(Formulario!E304&lt;&gt;"",IF(Formulario!E304=" "," ",Formulario!E304),IF(G296=".",".","Falta Propietario"))</f>
        <v>.</v>
      </c>
      <c r="J296" s="144" t="str">
        <f>IF(Formulario!F304&lt;&gt;"",IF(Formulario!F304=" "," ",Formulario!F304)," ")</f>
        <v xml:space="preserve"> </v>
      </c>
      <c r="K296" s="144" t="str">
        <f>IF(Formulario!G304&lt;&gt;"",IF(Formulario!G304=" "," ",Formulario!G304)," ")</f>
        <v xml:space="preserve"> </v>
      </c>
      <c r="L296" s="144" t="str">
        <f>IF(Formulario!H304&lt;&gt;"",IF(Formulario!H304=" "," ",Formulario!H304)," ")</f>
        <v xml:space="preserve"> </v>
      </c>
      <c r="M296" s="144" t="str">
        <f>IF(Formulario!I304&lt;&gt;"",IF(Formulario!I304=" "," ",Formulario!I304)," ")</f>
        <v xml:space="preserve"> </v>
      </c>
      <c r="N296" s="145" t="str">
        <f>IF(Formulario!J304&lt;&gt;"",IF(Formulario!J304=" "," ",Formulario!J304),IF(G296=".",".","Falta Fecha"))</f>
        <v>.</v>
      </c>
      <c r="O296" s="155">
        <f>Formulario!L304</f>
        <v>0</v>
      </c>
      <c r="P296" s="146">
        <f>IF(O296=1,"09:00",Formulario!M304)</f>
        <v>0</v>
      </c>
      <c r="Q296" s="146">
        <f>IF(O296=1,"18:30",Formulario!N304)</f>
        <v>0</v>
      </c>
      <c r="R296" s="146" t="str">
        <f>IF(Formulario!O304&lt;&gt;"",IF(Formulario!O304=" ",".",Formulario!O304),".")</f>
        <v>Post Venta</v>
      </c>
      <c r="S296" s="141" t="s">
        <v>131</v>
      </c>
    </row>
    <row r="297" spans="1:19">
      <c r="A297" s="141">
        <f>Formulario!B305</f>
        <v>0</v>
      </c>
      <c r="B297" s="144" t="str">
        <f>IF(G297="."," ",Formulario!D$5)</f>
        <v xml:space="preserve"> </v>
      </c>
      <c r="C297" s="144" t="str">
        <f>IF(G297=".","",Formulario!D$6)</f>
        <v/>
      </c>
      <c r="D297" s="144" t="str">
        <f>IF(H297=".","",Formulario!D$7)</f>
        <v/>
      </c>
      <c r="E297" s="144" t="str">
        <f>IF(G297=".","",Formulario!J$5)</f>
        <v/>
      </c>
      <c r="F297" s="145" t="str">
        <f>IF(G297=".","",Formulario!J$6)</f>
        <v/>
      </c>
      <c r="G297" s="180" t="str">
        <f>IF(Formulario!C305&lt;&gt;"",IF(Formulario!C305=" ","Falta Depto",IF(H297=".","Error En Descripción",Formulario!C305)),IF(H297=".",".","Falta Datos"))</f>
        <v>.</v>
      </c>
      <c r="H297" s="144" t="str">
        <f>IF(Formulario!D305&lt;&gt;"",IF(Formulario!D305=" ",".",Formulario!D305),".")</f>
        <v>.</v>
      </c>
      <c r="I297" s="144" t="str">
        <f>IF(Formulario!E305&lt;&gt;"",IF(Formulario!E305=" "," ",Formulario!E305),IF(G297=".",".","Falta Propietario"))</f>
        <v>.</v>
      </c>
      <c r="J297" s="144" t="str">
        <f>IF(Formulario!F305&lt;&gt;"",IF(Formulario!F305=" "," ",Formulario!F305)," ")</f>
        <v xml:space="preserve"> </v>
      </c>
      <c r="K297" s="144" t="str">
        <f>IF(Formulario!G305&lt;&gt;"",IF(Formulario!G305=" "," ",Formulario!G305)," ")</f>
        <v xml:space="preserve"> </v>
      </c>
      <c r="L297" s="144" t="str">
        <f>IF(Formulario!H305&lt;&gt;"",IF(Formulario!H305=" "," ",Formulario!H305)," ")</f>
        <v xml:space="preserve"> </v>
      </c>
      <c r="M297" s="144" t="str">
        <f>IF(Formulario!I305&lt;&gt;"",IF(Formulario!I305=" "," ",Formulario!I305)," ")</f>
        <v xml:space="preserve"> </v>
      </c>
      <c r="N297" s="145" t="str">
        <f>IF(Formulario!J305&lt;&gt;"",IF(Formulario!J305=" "," ",Formulario!J305),IF(G297=".",".","Falta Fecha"))</f>
        <v>.</v>
      </c>
      <c r="O297" s="155">
        <f>Formulario!L305</f>
        <v>0</v>
      </c>
      <c r="P297" s="146">
        <f>IF(O297=1,"09:00",Formulario!M305)</f>
        <v>0</v>
      </c>
      <c r="Q297" s="146">
        <f>IF(O297=1,"18:30",Formulario!N305)</f>
        <v>0</v>
      </c>
      <c r="R297" s="146" t="str">
        <f>IF(Formulario!O305&lt;&gt;"",IF(Formulario!O305=" ",".",Formulario!O305),".")</f>
        <v>Post Venta</v>
      </c>
      <c r="S297" s="141" t="s">
        <v>131</v>
      </c>
    </row>
    <row r="298" spans="1:19">
      <c r="A298" s="141">
        <f>Formulario!B306</f>
        <v>0</v>
      </c>
      <c r="B298" s="144" t="str">
        <f>IF(G298="."," ",Formulario!D$5)</f>
        <v xml:space="preserve"> </v>
      </c>
      <c r="C298" s="144" t="str">
        <f>IF(G298=".","",Formulario!D$6)</f>
        <v/>
      </c>
      <c r="D298" s="144" t="str">
        <f>IF(H298=".","",Formulario!D$7)</f>
        <v/>
      </c>
      <c r="E298" s="144" t="str">
        <f>IF(G298=".","",Formulario!J$5)</f>
        <v/>
      </c>
      <c r="F298" s="145" t="str">
        <f>IF(G298=".","",Formulario!J$6)</f>
        <v/>
      </c>
      <c r="G298" s="180" t="str">
        <f>IF(Formulario!C306&lt;&gt;"",IF(Formulario!C306=" ","Falta Depto",IF(H298=".","Error En Descripción",Formulario!C306)),IF(H298=".",".","Falta Datos"))</f>
        <v>.</v>
      </c>
      <c r="H298" s="144" t="str">
        <f>IF(Formulario!D306&lt;&gt;"",IF(Formulario!D306=" ",".",Formulario!D306),".")</f>
        <v>.</v>
      </c>
      <c r="I298" s="144" t="str">
        <f>IF(Formulario!E306&lt;&gt;"",IF(Formulario!E306=" "," ",Formulario!E306),IF(G298=".",".","Falta Propietario"))</f>
        <v>.</v>
      </c>
      <c r="J298" s="144" t="str">
        <f>IF(Formulario!F306&lt;&gt;"",IF(Formulario!F306=" "," ",Formulario!F306)," ")</f>
        <v xml:space="preserve"> </v>
      </c>
      <c r="K298" s="144" t="str">
        <f>IF(Formulario!G306&lt;&gt;"",IF(Formulario!G306=" "," ",Formulario!G306)," ")</f>
        <v xml:space="preserve"> </v>
      </c>
      <c r="L298" s="144" t="str">
        <f>IF(Formulario!H306&lt;&gt;"",IF(Formulario!H306=" "," ",Formulario!H306)," ")</f>
        <v xml:space="preserve"> </v>
      </c>
      <c r="M298" s="144" t="str">
        <f>IF(Formulario!I306&lt;&gt;"",IF(Formulario!I306=" "," ",Formulario!I306)," ")</f>
        <v xml:space="preserve"> </v>
      </c>
      <c r="N298" s="145" t="str">
        <f>IF(Formulario!J306&lt;&gt;"",IF(Formulario!J306=" "," ",Formulario!J306),IF(G298=".",".","Falta Fecha"))</f>
        <v>.</v>
      </c>
      <c r="O298" s="155">
        <f>Formulario!L306</f>
        <v>0</v>
      </c>
      <c r="P298" s="146">
        <f>IF(O298=1,"09:00",Formulario!M306)</f>
        <v>0</v>
      </c>
      <c r="Q298" s="146">
        <f>IF(O298=1,"18:30",Formulario!N306)</f>
        <v>0</v>
      </c>
      <c r="R298" s="146" t="str">
        <f>IF(Formulario!O306&lt;&gt;"",IF(Formulario!O306=" ",".",Formulario!O306),".")</f>
        <v>Post Venta</v>
      </c>
      <c r="S298" s="141" t="s">
        <v>131</v>
      </c>
    </row>
    <row r="299" spans="1:19">
      <c r="A299" s="141">
        <f>Formulario!B307</f>
        <v>0</v>
      </c>
      <c r="B299" s="144" t="str">
        <f>IF(G299="."," ",Formulario!D$5)</f>
        <v xml:space="preserve"> </v>
      </c>
      <c r="C299" s="144" t="str">
        <f>IF(G299=".","",Formulario!D$6)</f>
        <v/>
      </c>
      <c r="D299" s="144" t="str">
        <f>IF(H299=".","",Formulario!D$7)</f>
        <v/>
      </c>
      <c r="E299" s="144" t="str">
        <f>IF(G299=".","",Formulario!J$5)</f>
        <v/>
      </c>
      <c r="F299" s="145" t="str">
        <f>IF(G299=".","",Formulario!J$6)</f>
        <v/>
      </c>
      <c r="G299" s="180" t="str">
        <f>IF(Formulario!C307&lt;&gt;"",IF(Formulario!C307=" ","Falta Depto",IF(H299=".","Error En Descripción",Formulario!C307)),IF(H299=".",".","Falta Datos"))</f>
        <v>.</v>
      </c>
      <c r="H299" s="144" t="str">
        <f>IF(Formulario!D307&lt;&gt;"",IF(Formulario!D307=" ",".",Formulario!D307),".")</f>
        <v>.</v>
      </c>
      <c r="I299" s="144" t="str">
        <f>IF(Formulario!E307&lt;&gt;"",IF(Formulario!E307=" "," ",Formulario!E307),IF(G299=".",".","Falta Propietario"))</f>
        <v>.</v>
      </c>
      <c r="J299" s="144" t="str">
        <f>IF(Formulario!F307&lt;&gt;"",IF(Formulario!F307=" "," ",Formulario!F307)," ")</f>
        <v xml:space="preserve"> </v>
      </c>
      <c r="K299" s="144" t="str">
        <f>IF(Formulario!G307&lt;&gt;"",IF(Formulario!G307=" "," ",Formulario!G307)," ")</f>
        <v xml:space="preserve"> </v>
      </c>
      <c r="L299" s="144" t="str">
        <f>IF(Formulario!H307&lt;&gt;"",IF(Formulario!H307=" "," ",Formulario!H307)," ")</f>
        <v xml:space="preserve"> </v>
      </c>
      <c r="M299" s="144" t="str">
        <f>IF(Formulario!I307&lt;&gt;"",IF(Formulario!I307=" "," ",Formulario!I307)," ")</f>
        <v xml:space="preserve"> </v>
      </c>
      <c r="N299" s="145" t="str">
        <f>IF(Formulario!J307&lt;&gt;"",IF(Formulario!J307=" "," ",Formulario!J307),IF(G299=".",".","Falta Fecha"))</f>
        <v>.</v>
      </c>
      <c r="O299" s="155">
        <f>Formulario!L307</f>
        <v>0</v>
      </c>
      <c r="P299" s="146">
        <f>IF(O299=1,"09:00",Formulario!M307)</f>
        <v>0</v>
      </c>
      <c r="Q299" s="146">
        <f>IF(O299=1,"18:30",Formulario!N307)</f>
        <v>0</v>
      </c>
      <c r="R299" s="146" t="str">
        <f>IF(Formulario!O307&lt;&gt;"",IF(Formulario!O307=" ",".",Formulario!O307),".")</f>
        <v>Post Venta</v>
      </c>
      <c r="S299" s="141" t="s">
        <v>131</v>
      </c>
    </row>
    <row r="300" spans="1:19">
      <c r="A300" s="141">
        <f>Formulario!B308</f>
        <v>0</v>
      </c>
      <c r="B300" s="144" t="str">
        <f>IF(G300="."," ",Formulario!D$5)</f>
        <v xml:space="preserve"> </v>
      </c>
      <c r="C300" s="144" t="str">
        <f>IF(G300=".","",Formulario!D$6)</f>
        <v/>
      </c>
      <c r="D300" s="144" t="str">
        <f>IF(H300=".","",Formulario!D$7)</f>
        <v/>
      </c>
      <c r="E300" s="144" t="str">
        <f>IF(G300=".","",Formulario!J$5)</f>
        <v/>
      </c>
      <c r="F300" s="145" t="str">
        <f>IF(G300=".","",Formulario!J$6)</f>
        <v/>
      </c>
      <c r="G300" s="180" t="str">
        <f>IF(Formulario!C308&lt;&gt;"",IF(Formulario!C308=" ","Falta Depto",IF(H300=".","Error En Descripción",Formulario!C308)),IF(H300=".",".","Falta Datos"))</f>
        <v>.</v>
      </c>
      <c r="H300" s="144" t="str">
        <f>IF(Formulario!D308&lt;&gt;"",IF(Formulario!D308=" ",".",Formulario!D308),".")</f>
        <v>.</v>
      </c>
      <c r="I300" s="144" t="str">
        <f>IF(Formulario!E308&lt;&gt;"",IF(Formulario!E308=" "," ",Formulario!E308),IF(G300=".",".","Falta Propietario"))</f>
        <v>.</v>
      </c>
      <c r="J300" s="144" t="str">
        <f>IF(Formulario!F308&lt;&gt;"",IF(Formulario!F308=" "," ",Formulario!F308)," ")</f>
        <v xml:space="preserve"> </v>
      </c>
      <c r="K300" s="144" t="str">
        <f>IF(Formulario!G308&lt;&gt;"",IF(Formulario!G308=" "," ",Formulario!G308)," ")</f>
        <v xml:space="preserve"> </v>
      </c>
      <c r="L300" s="144" t="str">
        <f>IF(Formulario!H308&lt;&gt;"",IF(Formulario!H308=" "," ",Formulario!H308)," ")</f>
        <v xml:space="preserve"> </v>
      </c>
      <c r="M300" s="144" t="str">
        <f>IF(Formulario!I308&lt;&gt;"",IF(Formulario!I308=" "," ",Formulario!I308)," ")</f>
        <v xml:space="preserve"> </v>
      </c>
      <c r="N300" s="145" t="str">
        <f>IF(Formulario!J308&lt;&gt;"",IF(Formulario!J308=" "," ",Formulario!J308),IF(G300=".",".","Falta Fecha"))</f>
        <v>.</v>
      </c>
      <c r="O300" s="155">
        <f>Formulario!L308</f>
        <v>0</v>
      </c>
      <c r="P300" s="146">
        <f>IF(O300=1,"09:00",Formulario!M308)</f>
        <v>0</v>
      </c>
      <c r="Q300" s="146">
        <f>IF(O300=1,"18:30",Formulario!N308)</f>
        <v>0</v>
      </c>
      <c r="R300" s="146" t="str">
        <f>IF(Formulario!O308&lt;&gt;"",IF(Formulario!O308=" ",".",Formulario!O308),".")</f>
        <v>Post Venta</v>
      </c>
      <c r="S300" s="141" t="s">
        <v>131</v>
      </c>
    </row>
    <row r="301" spans="1:19">
      <c r="A301" s="141">
        <f>Formulario!B309</f>
        <v>0</v>
      </c>
      <c r="B301" s="144" t="str">
        <f>IF(G301="."," ",Formulario!D$5)</f>
        <v xml:space="preserve"> </v>
      </c>
      <c r="C301" s="144" t="str">
        <f>IF(G301=".","",Formulario!D$6)</f>
        <v/>
      </c>
      <c r="D301" s="144" t="str">
        <f>IF(H301=".","",Formulario!D$7)</f>
        <v/>
      </c>
      <c r="E301" s="144" t="str">
        <f>IF(G301=".","",Formulario!J$5)</f>
        <v/>
      </c>
      <c r="F301" s="145" t="str">
        <f>IF(G301=".","",Formulario!J$6)</f>
        <v/>
      </c>
      <c r="G301" s="180" t="str">
        <f>IF(Formulario!C309&lt;&gt;"",IF(Formulario!C309=" ","Falta Depto",IF(H301=".","Error En Descripción",Formulario!C309)),IF(H301=".",".","Falta Datos"))</f>
        <v>.</v>
      </c>
      <c r="H301" s="144" t="str">
        <f>IF(Formulario!D309&lt;&gt;"",IF(Formulario!D309=" ",".",Formulario!D309),".")</f>
        <v>.</v>
      </c>
      <c r="I301" s="144" t="str">
        <f>IF(Formulario!E309&lt;&gt;"",IF(Formulario!E309=" "," ",Formulario!E309),IF(G301=".",".","Falta Propietario"))</f>
        <v>.</v>
      </c>
      <c r="J301" s="144" t="str">
        <f>IF(Formulario!F309&lt;&gt;"",IF(Formulario!F309=" "," ",Formulario!F309)," ")</f>
        <v xml:space="preserve"> </v>
      </c>
      <c r="K301" s="144" t="str">
        <f>IF(Formulario!G309&lt;&gt;"",IF(Formulario!G309=" "," ",Formulario!G309)," ")</f>
        <v xml:space="preserve"> </v>
      </c>
      <c r="L301" s="144" t="str">
        <f>IF(Formulario!H309&lt;&gt;"",IF(Formulario!H309=" "," ",Formulario!H309)," ")</f>
        <v xml:space="preserve"> </v>
      </c>
      <c r="M301" s="144" t="str">
        <f>IF(Formulario!I309&lt;&gt;"",IF(Formulario!I309=" "," ",Formulario!I309)," ")</f>
        <v xml:space="preserve"> </v>
      </c>
      <c r="N301" s="145" t="str">
        <f>IF(Formulario!J309&lt;&gt;"",IF(Formulario!J309=" "," ",Formulario!J309),IF(G301=".",".","Falta Fecha"))</f>
        <v>.</v>
      </c>
      <c r="O301" s="155">
        <f>Formulario!L309</f>
        <v>0</v>
      </c>
      <c r="P301" s="146">
        <f>IF(O301=1,"09:00",Formulario!M309)</f>
        <v>0</v>
      </c>
      <c r="Q301" s="146">
        <f>IF(O301=1,"18:30",Formulario!N309)</f>
        <v>0</v>
      </c>
      <c r="R301" s="146" t="str">
        <f>IF(Formulario!O309&lt;&gt;"",IF(Formulario!O309=" ",".",Formulario!O309),".")</f>
        <v>Post Venta</v>
      </c>
      <c r="S301" s="141" t="s">
        <v>131</v>
      </c>
    </row>
    <row r="302" spans="1:19">
      <c r="A302" s="141">
        <f>Formulario!B310</f>
        <v>0</v>
      </c>
      <c r="B302" s="144" t="str">
        <f>IF(G302="."," ",Formulario!D$5)</f>
        <v xml:space="preserve"> </v>
      </c>
      <c r="C302" s="144" t="str">
        <f>IF(G302=".","",Formulario!D$6)</f>
        <v/>
      </c>
      <c r="D302" s="144" t="str">
        <f>IF(H302=".","",Formulario!D$7)</f>
        <v/>
      </c>
      <c r="E302" s="144" t="str">
        <f>IF(G302=".","",Formulario!J$5)</f>
        <v/>
      </c>
      <c r="F302" s="145" t="str">
        <f>IF(G302=".","",Formulario!J$6)</f>
        <v/>
      </c>
      <c r="G302" s="180" t="str">
        <f>IF(Formulario!C310&lt;&gt;"",IF(Formulario!C310=" ","Falta Depto",IF(H302=".","Error En Descripción",Formulario!C310)),IF(H302=".",".","Falta Datos"))</f>
        <v>.</v>
      </c>
      <c r="H302" s="144" t="str">
        <f>IF(Formulario!D310&lt;&gt;"",IF(Formulario!D310=" ",".",Formulario!D310),".")</f>
        <v>.</v>
      </c>
      <c r="I302" s="144" t="str">
        <f>IF(Formulario!E310&lt;&gt;"",IF(Formulario!E310=" "," ",Formulario!E310),IF(G302=".",".","Falta Propietario"))</f>
        <v>.</v>
      </c>
      <c r="J302" s="144" t="str">
        <f>IF(Formulario!F310&lt;&gt;"",IF(Formulario!F310=" "," ",Formulario!F310)," ")</f>
        <v xml:space="preserve"> </v>
      </c>
      <c r="K302" s="144" t="str">
        <f>IF(Formulario!G310&lt;&gt;"",IF(Formulario!G310=" "," ",Formulario!G310)," ")</f>
        <v xml:space="preserve"> </v>
      </c>
      <c r="L302" s="144" t="str">
        <f>IF(Formulario!H310&lt;&gt;"",IF(Formulario!H310=" "," ",Formulario!H310)," ")</f>
        <v xml:space="preserve"> </v>
      </c>
      <c r="M302" s="144" t="str">
        <f>IF(Formulario!I310&lt;&gt;"",IF(Formulario!I310=" "," ",Formulario!I310)," ")</f>
        <v xml:space="preserve"> </v>
      </c>
      <c r="N302" s="145" t="str">
        <f>IF(Formulario!J310&lt;&gt;"",IF(Formulario!J310=" "," ",Formulario!J310),IF(G302=".",".","Falta Fecha"))</f>
        <v>.</v>
      </c>
      <c r="O302" s="155">
        <f>Formulario!L310</f>
        <v>0</v>
      </c>
      <c r="P302" s="146">
        <f>IF(O302=1,"09:00",Formulario!M310)</f>
        <v>0</v>
      </c>
      <c r="Q302" s="146">
        <f>IF(O302=1,"18:30",Formulario!N310)</f>
        <v>0</v>
      </c>
      <c r="R302" s="146" t="str">
        <f>IF(Formulario!O310&lt;&gt;"",IF(Formulario!O310=" ",".",Formulario!O310),".")</f>
        <v>Post Venta</v>
      </c>
      <c r="S302" s="141" t="s">
        <v>131</v>
      </c>
    </row>
    <row r="303" spans="1:19">
      <c r="A303" s="141">
        <f>Formulario!B311</f>
        <v>0</v>
      </c>
      <c r="B303" s="144" t="str">
        <f>IF(G303="."," ",Formulario!D$5)</f>
        <v xml:space="preserve"> </v>
      </c>
      <c r="C303" s="144" t="str">
        <f>IF(G303=".","",Formulario!D$6)</f>
        <v/>
      </c>
      <c r="D303" s="144" t="str">
        <f>IF(H303=".","",Formulario!D$7)</f>
        <v/>
      </c>
      <c r="E303" s="144" t="str">
        <f>IF(G303=".","",Formulario!J$5)</f>
        <v/>
      </c>
      <c r="F303" s="145" t="str">
        <f>IF(G303=".","",Formulario!J$6)</f>
        <v/>
      </c>
      <c r="G303" s="180" t="str">
        <f>IF(Formulario!C311&lt;&gt;"",IF(Formulario!C311=" ","Falta Depto",IF(H303=".","Error En Descripción",Formulario!C311)),IF(H303=".",".","Falta Datos"))</f>
        <v>.</v>
      </c>
      <c r="H303" s="144" t="str">
        <f>IF(Formulario!D311&lt;&gt;"",IF(Formulario!D311=" ",".",Formulario!D311),".")</f>
        <v>.</v>
      </c>
      <c r="I303" s="144" t="str">
        <f>IF(Formulario!E311&lt;&gt;"",IF(Formulario!E311=" "," ",Formulario!E311),IF(G303=".",".","Falta Propietario"))</f>
        <v>.</v>
      </c>
      <c r="J303" s="144" t="str">
        <f>IF(Formulario!F311&lt;&gt;"",IF(Formulario!F311=" "," ",Formulario!F311)," ")</f>
        <v xml:space="preserve"> </v>
      </c>
      <c r="K303" s="144" t="str">
        <f>IF(Formulario!G311&lt;&gt;"",IF(Formulario!G311=" "," ",Formulario!G311)," ")</f>
        <v xml:space="preserve"> </v>
      </c>
      <c r="L303" s="144" t="str">
        <f>IF(Formulario!H311&lt;&gt;"",IF(Formulario!H311=" "," ",Formulario!H311)," ")</f>
        <v xml:space="preserve"> </v>
      </c>
      <c r="M303" s="144" t="str">
        <f>IF(Formulario!I311&lt;&gt;"",IF(Formulario!I311=" "," ",Formulario!I311)," ")</f>
        <v xml:space="preserve"> </v>
      </c>
      <c r="N303" s="145" t="str">
        <f>IF(Formulario!J311&lt;&gt;"",IF(Formulario!J311=" "," ",Formulario!J311),IF(G303=".",".","Falta Fecha"))</f>
        <v>.</v>
      </c>
      <c r="O303" s="155">
        <f>Formulario!L311</f>
        <v>0</v>
      </c>
      <c r="P303" s="146">
        <f>IF(O303=1,"09:00",Formulario!M311)</f>
        <v>0</v>
      </c>
      <c r="Q303" s="146">
        <f>IF(O303=1,"18:30",Formulario!N311)</f>
        <v>0</v>
      </c>
      <c r="R303" s="146" t="str">
        <f>IF(Formulario!O311&lt;&gt;"",IF(Formulario!O311=" ",".",Formulario!O311),".")</f>
        <v>Post Venta</v>
      </c>
      <c r="S303" s="141" t="s">
        <v>131</v>
      </c>
    </row>
    <row r="304" spans="1:19">
      <c r="A304" s="141">
        <f>Formulario!B312</f>
        <v>0</v>
      </c>
      <c r="B304" s="144" t="str">
        <f>IF(G304="."," ",Formulario!D$5)</f>
        <v xml:space="preserve"> </v>
      </c>
      <c r="C304" s="144" t="str">
        <f>IF(G304=".","",Formulario!D$6)</f>
        <v/>
      </c>
      <c r="D304" s="144" t="str">
        <f>IF(H304=".","",Formulario!D$7)</f>
        <v/>
      </c>
      <c r="E304" s="144" t="str">
        <f>IF(G304=".","",Formulario!J$5)</f>
        <v/>
      </c>
      <c r="F304" s="145" t="str">
        <f>IF(G304=".","",Formulario!J$6)</f>
        <v/>
      </c>
      <c r="G304" s="180" t="str">
        <f>IF(Formulario!C312&lt;&gt;"",IF(Formulario!C312=" ","Falta Depto",IF(H304=".","Error En Descripción",Formulario!C312)),IF(H304=".",".","Falta Datos"))</f>
        <v>.</v>
      </c>
      <c r="H304" s="144" t="str">
        <f>IF(Formulario!D312&lt;&gt;"",IF(Formulario!D312=" ",".",Formulario!D312),".")</f>
        <v>.</v>
      </c>
      <c r="I304" s="144" t="str">
        <f>IF(Formulario!E312&lt;&gt;"",IF(Formulario!E312=" "," ",Formulario!E312),IF(G304=".",".","Falta Propietario"))</f>
        <v>.</v>
      </c>
      <c r="J304" s="144" t="str">
        <f>IF(Formulario!F312&lt;&gt;"",IF(Formulario!F312=" "," ",Formulario!F312)," ")</f>
        <v xml:space="preserve"> </v>
      </c>
      <c r="K304" s="144" t="str">
        <f>IF(Formulario!G312&lt;&gt;"",IF(Formulario!G312=" "," ",Formulario!G312)," ")</f>
        <v xml:space="preserve"> </v>
      </c>
      <c r="L304" s="144" t="str">
        <f>IF(Formulario!H312&lt;&gt;"",IF(Formulario!H312=" "," ",Formulario!H312)," ")</f>
        <v xml:space="preserve"> </v>
      </c>
      <c r="M304" s="144" t="str">
        <f>IF(Formulario!I312&lt;&gt;"",IF(Formulario!I312=" "," ",Formulario!I312)," ")</f>
        <v xml:space="preserve"> </v>
      </c>
      <c r="N304" s="145" t="str">
        <f>IF(Formulario!J312&lt;&gt;"",IF(Formulario!J312=" "," ",Formulario!J312),IF(G304=".",".","Falta Fecha"))</f>
        <v>.</v>
      </c>
      <c r="O304" s="155">
        <f>Formulario!L312</f>
        <v>0</v>
      </c>
      <c r="P304" s="146">
        <f>IF(O304=1,"09:00",Formulario!M312)</f>
        <v>0</v>
      </c>
      <c r="Q304" s="146">
        <f>IF(O304=1,"18:30",Formulario!N312)</f>
        <v>0</v>
      </c>
      <c r="R304" s="146" t="str">
        <f>IF(Formulario!O312&lt;&gt;"",IF(Formulario!O312=" ",".",Formulario!O312),".")</f>
        <v>Post Venta</v>
      </c>
      <c r="S304" s="141" t="s">
        <v>131</v>
      </c>
    </row>
    <row r="305" spans="1:19">
      <c r="A305" s="141">
        <f>Formulario!B313</f>
        <v>0</v>
      </c>
      <c r="B305" s="144" t="str">
        <f>IF(G305="."," ",Formulario!D$5)</f>
        <v xml:space="preserve"> </v>
      </c>
      <c r="C305" s="144" t="str">
        <f>IF(G305=".","",Formulario!D$6)</f>
        <v/>
      </c>
      <c r="D305" s="144" t="str">
        <f>IF(H305=".","",Formulario!D$7)</f>
        <v/>
      </c>
      <c r="E305" s="144" t="str">
        <f>IF(G305=".","",Formulario!J$5)</f>
        <v/>
      </c>
      <c r="F305" s="145" t="str">
        <f>IF(G305=".","",Formulario!J$6)</f>
        <v/>
      </c>
      <c r="G305" s="180" t="str">
        <f>IF(Formulario!C313&lt;&gt;"",IF(Formulario!C313=" ","Falta Depto",IF(H305=".","Error En Descripción",Formulario!C313)),IF(H305=".",".","Falta Datos"))</f>
        <v>.</v>
      </c>
      <c r="H305" s="144" t="str">
        <f>IF(Formulario!D313&lt;&gt;"",IF(Formulario!D313=" ",".",Formulario!D313),".")</f>
        <v>.</v>
      </c>
      <c r="I305" s="144" t="str">
        <f>IF(Formulario!E313&lt;&gt;"",IF(Formulario!E313=" "," ",Formulario!E313),IF(G305=".",".","Falta Propietario"))</f>
        <v>.</v>
      </c>
      <c r="J305" s="144" t="str">
        <f>IF(Formulario!F313&lt;&gt;"",IF(Formulario!F313=" "," ",Formulario!F313)," ")</f>
        <v xml:space="preserve"> </v>
      </c>
      <c r="K305" s="144" t="str">
        <f>IF(Formulario!G313&lt;&gt;"",IF(Formulario!G313=" "," ",Formulario!G313)," ")</f>
        <v xml:space="preserve"> </v>
      </c>
      <c r="L305" s="144" t="str">
        <f>IF(Formulario!H313&lt;&gt;"",IF(Formulario!H313=" "," ",Formulario!H313)," ")</f>
        <v xml:space="preserve"> </v>
      </c>
      <c r="M305" s="144" t="str">
        <f>IF(Formulario!I313&lt;&gt;"",IF(Formulario!I313=" "," ",Formulario!I313)," ")</f>
        <v xml:space="preserve"> </v>
      </c>
      <c r="N305" s="145" t="str">
        <f>IF(Formulario!J313&lt;&gt;"",IF(Formulario!J313=" "," ",Formulario!J313),IF(G305=".",".","Falta Fecha"))</f>
        <v>.</v>
      </c>
      <c r="O305" s="155">
        <f>Formulario!L313</f>
        <v>0</v>
      </c>
      <c r="P305" s="146">
        <f>IF(O305=1,"09:00",Formulario!M313)</f>
        <v>0</v>
      </c>
      <c r="Q305" s="146">
        <f>IF(O305=1,"18:30",Formulario!N313)</f>
        <v>0</v>
      </c>
      <c r="R305" s="146" t="str">
        <f>IF(Formulario!O313&lt;&gt;"",IF(Formulario!O313=" ",".",Formulario!O313),".")</f>
        <v>Post Venta</v>
      </c>
      <c r="S305" s="141" t="s">
        <v>131</v>
      </c>
    </row>
    <row r="306" spans="1:19">
      <c r="A306" s="141">
        <f>Formulario!B314</f>
        <v>0</v>
      </c>
      <c r="B306" s="144" t="str">
        <f>IF(G306="."," ",Formulario!D$5)</f>
        <v xml:space="preserve"> </v>
      </c>
      <c r="C306" s="144" t="str">
        <f>IF(G306=".","",Formulario!D$6)</f>
        <v/>
      </c>
      <c r="D306" s="144" t="str">
        <f>IF(H306=".","",Formulario!D$7)</f>
        <v/>
      </c>
      <c r="E306" s="144" t="str">
        <f>IF(G306=".","",Formulario!J$5)</f>
        <v/>
      </c>
      <c r="F306" s="145" t="str">
        <f>IF(G306=".","",Formulario!J$6)</f>
        <v/>
      </c>
      <c r="G306" s="180" t="str">
        <f>IF(Formulario!C314&lt;&gt;"",IF(Formulario!C314=" ","Falta Depto",IF(H306=".","Error En Descripción",Formulario!C314)),IF(H306=".",".","Falta Datos"))</f>
        <v>.</v>
      </c>
      <c r="H306" s="144" t="str">
        <f>IF(Formulario!D314&lt;&gt;"",IF(Formulario!D314=" ",".",Formulario!D314),".")</f>
        <v>.</v>
      </c>
      <c r="I306" s="144" t="str">
        <f>IF(Formulario!E314&lt;&gt;"",IF(Formulario!E314=" "," ",Formulario!E314),IF(G306=".",".","Falta Propietario"))</f>
        <v>.</v>
      </c>
      <c r="J306" s="144" t="str">
        <f>IF(Formulario!F314&lt;&gt;"",IF(Formulario!F314=" "," ",Formulario!F314)," ")</f>
        <v xml:space="preserve"> </v>
      </c>
      <c r="K306" s="144" t="str">
        <f>IF(Formulario!G314&lt;&gt;"",IF(Formulario!G314=" "," ",Formulario!G314)," ")</f>
        <v xml:space="preserve"> </v>
      </c>
      <c r="L306" s="144" t="str">
        <f>IF(Formulario!H314&lt;&gt;"",IF(Formulario!H314=" "," ",Formulario!H314)," ")</f>
        <v xml:space="preserve"> </v>
      </c>
      <c r="M306" s="144" t="str">
        <f>IF(Formulario!I314&lt;&gt;"",IF(Formulario!I314=" "," ",Formulario!I314)," ")</f>
        <v xml:space="preserve"> </v>
      </c>
      <c r="N306" s="145" t="str">
        <f>IF(Formulario!J314&lt;&gt;"",IF(Formulario!J314=" "," ",Formulario!J314),IF(G306=".",".","Falta Fecha"))</f>
        <v>.</v>
      </c>
      <c r="O306" s="155">
        <f>Formulario!L314</f>
        <v>0</v>
      </c>
      <c r="P306" s="146">
        <f>IF(O306=1,"09:00",Formulario!M314)</f>
        <v>0</v>
      </c>
      <c r="Q306" s="146">
        <f>IF(O306=1,"18:30",Formulario!N314)</f>
        <v>0</v>
      </c>
      <c r="R306" s="146" t="str">
        <f>IF(Formulario!O314&lt;&gt;"",IF(Formulario!O314=" ",".",Formulario!O314),".")</f>
        <v>Post Venta</v>
      </c>
      <c r="S306" s="141" t="s">
        <v>131</v>
      </c>
    </row>
    <row r="307" spans="1:19">
      <c r="A307" s="141">
        <f>Formulario!B315</f>
        <v>0</v>
      </c>
      <c r="B307" s="144" t="str">
        <f>IF(G307="."," ",Formulario!D$5)</f>
        <v xml:space="preserve"> </v>
      </c>
      <c r="C307" s="144" t="str">
        <f>IF(G307=".","",Formulario!D$6)</f>
        <v/>
      </c>
      <c r="D307" s="144" t="str">
        <f>IF(H307=".","",Formulario!D$7)</f>
        <v/>
      </c>
      <c r="E307" s="144" t="str">
        <f>IF(G307=".","",Formulario!J$5)</f>
        <v/>
      </c>
      <c r="F307" s="145" t="str">
        <f>IF(G307=".","",Formulario!J$6)</f>
        <v/>
      </c>
      <c r="G307" s="180" t="str">
        <f>IF(Formulario!C315&lt;&gt;"",IF(Formulario!C315=" ","Falta Depto",IF(H307=".","Error En Descripción",Formulario!C315)),IF(H307=".",".","Falta Datos"))</f>
        <v>.</v>
      </c>
      <c r="H307" s="144" t="str">
        <f>IF(Formulario!D315&lt;&gt;"",IF(Formulario!D315=" ",".",Formulario!D315),".")</f>
        <v>.</v>
      </c>
      <c r="I307" s="144" t="str">
        <f>IF(Formulario!E315&lt;&gt;"",IF(Formulario!E315=" "," ",Formulario!E315),IF(G307=".",".","Falta Propietario"))</f>
        <v>.</v>
      </c>
      <c r="J307" s="144" t="str">
        <f>IF(Formulario!F315&lt;&gt;"",IF(Formulario!F315=" "," ",Formulario!F315)," ")</f>
        <v xml:space="preserve"> </v>
      </c>
      <c r="K307" s="144" t="str">
        <f>IF(Formulario!G315&lt;&gt;"",IF(Formulario!G315=" "," ",Formulario!G315)," ")</f>
        <v xml:space="preserve"> </v>
      </c>
      <c r="L307" s="144" t="str">
        <f>IF(Formulario!H315&lt;&gt;"",IF(Formulario!H315=" "," ",Formulario!H315)," ")</f>
        <v xml:space="preserve"> </v>
      </c>
      <c r="M307" s="144" t="str">
        <f>IF(Formulario!I315&lt;&gt;"",IF(Formulario!I315=" "," ",Formulario!I315)," ")</f>
        <v xml:space="preserve"> </v>
      </c>
      <c r="N307" s="145" t="str">
        <f>IF(Formulario!J315&lt;&gt;"",IF(Formulario!J315=" "," ",Formulario!J315),IF(G307=".",".","Falta Fecha"))</f>
        <v>.</v>
      </c>
      <c r="O307" s="155">
        <f>Formulario!L315</f>
        <v>0</v>
      </c>
      <c r="P307" s="146">
        <f>IF(O307=1,"09:00",Formulario!M315)</f>
        <v>0</v>
      </c>
      <c r="Q307" s="146">
        <f>IF(O307=1,"18:30",Formulario!N315)</f>
        <v>0</v>
      </c>
      <c r="R307" s="146" t="str">
        <f>IF(Formulario!O315&lt;&gt;"",IF(Formulario!O315=" ",".",Formulario!O315),".")</f>
        <v>Post Venta</v>
      </c>
      <c r="S307" s="141" t="s">
        <v>131</v>
      </c>
    </row>
    <row r="308" spans="1:19">
      <c r="A308" s="141">
        <f>Formulario!B316</f>
        <v>0</v>
      </c>
      <c r="B308" s="144" t="str">
        <f>IF(G308="."," ",Formulario!D$5)</f>
        <v xml:space="preserve"> </v>
      </c>
      <c r="C308" s="144" t="str">
        <f>IF(G308=".","",Formulario!D$6)</f>
        <v/>
      </c>
      <c r="D308" s="144" t="str">
        <f>IF(H308=".","",Formulario!D$7)</f>
        <v/>
      </c>
      <c r="E308" s="144" t="str">
        <f>IF(G308=".","",Formulario!J$5)</f>
        <v/>
      </c>
      <c r="F308" s="145" t="str">
        <f>IF(G308=".","",Formulario!J$6)</f>
        <v/>
      </c>
      <c r="G308" s="180" t="str">
        <f>IF(Formulario!C316&lt;&gt;"",IF(Formulario!C316=" ","Falta Depto",IF(H308=".","Error En Descripción",Formulario!C316)),IF(H308=".",".","Falta Datos"))</f>
        <v>.</v>
      </c>
      <c r="H308" s="144" t="str">
        <f>IF(Formulario!D316&lt;&gt;"",IF(Formulario!D316=" ",".",Formulario!D316),".")</f>
        <v>.</v>
      </c>
      <c r="I308" s="144" t="str">
        <f>IF(Formulario!E316&lt;&gt;"",IF(Formulario!E316=" "," ",Formulario!E316),IF(G308=".",".","Falta Propietario"))</f>
        <v>.</v>
      </c>
      <c r="J308" s="144" t="str">
        <f>IF(Formulario!F316&lt;&gt;"",IF(Formulario!F316=" "," ",Formulario!F316)," ")</f>
        <v xml:space="preserve"> </v>
      </c>
      <c r="K308" s="144" t="str">
        <f>IF(Formulario!G316&lt;&gt;"",IF(Formulario!G316=" "," ",Formulario!G316)," ")</f>
        <v xml:space="preserve"> </v>
      </c>
      <c r="L308" s="144" t="str">
        <f>IF(Formulario!H316&lt;&gt;"",IF(Formulario!H316=" "," ",Formulario!H316)," ")</f>
        <v xml:space="preserve"> </v>
      </c>
      <c r="M308" s="144" t="str">
        <f>IF(Formulario!I316&lt;&gt;"",IF(Formulario!I316=" "," ",Formulario!I316)," ")</f>
        <v xml:space="preserve"> </v>
      </c>
      <c r="N308" s="145" t="str">
        <f>IF(Formulario!J316&lt;&gt;"",IF(Formulario!J316=" "," ",Formulario!J316),IF(G308=".",".","Falta Fecha"))</f>
        <v>.</v>
      </c>
      <c r="O308" s="155">
        <f>Formulario!L316</f>
        <v>0</v>
      </c>
      <c r="P308" s="146">
        <f>IF(O308=1,"09:00",Formulario!M316)</f>
        <v>0</v>
      </c>
      <c r="Q308" s="146">
        <f>IF(O308=1,"18:30",Formulario!N316)</f>
        <v>0</v>
      </c>
      <c r="R308" s="146" t="str">
        <f>IF(Formulario!O316&lt;&gt;"",IF(Formulario!O316=" ",".",Formulario!O316),".")</f>
        <v>Post Venta</v>
      </c>
      <c r="S308" s="141" t="s">
        <v>131</v>
      </c>
    </row>
    <row r="309" spans="1:19">
      <c r="A309" s="141">
        <f>Formulario!B317</f>
        <v>0</v>
      </c>
      <c r="B309" s="144" t="str">
        <f>IF(G309="."," ",Formulario!D$5)</f>
        <v xml:space="preserve"> </v>
      </c>
      <c r="C309" s="144" t="str">
        <f>IF(G309=".","",Formulario!D$6)</f>
        <v/>
      </c>
      <c r="D309" s="144" t="str">
        <f>IF(H309=".","",Formulario!D$7)</f>
        <v/>
      </c>
      <c r="E309" s="144" t="str">
        <f>IF(G309=".","",Formulario!J$5)</f>
        <v/>
      </c>
      <c r="F309" s="145" t="str">
        <f>IF(G309=".","",Formulario!J$6)</f>
        <v/>
      </c>
      <c r="G309" s="180" t="str">
        <f>IF(Formulario!C317&lt;&gt;"",IF(Formulario!C317=" ","Falta Depto",IF(H309=".","Error En Descripción",Formulario!C317)),IF(H309=".",".","Falta Datos"))</f>
        <v>.</v>
      </c>
      <c r="H309" s="144" t="str">
        <f>IF(Formulario!D317&lt;&gt;"",IF(Formulario!D317=" ",".",Formulario!D317),".")</f>
        <v>.</v>
      </c>
      <c r="I309" s="144" t="str">
        <f>IF(Formulario!E317&lt;&gt;"",IF(Formulario!E317=" "," ",Formulario!E317),IF(G309=".",".","Falta Propietario"))</f>
        <v>.</v>
      </c>
      <c r="J309" s="144" t="str">
        <f>IF(Formulario!F317&lt;&gt;"",IF(Formulario!F317=" "," ",Formulario!F317)," ")</f>
        <v xml:space="preserve"> </v>
      </c>
      <c r="K309" s="144" t="str">
        <f>IF(Formulario!G317&lt;&gt;"",IF(Formulario!G317=" "," ",Formulario!G317)," ")</f>
        <v xml:space="preserve"> </v>
      </c>
      <c r="L309" s="144" t="str">
        <f>IF(Formulario!H317&lt;&gt;"",IF(Formulario!H317=" "," ",Formulario!H317)," ")</f>
        <v xml:space="preserve"> </v>
      </c>
      <c r="M309" s="144" t="str">
        <f>IF(Formulario!I317&lt;&gt;"",IF(Formulario!I317=" "," ",Formulario!I317)," ")</f>
        <v xml:space="preserve"> </v>
      </c>
      <c r="N309" s="145" t="str">
        <f>IF(Formulario!J317&lt;&gt;"",IF(Formulario!J317=" "," ",Formulario!J317),IF(G309=".",".","Falta Fecha"))</f>
        <v>.</v>
      </c>
      <c r="O309" s="155">
        <f>Formulario!L317</f>
        <v>0</v>
      </c>
      <c r="P309" s="146">
        <f>IF(O309=1,"09:00",Formulario!M317)</f>
        <v>0</v>
      </c>
      <c r="Q309" s="146">
        <f>IF(O309=1,"18:30",Formulario!N317)</f>
        <v>0</v>
      </c>
      <c r="R309" s="146" t="str">
        <f>IF(Formulario!O317&lt;&gt;"",IF(Formulario!O317=" ",".",Formulario!O317),".")</f>
        <v>Post Venta</v>
      </c>
      <c r="S309" s="141" t="s">
        <v>131</v>
      </c>
    </row>
    <row r="310" spans="1:19">
      <c r="A310" s="141">
        <f>Formulario!B318</f>
        <v>0</v>
      </c>
      <c r="B310" s="144" t="str">
        <f>IF(G310="."," ",Formulario!D$5)</f>
        <v xml:space="preserve"> </v>
      </c>
      <c r="C310" s="144" t="str">
        <f>IF(G310=".","",Formulario!D$6)</f>
        <v/>
      </c>
      <c r="D310" s="144" t="str">
        <f>IF(H310=".","",Formulario!D$7)</f>
        <v/>
      </c>
      <c r="E310" s="144" t="str">
        <f>IF(G310=".","",Formulario!J$5)</f>
        <v/>
      </c>
      <c r="F310" s="145" t="str">
        <f>IF(G310=".","",Formulario!J$6)</f>
        <v/>
      </c>
      <c r="G310" s="180" t="str">
        <f>IF(Formulario!C318&lt;&gt;"",IF(Formulario!C318=" ","Falta Depto",IF(H310=".","Error En Descripción",Formulario!C318)),IF(H310=".",".","Falta Datos"))</f>
        <v>.</v>
      </c>
      <c r="H310" s="144" t="str">
        <f>IF(Formulario!D318&lt;&gt;"",IF(Formulario!D318=" ",".",Formulario!D318),".")</f>
        <v>.</v>
      </c>
      <c r="I310" s="144" t="str">
        <f>IF(Formulario!E318&lt;&gt;"",IF(Formulario!E318=" "," ",Formulario!E318),IF(G310=".",".","Falta Propietario"))</f>
        <v>.</v>
      </c>
      <c r="J310" s="144" t="str">
        <f>IF(Formulario!F318&lt;&gt;"",IF(Formulario!F318=" "," ",Formulario!F318)," ")</f>
        <v xml:space="preserve"> </v>
      </c>
      <c r="K310" s="144" t="str">
        <f>IF(Formulario!G318&lt;&gt;"",IF(Formulario!G318=" "," ",Formulario!G318)," ")</f>
        <v xml:space="preserve"> </v>
      </c>
      <c r="L310" s="144" t="str">
        <f>IF(Formulario!H318&lt;&gt;"",IF(Formulario!H318=" "," ",Formulario!H318)," ")</f>
        <v xml:space="preserve"> </v>
      </c>
      <c r="M310" s="144" t="str">
        <f>IF(Formulario!I318&lt;&gt;"",IF(Formulario!I318=" "," ",Formulario!I318)," ")</f>
        <v xml:space="preserve"> </v>
      </c>
      <c r="N310" s="145" t="str">
        <f>IF(Formulario!J318&lt;&gt;"",IF(Formulario!J318=" "," ",Formulario!J318),IF(G310=".",".","Falta Fecha"))</f>
        <v>.</v>
      </c>
      <c r="O310" s="155">
        <f>Formulario!L318</f>
        <v>0</v>
      </c>
      <c r="P310" s="146">
        <f>IF(O310=1,"09:00",Formulario!M318)</f>
        <v>0</v>
      </c>
      <c r="Q310" s="146">
        <f>IF(O310=1,"18:30",Formulario!N318)</f>
        <v>0</v>
      </c>
      <c r="R310" s="146" t="str">
        <f>IF(Formulario!O318&lt;&gt;"",IF(Formulario!O318=" ",".",Formulario!O318),".")</f>
        <v>Post Venta</v>
      </c>
      <c r="S310" s="141" t="s">
        <v>131</v>
      </c>
    </row>
    <row r="311" spans="1:19">
      <c r="A311" s="141">
        <f>Formulario!B319</f>
        <v>0</v>
      </c>
      <c r="B311" s="144" t="str">
        <f>IF(G311="."," ",Formulario!D$5)</f>
        <v xml:space="preserve"> </v>
      </c>
      <c r="C311" s="144" t="str">
        <f>IF(G311=".","",Formulario!D$6)</f>
        <v/>
      </c>
      <c r="D311" s="144" t="str">
        <f>IF(H311=".","",Formulario!D$7)</f>
        <v/>
      </c>
      <c r="E311" s="144" t="str">
        <f>IF(G311=".","",Formulario!J$5)</f>
        <v/>
      </c>
      <c r="F311" s="145" t="str">
        <f>IF(G311=".","",Formulario!J$6)</f>
        <v/>
      </c>
      <c r="G311" s="180" t="str">
        <f>IF(Formulario!C319&lt;&gt;"",IF(Formulario!C319=" ","Falta Depto",IF(H311=".","Error En Descripción",Formulario!C319)),IF(H311=".",".","Falta Datos"))</f>
        <v>.</v>
      </c>
      <c r="H311" s="144" t="str">
        <f>IF(Formulario!D319&lt;&gt;"",IF(Formulario!D319=" ",".",Formulario!D319),".")</f>
        <v>.</v>
      </c>
      <c r="I311" s="144" t="str">
        <f>IF(Formulario!E319&lt;&gt;"",IF(Formulario!E319=" "," ",Formulario!E319),IF(G311=".",".","Falta Propietario"))</f>
        <v>.</v>
      </c>
      <c r="J311" s="144" t="str">
        <f>IF(Formulario!F319&lt;&gt;"",IF(Formulario!F319=" "," ",Formulario!F319)," ")</f>
        <v xml:space="preserve"> </v>
      </c>
      <c r="K311" s="144" t="str">
        <f>IF(Formulario!G319&lt;&gt;"",IF(Formulario!G319=" "," ",Formulario!G319)," ")</f>
        <v xml:space="preserve"> </v>
      </c>
      <c r="L311" s="144" t="str">
        <f>IF(Formulario!H319&lt;&gt;"",IF(Formulario!H319=" "," ",Formulario!H319)," ")</f>
        <v xml:space="preserve"> </v>
      </c>
      <c r="M311" s="144" t="str">
        <f>IF(Formulario!I319&lt;&gt;"",IF(Formulario!I319=" "," ",Formulario!I319)," ")</f>
        <v xml:space="preserve"> </v>
      </c>
      <c r="N311" s="145" t="str">
        <f>IF(Formulario!J319&lt;&gt;"",IF(Formulario!J319=" "," ",Formulario!J319),IF(G311=".",".","Falta Fecha"))</f>
        <v>.</v>
      </c>
      <c r="O311" s="155">
        <f>Formulario!L319</f>
        <v>0</v>
      </c>
      <c r="P311" s="146">
        <f>IF(O311=1,"09:00",Formulario!M319)</f>
        <v>0</v>
      </c>
      <c r="Q311" s="146">
        <f>IF(O311=1,"18:30",Formulario!N319)</f>
        <v>0</v>
      </c>
      <c r="R311" s="146" t="str">
        <f>IF(Formulario!O319&lt;&gt;"",IF(Formulario!O319=" ",".",Formulario!O319),".")</f>
        <v>Post Venta</v>
      </c>
      <c r="S311" s="141" t="s">
        <v>131</v>
      </c>
    </row>
    <row r="312" spans="1:19">
      <c r="A312" s="141">
        <f>Formulario!B320</f>
        <v>0</v>
      </c>
      <c r="B312" s="144" t="str">
        <f>IF(G312="."," ",Formulario!D$5)</f>
        <v xml:space="preserve"> </v>
      </c>
      <c r="C312" s="144" t="str">
        <f>IF(G312=".","",Formulario!D$6)</f>
        <v/>
      </c>
      <c r="D312" s="144" t="str">
        <f>IF(H312=".","",Formulario!D$7)</f>
        <v/>
      </c>
      <c r="E312" s="144" t="str">
        <f>IF(G312=".","",Formulario!J$5)</f>
        <v/>
      </c>
      <c r="F312" s="145" t="str">
        <f>IF(G312=".","",Formulario!J$6)</f>
        <v/>
      </c>
      <c r="G312" s="180" t="str">
        <f>IF(Formulario!C320&lt;&gt;"",IF(Formulario!C320=" ","Falta Depto",IF(H312=".","Error En Descripción",Formulario!C320)),IF(H312=".",".","Falta Datos"))</f>
        <v>.</v>
      </c>
      <c r="H312" s="144" t="str">
        <f>IF(Formulario!D320&lt;&gt;"",IF(Formulario!D320=" ",".",Formulario!D320),".")</f>
        <v>.</v>
      </c>
      <c r="I312" s="144" t="str">
        <f>IF(Formulario!E320&lt;&gt;"",IF(Formulario!E320=" "," ",Formulario!E320),IF(G312=".",".","Falta Propietario"))</f>
        <v>.</v>
      </c>
      <c r="J312" s="144" t="str">
        <f>IF(Formulario!F320&lt;&gt;"",IF(Formulario!F320=" "," ",Formulario!F320)," ")</f>
        <v xml:space="preserve"> </v>
      </c>
      <c r="K312" s="144" t="str">
        <f>IF(Formulario!G320&lt;&gt;"",IF(Formulario!G320=" "," ",Formulario!G320)," ")</f>
        <v xml:space="preserve"> </v>
      </c>
      <c r="L312" s="144" t="str">
        <f>IF(Formulario!H320&lt;&gt;"",IF(Formulario!H320=" "," ",Formulario!H320)," ")</f>
        <v xml:space="preserve"> </v>
      </c>
      <c r="M312" s="144" t="str">
        <f>IF(Formulario!I320&lt;&gt;"",IF(Formulario!I320=" "," ",Formulario!I320)," ")</f>
        <v xml:space="preserve"> </v>
      </c>
      <c r="N312" s="145" t="str">
        <f>IF(Formulario!J320&lt;&gt;"",IF(Formulario!J320=" "," ",Formulario!J320),IF(G312=".",".","Falta Fecha"))</f>
        <v>.</v>
      </c>
      <c r="O312" s="155">
        <f>Formulario!L320</f>
        <v>0</v>
      </c>
      <c r="P312" s="146">
        <f>IF(O312=1,"09:00",Formulario!M320)</f>
        <v>0</v>
      </c>
      <c r="Q312" s="146">
        <f>IF(O312=1,"18:30",Formulario!N320)</f>
        <v>0</v>
      </c>
      <c r="R312" s="146" t="str">
        <f>IF(Formulario!O320&lt;&gt;"",IF(Formulario!O320=" ",".",Formulario!O320),".")</f>
        <v>Post Venta</v>
      </c>
      <c r="S312" s="141" t="s">
        <v>131</v>
      </c>
    </row>
    <row r="313" spans="1:19">
      <c r="A313" s="141">
        <f>Formulario!B321</f>
        <v>0</v>
      </c>
      <c r="B313" s="144" t="str">
        <f>IF(G313="."," ",Formulario!D$5)</f>
        <v xml:space="preserve"> </v>
      </c>
      <c r="C313" s="144" t="str">
        <f>IF(G313=".","",Formulario!D$6)</f>
        <v/>
      </c>
      <c r="D313" s="144" t="str">
        <f>IF(H313=".","",Formulario!D$7)</f>
        <v/>
      </c>
      <c r="E313" s="144" t="str">
        <f>IF(G313=".","",Formulario!J$5)</f>
        <v/>
      </c>
      <c r="F313" s="145" t="str">
        <f>IF(G313=".","",Formulario!J$6)</f>
        <v/>
      </c>
      <c r="G313" s="180" t="str">
        <f>IF(Formulario!C321&lt;&gt;"",IF(Formulario!C321=" ","Falta Depto",IF(H313=".","Error En Descripción",Formulario!C321)),IF(H313=".",".","Falta Datos"))</f>
        <v>.</v>
      </c>
      <c r="H313" s="144" t="str">
        <f>IF(Formulario!D321&lt;&gt;"",IF(Formulario!D321=" ",".",Formulario!D321),".")</f>
        <v>.</v>
      </c>
      <c r="I313" s="144" t="str">
        <f>IF(Formulario!E321&lt;&gt;"",IF(Formulario!E321=" "," ",Formulario!E321),IF(G313=".",".","Falta Propietario"))</f>
        <v>.</v>
      </c>
      <c r="J313" s="144" t="str">
        <f>IF(Formulario!F321&lt;&gt;"",IF(Formulario!F321=" "," ",Formulario!F321)," ")</f>
        <v xml:space="preserve"> </v>
      </c>
      <c r="K313" s="144" t="str">
        <f>IF(Formulario!G321&lt;&gt;"",IF(Formulario!G321=" "," ",Formulario!G321)," ")</f>
        <v xml:space="preserve"> </v>
      </c>
      <c r="L313" s="144" t="str">
        <f>IF(Formulario!H321&lt;&gt;"",IF(Formulario!H321=" "," ",Formulario!H321)," ")</f>
        <v xml:space="preserve"> </v>
      </c>
      <c r="M313" s="144" t="str">
        <f>IF(Formulario!I321&lt;&gt;"",IF(Formulario!I321=" "," ",Formulario!I321)," ")</f>
        <v xml:space="preserve"> </v>
      </c>
      <c r="N313" s="145" t="str">
        <f>IF(Formulario!J321&lt;&gt;"",IF(Formulario!J321=" "," ",Formulario!J321),IF(G313=".",".","Falta Fecha"))</f>
        <v>.</v>
      </c>
      <c r="O313" s="155">
        <f>Formulario!L321</f>
        <v>0</v>
      </c>
      <c r="P313" s="146">
        <f>IF(O313=1,"09:00",Formulario!M321)</f>
        <v>0</v>
      </c>
      <c r="Q313" s="146">
        <f>IF(O313=1,"18:30",Formulario!N321)</f>
        <v>0</v>
      </c>
      <c r="R313" s="146" t="str">
        <f>IF(Formulario!O321&lt;&gt;"",IF(Formulario!O321=" ",".",Formulario!O321),".")</f>
        <v>Post Venta</v>
      </c>
      <c r="S313" s="141" t="s">
        <v>131</v>
      </c>
    </row>
    <row r="314" spans="1:19">
      <c r="A314" s="141">
        <f>Formulario!B322</f>
        <v>0</v>
      </c>
      <c r="B314" s="144" t="str">
        <f>IF(G314="."," ",Formulario!D$5)</f>
        <v xml:space="preserve"> </v>
      </c>
      <c r="C314" s="144" t="str">
        <f>IF(G314=".","",Formulario!D$6)</f>
        <v/>
      </c>
      <c r="D314" s="144" t="str">
        <f>IF(H314=".","",Formulario!D$7)</f>
        <v/>
      </c>
      <c r="E314" s="144" t="str">
        <f>IF(G314=".","",Formulario!J$5)</f>
        <v/>
      </c>
      <c r="F314" s="145" t="str">
        <f>IF(G314=".","",Formulario!J$6)</f>
        <v/>
      </c>
      <c r="G314" s="180" t="str">
        <f>IF(Formulario!C322&lt;&gt;"",IF(Formulario!C322=" ","Falta Depto",IF(H314=".","Error En Descripción",Formulario!C322)),IF(H314=".",".","Falta Datos"))</f>
        <v>.</v>
      </c>
      <c r="H314" s="144" t="str">
        <f>IF(Formulario!D322&lt;&gt;"",IF(Formulario!D322=" ",".",Formulario!D322),".")</f>
        <v>.</v>
      </c>
      <c r="I314" s="144" t="str">
        <f>IF(Formulario!E322&lt;&gt;"",IF(Formulario!E322=" "," ",Formulario!E322),IF(G314=".",".","Falta Propietario"))</f>
        <v>.</v>
      </c>
      <c r="J314" s="144" t="str">
        <f>IF(Formulario!F322&lt;&gt;"",IF(Formulario!F322=" "," ",Formulario!F322)," ")</f>
        <v xml:space="preserve"> </v>
      </c>
      <c r="K314" s="144" t="str">
        <f>IF(Formulario!G322&lt;&gt;"",IF(Formulario!G322=" "," ",Formulario!G322)," ")</f>
        <v xml:space="preserve"> </v>
      </c>
      <c r="L314" s="144" t="str">
        <f>IF(Formulario!H322&lt;&gt;"",IF(Formulario!H322=" "," ",Formulario!H322)," ")</f>
        <v xml:space="preserve"> </v>
      </c>
      <c r="M314" s="144" t="str">
        <f>IF(Formulario!I322&lt;&gt;"",IF(Formulario!I322=" "," ",Formulario!I322)," ")</f>
        <v xml:space="preserve"> </v>
      </c>
      <c r="N314" s="145" t="str">
        <f>IF(Formulario!J322&lt;&gt;"",IF(Formulario!J322=" "," ",Formulario!J322),IF(G314=".",".","Falta Fecha"))</f>
        <v>.</v>
      </c>
      <c r="O314" s="155">
        <f>Formulario!L322</f>
        <v>0</v>
      </c>
      <c r="P314" s="146">
        <f>IF(O314=1,"09:00",Formulario!M322)</f>
        <v>0</v>
      </c>
      <c r="Q314" s="146">
        <f>IF(O314=1,"18:30",Formulario!N322)</f>
        <v>0</v>
      </c>
      <c r="R314" s="146" t="str">
        <f>IF(Formulario!O322&lt;&gt;"",IF(Formulario!O322=" ",".",Formulario!O322),".")</f>
        <v>Post Venta</v>
      </c>
      <c r="S314" s="141" t="s">
        <v>131</v>
      </c>
    </row>
    <row r="315" spans="1:19">
      <c r="A315" s="141">
        <f>Formulario!B323</f>
        <v>0</v>
      </c>
      <c r="B315" s="144" t="str">
        <f>IF(G315="."," ",Formulario!D$5)</f>
        <v xml:space="preserve"> </v>
      </c>
      <c r="C315" s="144" t="str">
        <f>IF(G315=".","",Formulario!D$6)</f>
        <v/>
      </c>
      <c r="D315" s="144" t="str">
        <f>IF(H315=".","",Formulario!D$7)</f>
        <v/>
      </c>
      <c r="E315" s="144" t="str">
        <f>IF(G315=".","",Formulario!J$5)</f>
        <v/>
      </c>
      <c r="F315" s="145" t="str">
        <f>IF(G315=".","",Formulario!J$6)</f>
        <v/>
      </c>
      <c r="G315" s="180" t="str">
        <f>IF(Formulario!C323&lt;&gt;"",IF(Formulario!C323=" ","Falta Depto",IF(H315=".","Error En Descripción",Formulario!C323)),IF(H315=".",".","Falta Datos"))</f>
        <v>.</v>
      </c>
      <c r="H315" s="144" t="str">
        <f>IF(Formulario!D323&lt;&gt;"",IF(Formulario!D323=" ",".",Formulario!D323),".")</f>
        <v>.</v>
      </c>
      <c r="I315" s="144" t="str">
        <f>IF(Formulario!E323&lt;&gt;"",IF(Formulario!E323=" "," ",Formulario!E323),IF(G315=".",".","Falta Propietario"))</f>
        <v>.</v>
      </c>
      <c r="J315" s="144" t="str">
        <f>IF(Formulario!F323&lt;&gt;"",IF(Formulario!F323=" "," ",Formulario!F323)," ")</f>
        <v xml:space="preserve"> </v>
      </c>
      <c r="K315" s="144" t="str">
        <f>IF(Formulario!G323&lt;&gt;"",IF(Formulario!G323=" "," ",Formulario!G323)," ")</f>
        <v xml:space="preserve"> </v>
      </c>
      <c r="L315" s="144" t="str">
        <f>IF(Formulario!H323&lt;&gt;"",IF(Formulario!H323=" "," ",Formulario!H323)," ")</f>
        <v xml:space="preserve"> </v>
      </c>
      <c r="M315" s="144" t="str">
        <f>IF(Formulario!I323&lt;&gt;"",IF(Formulario!I323=" "," ",Formulario!I323)," ")</f>
        <v xml:space="preserve"> </v>
      </c>
      <c r="N315" s="145" t="str">
        <f>IF(Formulario!J323&lt;&gt;"",IF(Formulario!J323=" "," ",Formulario!J323),IF(G315=".",".","Falta Fecha"))</f>
        <v>.</v>
      </c>
      <c r="O315" s="155">
        <f>Formulario!L323</f>
        <v>0</v>
      </c>
      <c r="P315" s="146">
        <f>IF(O315=1,"09:00",Formulario!M323)</f>
        <v>0</v>
      </c>
      <c r="Q315" s="146">
        <f>IF(O315=1,"18:30",Formulario!N323)</f>
        <v>0</v>
      </c>
      <c r="R315" s="146" t="str">
        <f>IF(Formulario!O323&lt;&gt;"",IF(Formulario!O323=" ",".",Formulario!O323),".")</f>
        <v>Post Venta</v>
      </c>
      <c r="S315" s="141" t="s">
        <v>131</v>
      </c>
    </row>
    <row r="316" spans="1:19">
      <c r="A316" s="141">
        <f>Formulario!B324</f>
        <v>0</v>
      </c>
      <c r="B316" s="144" t="str">
        <f>IF(G316="."," ",Formulario!D$5)</f>
        <v xml:space="preserve"> </v>
      </c>
      <c r="C316" s="144" t="str">
        <f>IF(G316=".","",Formulario!D$6)</f>
        <v/>
      </c>
      <c r="D316" s="144" t="str">
        <f>IF(H316=".","",Formulario!D$7)</f>
        <v/>
      </c>
      <c r="E316" s="144" t="str">
        <f>IF(G316=".","",Formulario!J$5)</f>
        <v/>
      </c>
      <c r="F316" s="145" t="str">
        <f>IF(G316=".","",Formulario!J$6)</f>
        <v/>
      </c>
      <c r="G316" s="180" t="str">
        <f>IF(Formulario!C324&lt;&gt;"",IF(Formulario!C324=" ","Falta Depto",IF(H316=".","Error En Descripción",Formulario!C324)),IF(H316=".",".","Falta Datos"))</f>
        <v>.</v>
      </c>
      <c r="H316" s="144" t="str">
        <f>IF(Formulario!D324&lt;&gt;"",IF(Formulario!D324=" ",".",Formulario!D324),".")</f>
        <v>.</v>
      </c>
      <c r="I316" s="144" t="str">
        <f>IF(Formulario!E324&lt;&gt;"",IF(Formulario!E324=" "," ",Formulario!E324),IF(G316=".",".","Falta Propietario"))</f>
        <v>.</v>
      </c>
      <c r="J316" s="144" t="str">
        <f>IF(Formulario!F324&lt;&gt;"",IF(Formulario!F324=" "," ",Formulario!F324)," ")</f>
        <v xml:space="preserve"> </v>
      </c>
      <c r="K316" s="144" t="str">
        <f>IF(Formulario!G324&lt;&gt;"",IF(Formulario!G324=" "," ",Formulario!G324)," ")</f>
        <v xml:space="preserve"> </v>
      </c>
      <c r="L316" s="144" t="str">
        <f>IF(Formulario!H324&lt;&gt;"",IF(Formulario!H324=" "," ",Formulario!H324)," ")</f>
        <v xml:space="preserve"> </v>
      </c>
      <c r="M316" s="144" t="str">
        <f>IF(Formulario!I324&lt;&gt;"",IF(Formulario!I324=" "," ",Formulario!I324)," ")</f>
        <v xml:space="preserve"> </v>
      </c>
      <c r="N316" s="145" t="str">
        <f>IF(Formulario!J324&lt;&gt;"",IF(Formulario!J324=" "," ",Formulario!J324),IF(G316=".",".","Falta Fecha"))</f>
        <v>.</v>
      </c>
      <c r="O316" s="155">
        <f>Formulario!L324</f>
        <v>0</v>
      </c>
      <c r="P316" s="146">
        <f>IF(O316=1,"09:00",Formulario!M324)</f>
        <v>0</v>
      </c>
      <c r="Q316" s="146">
        <f>IF(O316=1,"18:30",Formulario!N324)</f>
        <v>0</v>
      </c>
      <c r="R316" s="146" t="str">
        <f>IF(Formulario!O324&lt;&gt;"",IF(Formulario!O324=" ",".",Formulario!O324),".")</f>
        <v>Post Venta</v>
      </c>
      <c r="S316" s="141" t="s">
        <v>131</v>
      </c>
    </row>
    <row r="317" spans="1:19">
      <c r="A317" s="141">
        <f>Formulario!B325</f>
        <v>0</v>
      </c>
      <c r="B317" s="144" t="str">
        <f>IF(G317="."," ",Formulario!D$5)</f>
        <v xml:space="preserve"> </v>
      </c>
      <c r="C317" s="144" t="str">
        <f>IF(G317=".","",Formulario!D$6)</f>
        <v/>
      </c>
      <c r="D317" s="144" t="str">
        <f>IF(H317=".","",Formulario!D$7)</f>
        <v/>
      </c>
      <c r="E317" s="144" t="str">
        <f>IF(G317=".","",Formulario!J$5)</f>
        <v/>
      </c>
      <c r="F317" s="145" t="str">
        <f>IF(G317=".","",Formulario!J$6)</f>
        <v/>
      </c>
      <c r="G317" s="180" t="str">
        <f>IF(Formulario!C325&lt;&gt;"",IF(Formulario!C325=" ","Falta Depto",IF(H317=".","Error En Descripción",Formulario!C325)),IF(H317=".",".","Falta Datos"))</f>
        <v>.</v>
      </c>
      <c r="H317" s="144" t="str">
        <f>IF(Formulario!D325&lt;&gt;"",IF(Formulario!D325=" ",".",Formulario!D325),".")</f>
        <v>.</v>
      </c>
      <c r="I317" s="144" t="str">
        <f>IF(Formulario!E325&lt;&gt;"",IF(Formulario!E325=" "," ",Formulario!E325),IF(G317=".",".","Falta Propietario"))</f>
        <v>.</v>
      </c>
      <c r="J317" s="144" t="str">
        <f>IF(Formulario!F325&lt;&gt;"",IF(Formulario!F325=" "," ",Formulario!F325)," ")</f>
        <v xml:space="preserve"> </v>
      </c>
      <c r="K317" s="144" t="str">
        <f>IF(Formulario!G325&lt;&gt;"",IF(Formulario!G325=" "," ",Formulario!G325)," ")</f>
        <v xml:space="preserve"> </v>
      </c>
      <c r="L317" s="144" t="str">
        <f>IF(Formulario!H325&lt;&gt;"",IF(Formulario!H325=" "," ",Formulario!H325)," ")</f>
        <v xml:space="preserve"> </v>
      </c>
      <c r="M317" s="144" t="str">
        <f>IF(Formulario!I325&lt;&gt;"",IF(Formulario!I325=" "," ",Formulario!I325)," ")</f>
        <v xml:space="preserve"> </v>
      </c>
      <c r="N317" s="145" t="str">
        <f>IF(Formulario!J325&lt;&gt;"",IF(Formulario!J325=" "," ",Formulario!J325),IF(G317=".",".","Falta Fecha"))</f>
        <v>.</v>
      </c>
      <c r="O317" s="155">
        <f>Formulario!L325</f>
        <v>0</v>
      </c>
      <c r="P317" s="146">
        <f>IF(O317=1,"09:00",Formulario!M325)</f>
        <v>0</v>
      </c>
      <c r="Q317" s="146">
        <f>IF(O317=1,"18:30",Formulario!N325)</f>
        <v>0</v>
      </c>
      <c r="R317" s="146" t="str">
        <f>IF(Formulario!O325&lt;&gt;"",IF(Formulario!O325=" ",".",Formulario!O325),".")</f>
        <v>Post Venta</v>
      </c>
      <c r="S317" s="141" t="s">
        <v>131</v>
      </c>
    </row>
    <row r="318" spans="1:19">
      <c r="A318" s="141">
        <f>Formulario!B326</f>
        <v>0</v>
      </c>
      <c r="B318" s="144" t="str">
        <f>IF(G318="."," ",Formulario!D$5)</f>
        <v xml:space="preserve"> </v>
      </c>
      <c r="C318" s="144" t="str">
        <f>IF(G318=".","",Formulario!D$6)</f>
        <v/>
      </c>
      <c r="D318" s="144" t="str">
        <f>IF(H318=".","",Formulario!D$7)</f>
        <v/>
      </c>
      <c r="E318" s="144" t="str">
        <f>IF(G318=".","",Formulario!J$5)</f>
        <v/>
      </c>
      <c r="F318" s="145" t="str">
        <f>IF(G318=".","",Formulario!J$6)</f>
        <v/>
      </c>
      <c r="G318" s="180" t="str">
        <f>IF(Formulario!C326&lt;&gt;"",IF(Formulario!C326=" ","Falta Depto",IF(H318=".","Error En Descripción",Formulario!C326)),IF(H318=".",".","Falta Datos"))</f>
        <v>.</v>
      </c>
      <c r="H318" s="144" t="str">
        <f>IF(Formulario!D326&lt;&gt;"",IF(Formulario!D326=" ",".",Formulario!D326),".")</f>
        <v>.</v>
      </c>
      <c r="I318" s="144" t="str">
        <f>IF(Formulario!E326&lt;&gt;"",IF(Formulario!E326=" "," ",Formulario!E326),IF(G318=".",".","Falta Propietario"))</f>
        <v>.</v>
      </c>
      <c r="J318" s="144" t="str">
        <f>IF(Formulario!F326&lt;&gt;"",IF(Formulario!F326=" "," ",Formulario!F326)," ")</f>
        <v xml:space="preserve"> </v>
      </c>
      <c r="K318" s="144" t="str">
        <f>IF(Formulario!G326&lt;&gt;"",IF(Formulario!G326=" "," ",Formulario!G326)," ")</f>
        <v xml:space="preserve"> </v>
      </c>
      <c r="L318" s="144" t="str">
        <f>IF(Formulario!H326&lt;&gt;"",IF(Formulario!H326=" "," ",Formulario!H326)," ")</f>
        <v xml:space="preserve"> </v>
      </c>
      <c r="M318" s="144" t="str">
        <f>IF(Formulario!I326&lt;&gt;"",IF(Formulario!I326=" "," ",Formulario!I326)," ")</f>
        <v xml:space="preserve"> </v>
      </c>
      <c r="N318" s="145" t="str">
        <f>IF(Formulario!J326&lt;&gt;"",IF(Formulario!J326=" "," ",Formulario!J326),IF(G318=".",".","Falta Fecha"))</f>
        <v>.</v>
      </c>
      <c r="O318" s="155">
        <f>Formulario!L326</f>
        <v>0</v>
      </c>
      <c r="P318" s="146">
        <f>IF(O318=1,"09:00",Formulario!M326)</f>
        <v>0</v>
      </c>
      <c r="Q318" s="146">
        <f>IF(O318=1,"18:30",Formulario!N326)</f>
        <v>0</v>
      </c>
      <c r="R318" s="146" t="str">
        <f>IF(Formulario!O326&lt;&gt;"",IF(Formulario!O326=" ",".",Formulario!O326),".")</f>
        <v>Post Venta</v>
      </c>
      <c r="S318" s="141" t="s">
        <v>131</v>
      </c>
    </row>
    <row r="319" spans="1:19">
      <c r="A319" s="141">
        <f>Formulario!B327</f>
        <v>0</v>
      </c>
      <c r="B319" s="144" t="str">
        <f>IF(G319="."," ",Formulario!D$5)</f>
        <v xml:space="preserve"> </v>
      </c>
      <c r="C319" s="144" t="str">
        <f>IF(G319=".","",Formulario!D$6)</f>
        <v/>
      </c>
      <c r="D319" s="144" t="str">
        <f>IF(H319=".","",Formulario!D$7)</f>
        <v/>
      </c>
      <c r="E319" s="144" t="str">
        <f>IF(G319=".","",Formulario!J$5)</f>
        <v/>
      </c>
      <c r="F319" s="145" t="str">
        <f>IF(G319=".","",Formulario!J$6)</f>
        <v/>
      </c>
      <c r="G319" s="180" t="str">
        <f>IF(Formulario!C327&lt;&gt;"",IF(Formulario!C327=" ","Falta Depto",IF(H319=".","Error En Descripción",Formulario!C327)),IF(H319=".",".","Falta Datos"))</f>
        <v>.</v>
      </c>
      <c r="H319" s="144" t="str">
        <f>IF(Formulario!D327&lt;&gt;"",IF(Formulario!D327=" ",".",Formulario!D327),".")</f>
        <v>.</v>
      </c>
      <c r="I319" s="144" t="str">
        <f>IF(Formulario!E327&lt;&gt;"",IF(Formulario!E327=" "," ",Formulario!E327),IF(G319=".",".","Falta Propietario"))</f>
        <v>.</v>
      </c>
      <c r="J319" s="144" t="str">
        <f>IF(Formulario!F327&lt;&gt;"",IF(Formulario!F327=" "," ",Formulario!F327)," ")</f>
        <v xml:space="preserve"> </v>
      </c>
      <c r="K319" s="144" t="str">
        <f>IF(Formulario!G327&lt;&gt;"",IF(Formulario!G327=" "," ",Formulario!G327)," ")</f>
        <v xml:space="preserve"> </v>
      </c>
      <c r="L319" s="144" t="str">
        <f>IF(Formulario!H327&lt;&gt;"",IF(Formulario!H327=" "," ",Formulario!H327)," ")</f>
        <v xml:space="preserve"> </v>
      </c>
      <c r="M319" s="144" t="str">
        <f>IF(Formulario!I327&lt;&gt;"",IF(Formulario!I327=" "," ",Formulario!I327)," ")</f>
        <v xml:space="preserve"> </v>
      </c>
      <c r="N319" s="145" t="str">
        <f>IF(Formulario!J327&lt;&gt;"",IF(Formulario!J327=" "," ",Formulario!J327),IF(G319=".",".","Falta Fecha"))</f>
        <v>.</v>
      </c>
      <c r="O319" s="155">
        <f>Formulario!L327</f>
        <v>0</v>
      </c>
      <c r="P319" s="146">
        <f>IF(O319=1,"09:00",Formulario!M327)</f>
        <v>0</v>
      </c>
      <c r="Q319" s="146">
        <f>IF(O319=1,"18:30",Formulario!N327)</f>
        <v>0</v>
      </c>
      <c r="R319" s="146" t="str">
        <f>IF(Formulario!O327&lt;&gt;"",IF(Formulario!O327=" ",".",Formulario!O327),".")</f>
        <v>Post Venta</v>
      </c>
      <c r="S319" s="141" t="s">
        <v>131</v>
      </c>
    </row>
    <row r="320" spans="1:19">
      <c r="A320" s="141">
        <f>Formulario!B328</f>
        <v>0</v>
      </c>
      <c r="B320" s="144" t="str">
        <f>IF(G320="."," ",Formulario!D$5)</f>
        <v xml:space="preserve"> </v>
      </c>
      <c r="C320" s="144" t="str">
        <f>IF(G320=".","",Formulario!D$6)</f>
        <v/>
      </c>
      <c r="D320" s="144" t="str">
        <f>IF(H320=".","",Formulario!D$7)</f>
        <v/>
      </c>
      <c r="E320" s="144" t="str">
        <f>IF(G320=".","",Formulario!J$5)</f>
        <v/>
      </c>
      <c r="F320" s="145" t="str">
        <f>IF(G320=".","",Formulario!J$6)</f>
        <v/>
      </c>
      <c r="G320" s="180" t="str">
        <f>IF(Formulario!C328&lt;&gt;"",IF(Formulario!C328=" ","Falta Depto",IF(H320=".","Error En Descripción",Formulario!C328)),IF(H320=".",".","Falta Datos"))</f>
        <v>.</v>
      </c>
      <c r="H320" s="144" t="str">
        <f>IF(Formulario!D328&lt;&gt;"",IF(Formulario!D328=" ",".",Formulario!D328),".")</f>
        <v>.</v>
      </c>
      <c r="I320" s="144" t="str">
        <f>IF(Formulario!E328&lt;&gt;"",IF(Formulario!E328=" "," ",Formulario!E328),IF(G320=".",".","Falta Propietario"))</f>
        <v>.</v>
      </c>
      <c r="J320" s="144" t="str">
        <f>IF(Formulario!F328&lt;&gt;"",IF(Formulario!F328=" "," ",Formulario!F328)," ")</f>
        <v xml:space="preserve"> </v>
      </c>
      <c r="K320" s="144" t="str">
        <f>IF(Formulario!G328&lt;&gt;"",IF(Formulario!G328=" "," ",Formulario!G328)," ")</f>
        <v xml:space="preserve"> </v>
      </c>
      <c r="L320" s="144" t="str">
        <f>IF(Formulario!H328&lt;&gt;"",IF(Formulario!H328=" "," ",Formulario!H328)," ")</f>
        <v xml:space="preserve"> </v>
      </c>
      <c r="M320" s="144" t="str">
        <f>IF(Formulario!I328&lt;&gt;"",IF(Formulario!I328=" "," ",Formulario!I328)," ")</f>
        <v xml:space="preserve"> </v>
      </c>
      <c r="N320" s="145" t="str">
        <f>IF(Formulario!J328&lt;&gt;"",IF(Formulario!J328=" "," ",Formulario!J328),IF(G320=".",".","Falta Fecha"))</f>
        <v>.</v>
      </c>
      <c r="O320" s="155">
        <f>Formulario!L328</f>
        <v>0</v>
      </c>
      <c r="P320" s="146">
        <f>IF(O320=1,"09:00",Formulario!M328)</f>
        <v>0</v>
      </c>
      <c r="Q320" s="146">
        <f>IF(O320=1,"18:30",Formulario!N328)</f>
        <v>0</v>
      </c>
      <c r="R320" s="146" t="str">
        <f>IF(Formulario!O328&lt;&gt;"",IF(Formulario!O328=" ",".",Formulario!O328),".")</f>
        <v>Post Venta</v>
      </c>
      <c r="S320" s="141" t="s">
        <v>131</v>
      </c>
    </row>
    <row r="321" spans="1:19">
      <c r="A321" s="141">
        <f>Formulario!B329</f>
        <v>0</v>
      </c>
      <c r="B321" s="144" t="str">
        <f>IF(G321="."," ",Formulario!D$5)</f>
        <v xml:space="preserve"> </v>
      </c>
      <c r="C321" s="144" t="str">
        <f>IF(G321=".","",Formulario!D$6)</f>
        <v/>
      </c>
      <c r="D321" s="144" t="str">
        <f>IF(H321=".","",Formulario!D$7)</f>
        <v/>
      </c>
      <c r="E321" s="144" t="str">
        <f>IF(G321=".","",Formulario!J$5)</f>
        <v/>
      </c>
      <c r="F321" s="145" t="str">
        <f>IF(G321=".","",Formulario!J$6)</f>
        <v/>
      </c>
      <c r="G321" s="180" t="str">
        <f>IF(Formulario!C329&lt;&gt;"",IF(Formulario!C329=" ","Falta Depto",IF(H321=".","Error En Descripción",Formulario!C329)),IF(H321=".",".","Falta Datos"))</f>
        <v>.</v>
      </c>
      <c r="H321" s="144" t="str">
        <f>IF(Formulario!D329&lt;&gt;"",IF(Formulario!D329=" ",".",Formulario!D329),".")</f>
        <v>.</v>
      </c>
      <c r="I321" s="144" t="str">
        <f>IF(Formulario!E329&lt;&gt;"",IF(Formulario!E329=" "," ",Formulario!E329),IF(G321=".",".","Falta Propietario"))</f>
        <v>.</v>
      </c>
      <c r="J321" s="144" t="str">
        <f>IF(Formulario!F329&lt;&gt;"",IF(Formulario!F329=" "," ",Formulario!F329)," ")</f>
        <v xml:space="preserve"> </v>
      </c>
      <c r="K321" s="144" t="str">
        <f>IF(Formulario!G329&lt;&gt;"",IF(Formulario!G329=" "," ",Formulario!G329)," ")</f>
        <v xml:space="preserve"> </v>
      </c>
      <c r="L321" s="144" t="str">
        <f>IF(Formulario!H329&lt;&gt;"",IF(Formulario!H329=" "," ",Formulario!H329)," ")</f>
        <v xml:space="preserve"> </v>
      </c>
      <c r="M321" s="144" t="str">
        <f>IF(Formulario!I329&lt;&gt;"",IF(Formulario!I329=" "," ",Formulario!I329)," ")</f>
        <v xml:space="preserve"> </v>
      </c>
      <c r="N321" s="145" t="str">
        <f>IF(Formulario!J329&lt;&gt;"",IF(Formulario!J329=" "," ",Formulario!J329),IF(G321=".",".","Falta Fecha"))</f>
        <v>.</v>
      </c>
      <c r="O321" s="155">
        <f>Formulario!L329</f>
        <v>0</v>
      </c>
      <c r="P321" s="146">
        <f>IF(O321=1,"09:00",Formulario!M329)</f>
        <v>0</v>
      </c>
      <c r="Q321" s="146">
        <f>IF(O321=1,"18:30",Formulario!N329)</f>
        <v>0</v>
      </c>
      <c r="R321" s="146" t="str">
        <f>IF(Formulario!O329&lt;&gt;"",IF(Formulario!O329=" ",".",Formulario!O329),".")</f>
        <v>Post Venta</v>
      </c>
      <c r="S321" s="141" t="s">
        <v>131</v>
      </c>
    </row>
    <row r="322" spans="1:19">
      <c r="A322" s="141">
        <f>Formulario!B330</f>
        <v>0</v>
      </c>
      <c r="B322" s="144" t="str">
        <f>IF(G322="."," ",Formulario!D$5)</f>
        <v xml:space="preserve"> </v>
      </c>
      <c r="C322" s="144" t="str">
        <f>IF(G322=".","",Formulario!D$6)</f>
        <v/>
      </c>
      <c r="D322" s="144" t="str">
        <f>IF(H322=".","",Formulario!D$7)</f>
        <v/>
      </c>
      <c r="E322" s="144" t="str">
        <f>IF(G322=".","",Formulario!J$5)</f>
        <v/>
      </c>
      <c r="F322" s="145" t="str">
        <f>IF(G322=".","",Formulario!J$6)</f>
        <v/>
      </c>
      <c r="G322" s="180" t="str">
        <f>IF(Formulario!C330&lt;&gt;"",IF(Formulario!C330=" ","Falta Depto",IF(H322=".","Error En Descripción",Formulario!C330)),IF(H322=".",".","Falta Datos"))</f>
        <v>.</v>
      </c>
      <c r="H322" s="144" t="str">
        <f>IF(Formulario!D330&lt;&gt;"",IF(Formulario!D330=" ",".",Formulario!D330),".")</f>
        <v>.</v>
      </c>
      <c r="I322" s="144" t="str">
        <f>IF(Formulario!E330&lt;&gt;"",IF(Formulario!E330=" "," ",Formulario!E330),IF(G322=".",".","Falta Propietario"))</f>
        <v>.</v>
      </c>
      <c r="J322" s="144" t="str">
        <f>IF(Formulario!F330&lt;&gt;"",IF(Formulario!F330=" "," ",Formulario!F330)," ")</f>
        <v xml:space="preserve"> </v>
      </c>
      <c r="K322" s="144" t="str">
        <f>IF(Formulario!G330&lt;&gt;"",IF(Formulario!G330=" "," ",Formulario!G330)," ")</f>
        <v xml:space="preserve"> </v>
      </c>
      <c r="L322" s="144" t="str">
        <f>IF(Formulario!H330&lt;&gt;"",IF(Formulario!H330=" "," ",Formulario!H330)," ")</f>
        <v xml:space="preserve"> </v>
      </c>
      <c r="M322" s="144" t="str">
        <f>IF(Formulario!I330&lt;&gt;"",IF(Formulario!I330=" "," ",Formulario!I330)," ")</f>
        <v xml:space="preserve"> </v>
      </c>
      <c r="N322" s="145" t="str">
        <f>IF(Formulario!J330&lt;&gt;"",IF(Formulario!J330=" "," ",Formulario!J330),IF(G322=".",".","Falta Fecha"))</f>
        <v>.</v>
      </c>
      <c r="O322" s="155">
        <f>Formulario!L330</f>
        <v>0</v>
      </c>
      <c r="P322" s="146">
        <f>IF(O322=1,"09:00",Formulario!M330)</f>
        <v>0</v>
      </c>
      <c r="Q322" s="146">
        <f>IF(O322=1,"18:30",Formulario!N330)</f>
        <v>0</v>
      </c>
      <c r="R322" s="146" t="str">
        <f>IF(Formulario!O330&lt;&gt;"",IF(Formulario!O330=" ",".",Formulario!O330),".")</f>
        <v>Post Venta</v>
      </c>
      <c r="S322" s="141" t="s">
        <v>131</v>
      </c>
    </row>
    <row r="323" spans="1:19">
      <c r="A323" s="141">
        <f>Formulario!B331</f>
        <v>0</v>
      </c>
      <c r="B323" s="144" t="str">
        <f>IF(G323="."," ",Formulario!D$5)</f>
        <v xml:space="preserve"> </v>
      </c>
      <c r="C323" s="144" t="str">
        <f>IF(G323=".","",Formulario!D$6)</f>
        <v/>
      </c>
      <c r="D323" s="144" t="str">
        <f>IF(H323=".","",Formulario!D$7)</f>
        <v/>
      </c>
      <c r="E323" s="144" t="str">
        <f>IF(G323=".","",Formulario!J$5)</f>
        <v/>
      </c>
      <c r="F323" s="145" t="str">
        <f>IF(G323=".","",Formulario!J$6)</f>
        <v/>
      </c>
      <c r="G323" s="180" t="str">
        <f>IF(Formulario!C331&lt;&gt;"",IF(Formulario!C331=" ","Falta Depto",IF(H323=".","Error En Descripción",Formulario!C331)),IF(H323=".",".","Falta Datos"))</f>
        <v>.</v>
      </c>
      <c r="H323" s="144" t="str">
        <f>IF(Formulario!D331&lt;&gt;"",IF(Formulario!D331=" ",".",Formulario!D331),".")</f>
        <v>.</v>
      </c>
      <c r="I323" s="144" t="str">
        <f>IF(Formulario!E331&lt;&gt;"",IF(Formulario!E331=" "," ",Formulario!E331),IF(G323=".",".","Falta Propietario"))</f>
        <v>.</v>
      </c>
      <c r="J323" s="144" t="str">
        <f>IF(Formulario!F331&lt;&gt;"",IF(Formulario!F331=" "," ",Formulario!F331)," ")</f>
        <v xml:space="preserve"> </v>
      </c>
      <c r="K323" s="144" t="str">
        <f>IF(Formulario!G331&lt;&gt;"",IF(Formulario!G331=" "," ",Formulario!G331)," ")</f>
        <v xml:space="preserve"> </v>
      </c>
      <c r="L323" s="144" t="str">
        <f>IF(Formulario!H331&lt;&gt;"",IF(Formulario!H331=" "," ",Formulario!H331)," ")</f>
        <v xml:space="preserve"> </v>
      </c>
      <c r="M323" s="144" t="str">
        <f>IF(Formulario!I331&lt;&gt;"",IF(Formulario!I331=" "," ",Formulario!I331)," ")</f>
        <v xml:space="preserve"> </v>
      </c>
      <c r="N323" s="145" t="str">
        <f>IF(Formulario!J331&lt;&gt;"",IF(Formulario!J331=" "," ",Formulario!J331),IF(G323=".",".","Falta Fecha"))</f>
        <v>.</v>
      </c>
      <c r="O323" s="155">
        <f>Formulario!L331</f>
        <v>0</v>
      </c>
      <c r="P323" s="146">
        <f>IF(O323=1,"09:00",Formulario!M331)</f>
        <v>0</v>
      </c>
      <c r="Q323" s="146">
        <f>IF(O323=1,"18:30",Formulario!N331)</f>
        <v>0</v>
      </c>
      <c r="R323" s="146" t="str">
        <f>IF(Formulario!O331&lt;&gt;"",IF(Formulario!O331=" ",".",Formulario!O331),".")</f>
        <v>Post Venta</v>
      </c>
      <c r="S323" s="141" t="s">
        <v>131</v>
      </c>
    </row>
    <row r="324" spans="1:19">
      <c r="A324" s="141">
        <f>Formulario!B332</f>
        <v>0</v>
      </c>
      <c r="B324" s="144" t="str">
        <f>IF(G324="."," ",Formulario!D$5)</f>
        <v xml:space="preserve"> </v>
      </c>
      <c r="C324" s="144" t="str">
        <f>IF(G324=".","",Formulario!D$6)</f>
        <v/>
      </c>
      <c r="D324" s="144" t="str">
        <f>IF(H324=".","",Formulario!D$7)</f>
        <v/>
      </c>
      <c r="E324" s="144" t="str">
        <f>IF(G324=".","",Formulario!J$5)</f>
        <v/>
      </c>
      <c r="F324" s="145" t="str">
        <f>IF(G324=".","",Formulario!J$6)</f>
        <v/>
      </c>
      <c r="G324" s="180" t="str">
        <f>IF(Formulario!C332&lt;&gt;"",IF(Formulario!C332=" ","Falta Depto",IF(H324=".","Error En Descripción",Formulario!C332)),IF(H324=".",".","Falta Datos"))</f>
        <v>.</v>
      </c>
      <c r="H324" s="144" t="str">
        <f>IF(Formulario!D332&lt;&gt;"",IF(Formulario!D332=" ",".",Formulario!D332),".")</f>
        <v>.</v>
      </c>
      <c r="I324" s="144" t="str">
        <f>IF(Formulario!E332&lt;&gt;"",IF(Formulario!E332=" "," ",Formulario!E332),IF(G324=".",".","Falta Propietario"))</f>
        <v>.</v>
      </c>
      <c r="J324" s="144" t="str">
        <f>IF(Formulario!F332&lt;&gt;"",IF(Formulario!F332=" "," ",Formulario!F332)," ")</f>
        <v xml:space="preserve"> </v>
      </c>
      <c r="K324" s="144" t="str">
        <f>IF(Formulario!G332&lt;&gt;"",IF(Formulario!G332=" "," ",Formulario!G332)," ")</f>
        <v xml:space="preserve"> </v>
      </c>
      <c r="L324" s="144" t="str">
        <f>IF(Formulario!H332&lt;&gt;"",IF(Formulario!H332=" "," ",Formulario!H332)," ")</f>
        <v xml:space="preserve"> </v>
      </c>
      <c r="M324" s="144" t="str">
        <f>IF(Formulario!I332&lt;&gt;"",IF(Formulario!I332=" "," ",Formulario!I332)," ")</f>
        <v xml:space="preserve"> </v>
      </c>
      <c r="N324" s="145" t="str">
        <f>IF(Formulario!J332&lt;&gt;"",IF(Formulario!J332=" "," ",Formulario!J332),IF(G324=".",".","Falta Fecha"))</f>
        <v>.</v>
      </c>
      <c r="O324" s="155">
        <f>Formulario!L332</f>
        <v>0</v>
      </c>
      <c r="P324" s="146">
        <f>IF(O324=1,"09:00",Formulario!M332)</f>
        <v>0</v>
      </c>
      <c r="Q324" s="146">
        <f>IF(O324=1,"18:30",Formulario!N332)</f>
        <v>0</v>
      </c>
      <c r="R324" s="146" t="str">
        <f>IF(Formulario!O332&lt;&gt;"",IF(Formulario!O332=" ",".",Formulario!O332),".")</f>
        <v>Post Venta</v>
      </c>
      <c r="S324" s="141" t="s">
        <v>131</v>
      </c>
    </row>
    <row r="325" spans="1:19">
      <c r="A325" s="141">
        <f>Formulario!B333</f>
        <v>0</v>
      </c>
      <c r="B325" s="144" t="str">
        <f>IF(G325="."," ",Formulario!D$5)</f>
        <v xml:space="preserve"> </v>
      </c>
      <c r="C325" s="144" t="str">
        <f>IF(G325=".","",Formulario!D$6)</f>
        <v/>
      </c>
      <c r="D325" s="144" t="str">
        <f>IF(H325=".","",Formulario!D$7)</f>
        <v/>
      </c>
      <c r="E325" s="144" t="str">
        <f>IF(G325=".","",Formulario!J$5)</f>
        <v/>
      </c>
      <c r="F325" s="145" t="str">
        <f>IF(G325=".","",Formulario!J$6)</f>
        <v/>
      </c>
      <c r="G325" s="180" t="str">
        <f>IF(Formulario!C333&lt;&gt;"",IF(Formulario!C333=" ","Falta Depto",IF(H325=".","Error En Descripción",Formulario!C333)),IF(H325=".",".","Falta Datos"))</f>
        <v>.</v>
      </c>
      <c r="H325" s="144" t="str">
        <f>IF(Formulario!D333&lt;&gt;"",IF(Formulario!D333=" ",".",Formulario!D333),".")</f>
        <v>.</v>
      </c>
      <c r="I325" s="144" t="str">
        <f>IF(Formulario!E333&lt;&gt;"",IF(Formulario!E333=" "," ",Formulario!E333),IF(G325=".",".","Falta Propietario"))</f>
        <v>.</v>
      </c>
      <c r="J325" s="144" t="str">
        <f>IF(Formulario!F333&lt;&gt;"",IF(Formulario!F333=" "," ",Formulario!F333)," ")</f>
        <v xml:space="preserve"> </v>
      </c>
      <c r="K325" s="144" t="str">
        <f>IF(Formulario!G333&lt;&gt;"",IF(Formulario!G333=" "," ",Formulario!G333)," ")</f>
        <v xml:space="preserve"> </v>
      </c>
      <c r="L325" s="144" t="str">
        <f>IF(Formulario!H333&lt;&gt;"",IF(Formulario!H333=" "," ",Formulario!H333)," ")</f>
        <v xml:space="preserve"> </v>
      </c>
      <c r="M325" s="144" t="str">
        <f>IF(Formulario!I333&lt;&gt;"",IF(Formulario!I333=" "," ",Formulario!I333)," ")</f>
        <v xml:space="preserve"> </v>
      </c>
      <c r="N325" s="145" t="str">
        <f>IF(Formulario!J333&lt;&gt;"",IF(Formulario!J333=" "," ",Formulario!J333),IF(G325=".",".","Falta Fecha"))</f>
        <v>.</v>
      </c>
      <c r="O325" s="155">
        <f>Formulario!L333</f>
        <v>0</v>
      </c>
      <c r="P325" s="146">
        <f>IF(O325=1,"09:00",Formulario!M333)</f>
        <v>0</v>
      </c>
      <c r="Q325" s="146">
        <f>IF(O325=1,"18:30",Formulario!N333)</f>
        <v>0</v>
      </c>
      <c r="R325" s="146" t="str">
        <f>IF(Formulario!O333&lt;&gt;"",IF(Formulario!O333=" ",".",Formulario!O333),".")</f>
        <v>Post Venta</v>
      </c>
      <c r="S325" s="141" t="s">
        <v>131</v>
      </c>
    </row>
    <row r="326" spans="1:19">
      <c r="A326" s="141">
        <f>Formulario!B334</f>
        <v>0</v>
      </c>
      <c r="B326" s="144" t="str">
        <f>IF(G326="."," ",Formulario!D$5)</f>
        <v xml:space="preserve"> </v>
      </c>
      <c r="C326" s="144" t="str">
        <f>IF(G326=".","",Formulario!D$6)</f>
        <v/>
      </c>
      <c r="D326" s="144" t="str">
        <f>IF(H326=".","",Formulario!D$7)</f>
        <v/>
      </c>
      <c r="E326" s="144" t="str">
        <f>IF(G326=".","",Formulario!J$5)</f>
        <v/>
      </c>
      <c r="F326" s="145" t="str">
        <f>IF(G326=".","",Formulario!J$6)</f>
        <v/>
      </c>
      <c r="G326" s="180" t="str">
        <f>IF(Formulario!C334&lt;&gt;"",IF(Formulario!C334=" ","Falta Depto",IF(H326=".","Error En Descripción",Formulario!C334)),IF(H326=".",".","Falta Datos"))</f>
        <v>.</v>
      </c>
      <c r="H326" s="144" t="str">
        <f>IF(Formulario!D334&lt;&gt;"",IF(Formulario!D334=" ",".",Formulario!D334),".")</f>
        <v>.</v>
      </c>
      <c r="I326" s="144" t="str">
        <f>IF(Formulario!E334&lt;&gt;"",IF(Formulario!E334=" "," ",Formulario!E334),IF(G326=".",".","Falta Propietario"))</f>
        <v>.</v>
      </c>
      <c r="J326" s="144" t="str">
        <f>IF(Formulario!F334&lt;&gt;"",IF(Formulario!F334=" "," ",Formulario!F334)," ")</f>
        <v xml:space="preserve"> </v>
      </c>
      <c r="K326" s="144" t="str">
        <f>IF(Formulario!G334&lt;&gt;"",IF(Formulario!G334=" "," ",Formulario!G334)," ")</f>
        <v xml:space="preserve"> </v>
      </c>
      <c r="L326" s="144" t="str">
        <f>IF(Formulario!H334&lt;&gt;"",IF(Formulario!H334=" "," ",Formulario!H334)," ")</f>
        <v xml:space="preserve"> </v>
      </c>
      <c r="M326" s="144" t="str">
        <f>IF(Formulario!I334&lt;&gt;"",IF(Formulario!I334=" "," ",Formulario!I334)," ")</f>
        <v xml:space="preserve"> </v>
      </c>
      <c r="N326" s="145" t="str">
        <f>IF(Formulario!J334&lt;&gt;"",IF(Formulario!J334=" "," ",Formulario!J334),IF(G326=".",".","Falta Fecha"))</f>
        <v>.</v>
      </c>
      <c r="O326" s="155">
        <f>Formulario!L334</f>
        <v>0</v>
      </c>
      <c r="P326" s="146">
        <f>IF(O326=1,"09:00",Formulario!M334)</f>
        <v>0</v>
      </c>
      <c r="Q326" s="146">
        <f>IF(O326=1,"18:30",Formulario!N334)</f>
        <v>0</v>
      </c>
      <c r="R326" s="146" t="str">
        <f>IF(Formulario!O334&lt;&gt;"",IF(Formulario!O334=" ",".",Formulario!O334),".")</f>
        <v>Post Venta</v>
      </c>
      <c r="S326" s="141" t="s">
        <v>131</v>
      </c>
    </row>
    <row r="327" spans="1:19">
      <c r="A327" s="141">
        <f>Formulario!B335</f>
        <v>0</v>
      </c>
      <c r="B327" s="144" t="str">
        <f>IF(G327="."," ",Formulario!D$5)</f>
        <v xml:space="preserve"> </v>
      </c>
      <c r="C327" s="144" t="str">
        <f>IF(G327=".","",Formulario!D$6)</f>
        <v/>
      </c>
      <c r="D327" s="144" t="str">
        <f>IF(H327=".","",Formulario!D$7)</f>
        <v/>
      </c>
      <c r="E327" s="144" t="str">
        <f>IF(G327=".","",Formulario!J$5)</f>
        <v/>
      </c>
      <c r="F327" s="145" t="str">
        <f>IF(G327=".","",Formulario!J$6)</f>
        <v/>
      </c>
      <c r="G327" s="180" t="str">
        <f>IF(Formulario!C335&lt;&gt;"",IF(Formulario!C335=" ","Falta Depto",IF(H327=".","Error En Descripción",Formulario!C335)),IF(H327=".",".","Falta Datos"))</f>
        <v>.</v>
      </c>
      <c r="H327" s="144" t="str">
        <f>IF(Formulario!D335&lt;&gt;"",IF(Formulario!D335=" ",".",Formulario!D335),".")</f>
        <v>.</v>
      </c>
      <c r="I327" s="144" t="str">
        <f>IF(Formulario!E335&lt;&gt;"",IF(Formulario!E335=" "," ",Formulario!E335),IF(G327=".",".","Falta Propietario"))</f>
        <v>.</v>
      </c>
      <c r="J327" s="144" t="str">
        <f>IF(Formulario!F335&lt;&gt;"",IF(Formulario!F335=" "," ",Formulario!F335)," ")</f>
        <v xml:space="preserve"> </v>
      </c>
      <c r="K327" s="144" t="str">
        <f>IF(Formulario!G335&lt;&gt;"",IF(Formulario!G335=" "," ",Formulario!G335)," ")</f>
        <v xml:space="preserve"> </v>
      </c>
      <c r="L327" s="144" t="str">
        <f>IF(Formulario!H335&lt;&gt;"",IF(Formulario!H335=" "," ",Formulario!H335)," ")</f>
        <v xml:space="preserve"> </v>
      </c>
      <c r="M327" s="144" t="str">
        <f>IF(Formulario!I335&lt;&gt;"",IF(Formulario!I335=" "," ",Formulario!I335)," ")</f>
        <v xml:space="preserve"> </v>
      </c>
      <c r="N327" s="145" t="str">
        <f>IF(Formulario!J335&lt;&gt;"",IF(Formulario!J335=" "," ",Formulario!J335),IF(G327=".",".","Falta Fecha"))</f>
        <v>.</v>
      </c>
      <c r="O327" s="155">
        <f>Formulario!L335</f>
        <v>0</v>
      </c>
      <c r="P327" s="146">
        <f>IF(O327=1,"09:00",Formulario!M335)</f>
        <v>0</v>
      </c>
      <c r="Q327" s="146">
        <f>IF(O327=1,"18:30",Formulario!N335)</f>
        <v>0</v>
      </c>
      <c r="R327" s="146" t="str">
        <f>IF(Formulario!O335&lt;&gt;"",IF(Formulario!O335=" ",".",Formulario!O335),".")</f>
        <v>Post Venta</v>
      </c>
      <c r="S327" s="141" t="s">
        <v>131</v>
      </c>
    </row>
    <row r="328" spans="1:19">
      <c r="A328" s="141">
        <f>Formulario!B336</f>
        <v>0</v>
      </c>
      <c r="B328" s="144" t="str">
        <f>IF(G328="."," ",Formulario!D$5)</f>
        <v xml:space="preserve"> </v>
      </c>
      <c r="C328" s="144" t="str">
        <f>IF(G328=".","",Formulario!D$6)</f>
        <v/>
      </c>
      <c r="D328" s="144" t="str">
        <f>IF(H328=".","",Formulario!D$7)</f>
        <v/>
      </c>
      <c r="E328" s="144" t="str">
        <f>IF(G328=".","",Formulario!J$5)</f>
        <v/>
      </c>
      <c r="F328" s="145" t="str">
        <f>IF(G328=".","",Formulario!J$6)</f>
        <v/>
      </c>
      <c r="G328" s="180" t="str">
        <f>IF(Formulario!C336&lt;&gt;"",IF(Formulario!C336=" ","Falta Depto",IF(H328=".","Error En Descripción",Formulario!C336)),IF(H328=".",".","Falta Datos"))</f>
        <v>.</v>
      </c>
      <c r="H328" s="144" t="str">
        <f>IF(Formulario!D336&lt;&gt;"",IF(Formulario!D336=" ",".",Formulario!D336),".")</f>
        <v>.</v>
      </c>
      <c r="I328" s="144" t="str">
        <f>IF(Formulario!E336&lt;&gt;"",IF(Formulario!E336=" "," ",Formulario!E336),IF(G328=".",".","Falta Propietario"))</f>
        <v>.</v>
      </c>
      <c r="J328" s="144" t="str">
        <f>IF(Formulario!F336&lt;&gt;"",IF(Formulario!F336=" "," ",Formulario!F336)," ")</f>
        <v xml:space="preserve"> </v>
      </c>
      <c r="K328" s="144" t="str">
        <f>IF(Formulario!G336&lt;&gt;"",IF(Formulario!G336=" "," ",Formulario!G336)," ")</f>
        <v xml:space="preserve"> </v>
      </c>
      <c r="L328" s="144" t="str">
        <f>IF(Formulario!H336&lt;&gt;"",IF(Formulario!H336=" "," ",Formulario!H336)," ")</f>
        <v xml:space="preserve"> </v>
      </c>
      <c r="M328" s="144" t="str">
        <f>IF(Formulario!I336&lt;&gt;"",IF(Formulario!I336=" "," ",Formulario!I336)," ")</f>
        <v xml:space="preserve"> </v>
      </c>
      <c r="N328" s="145" t="str">
        <f>IF(Formulario!J336&lt;&gt;"",IF(Formulario!J336=" "," ",Formulario!J336),IF(G328=".",".","Falta Fecha"))</f>
        <v>.</v>
      </c>
      <c r="O328" s="155">
        <f>Formulario!L336</f>
        <v>0</v>
      </c>
      <c r="P328" s="146">
        <f>IF(O328=1,"09:00",Formulario!M336)</f>
        <v>0</v>
      </c>
      <c r="Q328" s="146">
        <f>IF(O328=1,"18:30",Formulario!N336)</f>
        <v>0</v>
      </c>
      <c r="R328" s="146" t="str">
        <f>IF(Formulario!O336&lt;&gt;"",IF(Formulario!O336=" ",".",Formulario!O336),".")</f>
        <v>Post Venta</v>
      </c>
      <c r="S328" s="141" t="s">
        <v>131</v>
      </c>
    </row>
    <row r="329" spans="1:19">
      <c r="A329" s="141">
        <f>Formulario!B337</f>
        <v>0</v>
      </c>
      <c r="B329" s="144" t="str">
        <f>IF(G329="."," ",Formulario!D$5)</f>
        <v xml:space="preserve"> </v>
      </c>
      <c r="C329" s="144" t="str">
        <f>IF(G329=".","",Formulario!D$6)</f>
        <v/>
      </c>
      <c r="D329" s="144" t="str">
        <f>IF(H329=".","",Formulario!D$7)</f>
        <v/>
      </c>
      <c r="E329" s="144" t="str">
        <f>IF(G329=".","",Formulario!J$5)</f>
        <v/>
      </c>
      <c r="F329" s="145" t="str">
        <f>IF(G329=".","",Formulario!J$6)</f>
        <v/>
      </c>
      <c r="G329" s="180" t="str">
        <f>IF(Formulario!C337&lt;&gt;"",IF(Formulario!C337=" ","Falta Depto",IF(H329=".","Error En Descripción",Formulario!C337)),IF(H329=".",".","Falta Datos"))</f>
        <v>.</v>
      </c>
      <c r="H329" s="144" t="str">
        <f>IF(Formulario!D337&lt;&gt;"",IF(Formulario!D337=" ",".",Formulario!D337),".")</f>
        <v>.</v>
      </c>
      <c r="I329" s="144" t="str">
        <f>IF(Formulario!E337&lt;&gt;"",IF(Formulario!E337=" "," ",Formulario!E337),IF(G329=".",".","Falta Propietario"))</f>
        <v>.</v>
      </c>
      <c r="J329" s="144" t="str">
        <f>IF(Formulario!F337&lt;&gt;"",IF(Formulario!F337=" "," ",Formulario!F337)," ")</f>
        <v xml:space="preserve"> </v>
      </c>
      <c r="K329" s="144" t="str">
        <f>IF(Formulario!G337&lt;&gt;"",IF(Formulario!G337=" "," ",Formulario!G337)," ")</f>
        <v xml:space="preserve"> </v>
      </c>
      <c r="L329" s="144" t="str">
        <f>IF(Formulario!H337&lt;&gt;"",IF(Formulario!H337=" "," ",Formulario!H337)," ")</f>
        <v xml:space="preserve"> </v>
      </c>
      <c r="M329" s="144" t="str">
        <f>IF(Formulario!I337&lt;&gt;"",IF(Formulario!I337=" "," ",Formulario!I337)," ")</f>
        <v xml:space="preserve"> </v>
      </c>
      <c r="N329" s="145" t="str">
        <f>IF(Formulario!J337&lt;&gt;"",IF(Formulario!J337=" "," ",Formulario!J337),IF(G329=".",".","Falta Fecha"))</f>
        <v>.</v>
      </c>
      <c r="O329" s="155">
        <f>Formulario!L337</f>
        <v>0</v>
      </c>
      <c r="P329" s="146">
        <f>IF(O329=1,"09:00",Formulario!M337)</f>
        <v>0</v>
      </c>
      <c r="Q329" s="146">
        <f>IF(O329=1,"18:30",Formulario!N337)</f>
        <v>0</v>
      </c>
      <c r="R329" s="146" t="str">
        <f>IF(Formulario!O337&lt;&gt;"",IF(Formulario!O337=" ",".",Formulario!O337),".")</f>
        <v>Post Venta</v>
      </c>
      <c r="S329" s="141" t="s">
        <v>131</v>
      </c>
    </row>
    <row r="330" spans="1:19">
      <c r="A330" s="141">
        <f>Formulario!B338</f>
        <v>0</v>
      </c>
      <c r="B330" s="144" t="str">
        <f>IF(G330="."," ",Formulario!D$5)</f>
        <v xml:space="preserve"> </v>
      </c>
      <c r="C330" s="144" t="str">
        <f>IF(G330=".","",Formulario!D$6)</f>
        <v/>
      </c>
      <c r="D330" s="144" t="str">
        <f>IF(H330=".","",Formulario!D$7)</f>
        <v/>
      </c>
      <c r="E330" s="144" t="str">
        <f>IF(G330=".","",Formulario!J$5)</f>
        <v/>
      </c>
      <c r="F330" s="145" t="str">
        <f>IF(G330=".","",Formulario!J$6)</f>
        <v/>
      </c>
      <c r="G330" s="180" t="str">
        <f>IF(Formulario!C338&lt;&gt;"",IF(Formulario!C338=" ","Falta Depto",IF(H330=".","Error En Descripción",Formulario!C338)),IF(H330=".",".","Falta Datos"))</f>
        <v>.</v>
      </c>
      <c r="H330" s="144" t="str">
        <f>IF(Formulario!D338&lt;&gt;"",IF(Formulario!D338=" ",".",Formulario!D338),".")</f>
        <v>.</v>
      </c>
      <c r="I330" s="144" t="str">
        <f>IF(Formulario!E338&lt;&gt;"",IF(Formulario!E338=" "," ",Formulario!E338),IF(G330=".",".","Falta Propietario"))</f>
        <v>.</v>
      </c>
      <c r="J330" s="144" t="str">
        <f>IF(Formulario!F338&lt;&gt;"",IF(Formulario!F338=" "," ",Formulario!F338)," ")</f>
        <v xml:space="preserve"> </v>
      </c>
      <c r="K330" s="144" t="str">
        <f>IF(Formulario!G338&lt;&gt;"",IF(Formulario!G338=" "," ",Formulario!G338)," ")</f>
        <v xml:space="preserve"> </v>
      </c>
      <c r="L330" s="144" t="str">
        <f>IF(Formulario!H338&lt;&gt;"",IF(Formulario!H338=" "," ",Formulario!H338)," ")</f>
        <v xml:space="preserve"> </v>
      </c>
      <c r="M330" s="144" t="str">
        <f>IF(Formulario!I338&lt;&gt;"",IF(Formulario!I338=" "," ",Formulario!I338)," ")</f>
        <v xml:space="preserve"> </v>
      </c>
      <c r="N330" s="145" t="str">
        <f>IF(Formulario!J338&lt;&gt;"",IF(Formulario!J338=" "," ",Formulario!J338),IF(G330=".",".","Falta Fecha"))</f>
        <v>.</v>
      </c>
      <c r="O330" s="155">
        <f>Formulario!L338</f>
        <v>0</v>
      </c>
      <c r="P330" s="146">
        <f>IF(O330=1,"09:00",Formulario!M338)</f>
        <v>0</v>
      </c>
      <c r="Q330" s="146">
        <f>IF(O330=1,"18:30",Formulario!N338)</f>
        <v>0</v>
      </c>
      <c r="R330" s="146" t="str">
        <f>IF(Formulario!O338&lt;&gt;"",IF(Formulario!O338=" ",".",Formulario!O338),".")</f>
        <v>Post Venta</v>
      </c>
      <c r="S330" s="141" t="s">
        <v>131</v>
      </c>
    </row>
    <row r="331" spans="1:19">
      <c r="A331" s="141">
        <f>Formulario!B339</f>
        <v>0</v>
      </c>
      <c r="B331" s="144" t="str">
        <f>IF(G331="."," ",Formulario!D$5)</f>
        <v xml:space="preserve"> </v>
      </c>
      <c r="C331" s="144" t="str">
        <f>IF(G331=".","",Formulario!D$6)</f>
        <v/>
      </c>
      <c r="D331" s="144" t="str">
        <f>IF(H331=".","",Formulario!D$7)</f>
        <v/>
      </c>
      <c r="E331" s="144" t="str">
        <f>IF(G331=".","",Formulario!J$5)</f>
        <v/>
      </c>
      <c r="F331" s="145" t="str">
        <f>IF(G331=".","",Formulario!J$6)</f>
        <v/>
      </c>
      <c r="G331" s="180" t="str">
        <f>IF(Formulario!C339&lt;&gt;"",IF(Formulario!C339=" ","Falta Depto",IF(H331=".","Error En Descripción",Formulario!C339)),IF(H331=".",".","Falta Datos"))</f>
        <v>.</v>
      </c>
      <c r="H331" s="144" t="str">
        <f>IF(Formulario!D339&lt;&gt;"",IF(Formulario!D339=" ",".",Formulario!D339),".")</f>
        <v>.</v>
      </c>
      <c r="I331" s="144" t="str">
        <f>IF(Formulario!E339&lt;&gt;"",IF(Formulario!E339=" "," ",Formulario!E339),IF(G331=".",".","Falta Propietario"))</f>
        <v>.</v>
      </c>
      <c r="J331" s="144" t="str">
        <f>IF(Formulario!F339&lt;&gt;"",IF(Formulario!F339=" "," ",Formulario!F339)," ")</f>
        <v xml:space="preserve"> </v>
      </c>
      <c r="K331" s="144" t="str">
        <f>IF(Formulario!G339&lt;&gt;"",IF(Formulario!G339=" "," ",Formulario!G339)," ")</f>
        <v xml:space="preserve"> </v>
      </c>
      <c r="L331" s="144" t="str">
        <f>IF(Formulario!H339&lt;&gt;"",IF(Formulario!H339=" "," ",Formulario!H339)," ")</f>
        <v xml:space="preserve"> </v>
      </c>
      <c r="M331" s="144" t="str">
        <f>IF(Formulario!I339&lt;&gt;"",IF(Formulario!I339=" "," ",Formulario!I339)," ")</f>
        <v xml:space="preserve"> </v>
      </c>
      <c r="N331" s="145" t="str">
        <f>IF(Formulario!J339&lt;&gt;"",IF(Formulario!J339=" "," ",Formulario!J339),IF(G331=".",".","Falta Fecha"))</f>
        <v>.</v>
      </c>
      <c r="O331" s="155">
        <f>Formulario!L339</f>
        <v>0</v>
      </c>
      <c r="P331" s="146">
        <f>IF(O331=1,"09:00",Formulario!M339)</f>
        <v>0</v>
      </c>
      <c r="Q331" s="146">
        <f>IF(O331=1,"18:30",Formulario!N339)</f>
        <v>0</v>
      </c>
      <c r="R331" s="146" t="str">
        <f>IF(Formulario!O339&lt;&gt;"",IF(Formulario!O339=" ",".",Formulario!O339),".")</f>
        <v>Post Venta</v>
      </c>
      <c r="S331" s="141" t="s">
        <v>131</v>
      </c>
    </row>
    <row r="332" spans="1:19">
      <c r="A332" s="141">
        <f>Formulario!B340</f>
        <v>0</v>
      </c>
      <c r="B332" s="144" t="str">
        <f>IF(G332="."," ",Formulario!D$5)</f>
        <v xml:space="preserve"> </v>
      </c>
      <c r="C332" s="144" t="str">
        <f>IF(G332=".","",Formulario!D$6)</f>
        <v/>
      </c>
      <c r="D332" s="144" t="str">
        <f>IF(H332=".","",Formulario!D$7)</f>
        <v/>
      </c>
      <c r="E332" s="144" t="str">
        <f>IF(G332=".","",Formulario!J$5)</f>
        <v/>
      </c>
      <c r="F332" s="145" t="str">
        <f>IF(G332=".","",Formulario!J$6)</f>
        <v/>
      </c>
      <c r="G332" s="180" t="str">
        <f>IF(Formulario!C340&lt;&gt;"",IF(Formulario!C340=" ","Falta Depto",IF(H332=".","Error En Descripción",Formulario!C340)),IF(H332=".",".","Falta Datos"))</f>
        <v>.</v>
      </c>
      <c r="H332" s="144" t="str">
        <f>IF(Formulario!D340&lt;&gt;"",IF(Formulario!D340=" ",".",Formulario!D340),".")</f>
        <v>.</v>
      </c>
      <c r="I332" s="144" t="str">
        <f>IF(Formulario!E340&lt;&gt;"",IF(Formulario!E340=" "," ",Formulario!E340),IF(G332=".",".","Falta Propietario"))</f>
        <v>.</v>
      </c>
      <c r="J332" s="144" t="str">
        <f>IF(Formulario!F340&lt;&gt;"",IF(Formulario!F340=" "," ",Formulario!F340)," ")</f>
        <v xml:space="preserve"> </v>
      </c>
      <c r="K332" s="144" t="str">
        <f>IF(Formulario!G340&lt;&gt;"",IF(Formulario!G340=" "," ",Formulario!G340)," ")</f>
        <v xml:space="preserve"> </v>
      </c>
      <c r="L332" s="144" t="str">
        <f>IF(Formulario!H340&lt;&gt;"",IF(Formulario!H340=" "," ",Formulario!H340)," ")</f>
        <v xml:space="preserve"> </v>
      </c>
      <c r="M332" s="144" t="str">
        <f>IF(Formulario!I340&lt;&gt;"",IF(Formulario!I340=" "," ",Formulario!I340)," ")</f>
        <v xml:space="preserve"> </v>
      </c>
      <c r="N332" s="145" t="str">
        <f>IF(Formulario!J340&lt;&gt;"",IF(Formulario!J340=" "," ",Formulario!J340),IF(G332=".",".","Falta Fecha"))</f>
        <v>.</v>
      </c>
      <c r="O332" s="155">
        <f>Formulario!L340</f>
        <v>0</v>
      </c>
      <c r="P332" s="146">
        <f>IF(O332=1,"09:00",Formulario!M340)</f>
        <v>0</v>
      </c>
      <c r="Q332" s="146">
        <f>IF(O332=1,"18:30",Formulario!N340)</f>
        <v>0</v>
      </c>
      <c r="R332" s="146" t="str">
        <f>IF(Formulario!O340&lt;&gt;"",IF(Formulario!O340=" ",".",Formulario!O340),".")</f>
        <v>Post Venta</v>
      </c>
      <c r="S332" s="141" t="s">
        <v>131</v>
      </c>
    </row>
    <row r="333" spans="1:19">
      <c r="A333" s="141">
        <f>Formulario!B341</f>
        <v>0</v>
      </c>
      <c r="B333" s="144" t="str">
        <f>IF(G333="."," ",Formulario!D$5)</f>
        <v xml:space="preserve"> </v>
      </c>
      <c r="C333" s="144" t="str">
        <f>IF(G333=".","",Formulario!D$6)</f>
        <v/>
      </c>
      <c r="D333" s="144" t="str">
        <f>IF(H333=".","",Formulario!D$7)</f>
        <v/>
      </c>
      <c r="E333" s="144" t="str">
        <f>IF(G333=".","",Formulario!J$5)</f>
        <v/>
      </c>
      <c r="F333" s="145" t="str">
        <f>IF(G333=".","",Formulario!J$6)</f>
        <v/>
      </c>
      <c r="G333" s="180" t="str">
        <f>IF(Formulario!C341&lt;&gt;"",IF(Formulario!C341=" ","Falta Depto",IF(H333=".","Error En Descripción",Formulario!C341)),IF(H333=".",".","Falta Datos"))</f>
        <v>.</v>
      </c>
      <c r="H333" s="144" t="str">
        <f>IF(Formulario!D341&lt;&gt;"",IF(Formulario!D341=" ",".",Formulario!D341),".")</f>
        <v>.</v>
      </c>
      <c r="I333" s="144" t="str">
        <f>IF(Formulario!E341&lt;&gt;"",IF(Formulario!E341=" "," ",Formulario!E341),IF(G333=".",".","Falta Propietario"))</f>
        <v>.</v>
      </c>
      <c r="J333" s="144" t="str">
        <f>IF(Formulario!F341&lt;&gt;"",IF(Formulario!F341=" "," ",Formulario!F341)," ")</f>
        <v xml:space="preserve"> </v>
      </c>
      <c r="K333" s="144" t="str">
        <f>IF(Formulario!G341&lt;&gt;"",IF(Formulario!G341=" "," ",Formulario!G341)," ")</f>
        <v xml:space="preserve"> </v>
      </c>
      <c r="L333" s="144" t="str">
        <f>IF(Formulario!H341&lt;&gt;"",IF(Formulario!H341=" "," ",Formulario!H341)," ")</f>
        <v xml:space="preserve"> </v>
      </c>
      <c r="M333" s="144" t="str">
        <f>IF(Formulario!I341&lt;&gt;"",IF(Formulario!I341=" "," ",Formulario!I341)," ")</f>
        <v xml:space="preserve"> </v>
      </c>
      <c r="N333" s="145" t="str">
        <f>IF(Formulario!J341&lt;&gt;"",IF(Formulario!J341=" "," ",Formulario!J341),IF(G333=".",".","Falta Fecha"))</f>
        <v>.</v>
      </c>
      <c r="O333" s="155">
        <f>Formulario!L341</f>
        <v>0</v>
      </c>
      <c r="P333" s="146">
        <f>IF(O333=1,"09:00",Formulario!M341)</f>
        <v>0</v>
      </c>
      <c r="Q333" s="146">
        <f>IF(O333=1,"18:30",Formulario!N341)</f>
        <v>0</v>
      </c>
      <c r="R333" s="146" t="str">
        <f>IF(Formulario!O341&lt;&gt;"",IF(Formulario!O341=" ",".",Formulario!O341),".")</f>
        <v>Post Venta</v>
      </c>
      <c r="S333" s="141" t="s">
        <v>131</v>
      </c>
    </row>
    <row r="334" spans="1:19">
      <c r="A334" s="141">
        <f>Formulario!B342</f>
        <v>0</v>
      </c>
      <c r="B334" s="144" t="str">
        <f>IF(G334="."," ",Formulario!D$5)</f>
        <v xml:space="preserve"> </v>
      </c>
      <c r="C334" s="144" t="str">
        <f>IF(G334=".","",Formulario!D$6)</f>
        <v/>
      </c>
      <c r="D334" s="144" t="str">
        <f>IF(H334=".","",Formulario!D$7)</f>
        <v/>
      </c>
      <c r="E334" s="144" t="str">
        <f>IF(G334=".","",Formulario!J$5)</f>
        <v/>
      </c>
      <c r="F334" s="145" t="str">
        <f>IF(G334=".","",Formulario!J$6)</f>
        <v/>
      </c>
      <c r="G334" s="180" t="str">
        <f>IF(Formulario!C342&lt;&gt;"",IF(Formulario!C342=" ","Falta Depto",IF(H334=".","Error En Descripción",Formulario!C342)),IF(H334=".",".","Falta Datos"))</f>
        <v>.</v>
      </c>
      <c r="H334" s="144" t="str">
        <f>IF(Formulario!D342&lt;&gt;"",IF(Formulario!D342=" ",".",Formulario!D342),".")</f>
        <v>.</v>
      </c>
      <c r="I334" s="144" t="str">
        <f>IF(Formulario!E342&lt;&gt;"",IF(Formulario!E342=" "," ",Formulario!E342),IF(G334=".",".","Falta Propietario"))</f>
        <v>.</v>
      </c>
      <c r="J334" s="144" t="str">
        <f>IF(Formulario!F342&lt;&gt;"",IF(Formulario!F342=" "," ",Formulario!F342)," ")</f>
        <v xml:space="preserve"> </v>
      </c>
      <c r="K334" s="144" t="str">
        <f>IF(Formulario!G342&lt;&gt;"",IF(Formulario!G342=" "," ",Formulario!G342)," ")</f>
        <v xml:space="preserve"> </v>
      </c>
      <c r="L334" s="144" t="str">
        <f>IF(Formulario!H342&lt;&gt;"",IF(Formulario!H342=" "," ",Formulario!H342)," ")</f>
        <v xml:space="preserve"> </v>
      </c>
      <c r="M334" s="144" t="str">
        <f>IF(Formulario!I342&lt;&gt;"",IF(Formulario!I342=" "," ",Formulario!I342)," ")</f>
        <v xml:space="preserve"> </v>
      </c>
      <c r="N334" s="145" t="str">
        <f>IF(Formulario!J342&lt;&gt;"",IF(Formulario!J342=" "," ",Formulario!J342),IF(G334=".",".","Falta Fecha"))</f>
        <v>.</v>
      </c>
      <c r="O334" s="155">
        <f>Formulario!L342</f>
        <v>0</v>
      </c>
      <c r="P334" s="146">
        <f>IF(O334=1,"09:00",Formulario!M342)</f>
        <v>0</v>
      </c>
      <c r="Q334" s="146">
        <f>IF(O334=1,"18:30",Formulario!N342)</f>
        <v>0</v>
      </c>
      <c r="R334" s="146" t="str">
        <f>IF(Formulario!O342&lt;&gt;"",IF(Formulario!O342=" ",".",Formulario!O342),".")</f>
        <v>Post Venta</v>
      </c>
      <c r="S334" s="141" t="s">
        <v>131</v>
      </c>
    </row>
    <row r="335" spans="1:19">
      <c r="A335" s="141">
        <f>Formulario!B343</f>
        <v>0</v>
      </c>
      <c r="B335" s="144" t="str">
        <f>IF(G335="."," ",Formulario!D$5)</f>
        <v xml:space="preserve"> </v>
      </c>
      <c r="C335" s="144" t="str">
        <f>IF(G335=".","",Formulario!D$6)</f>
        <v/>
      </c>
      <c r="D335" s="144" t="str">
        <f>IF(H335=".","",Formulario!D$7)</f>
        <v/>
      </c>
      <c r="E335" s="144" t="str">
        <f>IF(G335=".","",Formulario!J$5)</f>
        <v/>
      </c>
      <c r="F335" s="145" t="str">
        <f>IF(G335=".","",Formulario!J$6)</f>
        <v/>
      </c>
      <c r="G335" s="180" t="str">
        <f>IF(Formulario!C343&lt;&gt;"",IF(Formulario!C343=" ","Falta Depto",IF(H335=".","Error En Descripción",Formulario!C343)),IF(H335=".",".","Falta Datos"))</f>
        <v>.</v>
      </c>
      <c r="H335" s="144" t="str">
        <f>IF(Formulario!D343&lt;&gt;"",IF(Formulario!D343=" ",".",Formulario!D343),".")</f>
        <v>.</v>
      </c>
      <c r="I335" s="144" t="str">
        <f>IF(Formulario!E343&lt;&gt;"",IF(Formulario!E343=" "," ",Formulario!E343),IF(G335=".",".","Falta Propietario"))</f>
        <v>.</v>
      </c>
      <c r="J335" s="144" t="str">
        <f>IF(Formulario!F343&lt;&gt;"",IF(Formulario!F343=" "," ",Formulario!F343)," ")</f>
        <v xml:space="preserve"> </v>
      </c>
      <c r="K335" s="144" t="str">
        <f>IF(Formulario!G343&lt;&gt;"",IF(Formulario!G343=" "," ",Formulario!G343)," ")</f>
        <v xml:space="preserve"> </v>
      </c>
      <c r="L335" s="144" t="str">
        <f>IF(Formulario!H343&lt;&gt;"",IF(Formulario!H343=" "," ",Formulario!H343)," ")</f>
        <v xml:space="preserve"> </v>
      </c>
      <c r="M335" s="144" t="str">
        <f>IF(Formulario!I343&lt;&gt;"",IF(Formulario!I343=" "," ",Formulario!I343)," ")</f>
        <v xml:space="preserve"> </v>
      </c>
      <c r="N335" s="145" t="str">
        <f>IF(Formulario!J343&lt;&gt;"",IF(Formulario!J343=" "," ",Formulario!J343),IF(G335=".",".","Falta Fecha"))</f>
        <v>.</v>
      </c>
      <c r="O335" s="155">
        <f>Formulario!L343</f>
        <v>0</v>
      </c>
      <c r="P335" s="146">
        <f>IF(O335=1,"09:00",Formulario!M343)</f>
        <v>0</v>
      </c>
      <c r="Q335" s="146">
        <f>IF(O335=1,"18:30",Formulario!N343)</f>
        <v>0</v>
      </c>
      <c r="R335" s="146" t="str">
        <f>IF(Formulario!O343&lt;&gt;"",IF(Formulario!O343=" ",".",Formulario!O343),".")</f>
        <v>Post Venta</v>
      </c>
      <c r="S335" s="141" t="s">
        <v>131</v>
      </c>
    </row>
    <row r="336" spans="1:19">
      <c r="A336" s="141">
        <f>Formulario!B344</f>
        <v>0</v>
      </c>
      <c r="B336" s="144" t="str">
        <f>IF(G336="."," ",Formulario!D$5)</f>
        <v xml:space="preserve"> </v>
      </c>
      <c r="C336" s="144" t="str">
        <f>IF(G336=".","",Formulario!D$6)</f>
        <v/>
      </c>
      <c r="D336" s="144" t="str">
        <f>IF(H336=".","",Formulario!D$7)</f>
        <v/>
      </c>
      <c r="E336" s="144" t="str">
        <f>IF(G336=".","",Formulario!J$5)</f>
        <v/>
      </c>
      <c r="F336" s="145" t="str">
        <f>IF(G336=".","",Formulario!J$6)</f>
        <v/>
      </c>
      <c r="G336" s="180" t="str">
        <f>IF(Formulario!C344&lt;&gt;"",IF(Formulario!C344=" ","Falta Depto",IF(H336=".","Error En Descripción",Formulario!C344)),IF(H336=".",".","Falta Datos"))</f>
        <v>.</v>
      </c>
      <c r="H336" s="144" t="str">
        <f>IF(Formulario!D344&lt;&gt;"",IF(Formulario!D344=" ",".",Formulario!D344),".")</f>
        <v>.</v>
      </c>
      <c r="I336" s="144" t="str">
        <f>IF(Formulario!E344&lt;&gt;"",IF(Formulario!E344=" "," ",Formulario!E344),IF(G336=".",".","Falta Propietario"))</f>
        <v>.</v>
      </c>
      <c r="J336" s="144" t="str">
        <f>IF(Formulario!F344&lt;&gt;"",IF(Formulario!F344=" "," ",Formulario!F344)," ")</f>
        <v xml:space="preserve"> </v>
      </c>
      <c r="K336" s="144" t="str">
        <f>IF(Formulario!G344&lt;&gt;"",IF(Formulario!G344=" "," ",Formulario!G344)," ")</f>
        <v xml:space="preserve"> </v>
      </c>
      <c r="L336" s="144" t="str">
        <f>IF(Formulario!H344&lt;&gt;"",IF(Formulario!H344=" "," ",Formulario!H344)," ")</f>
        <v xml:space="preserve"> </v>
      </c>
      <c r="M336" s="144" t="str">
        <f>IF(Formulario!I344&lt;&gt;"",IF(Formulario!I344=" "," ",Formulario!I344)," ")</f>
        <v xml:space="preserve"> </v>
      </c>
      <c r="N336" s="145" t="str">
        <f>IF(Formulario!J344&lt;&gt;"",IF(Formulario!J344=" "," ",Formulario!J344),IF(G336=".",".","Falta Fecha"))</f>
        <v>.</v>
      </c>
      <c r="O336" s="155">
        <f>Formulario!L344</f>
        <v>0</v>
      </c>
      <c r="P336" s="146">
        <f>IF(O336=1,"09:00",Formulario!M344)</f>
        <v>0</v>
      </c>
      <c r="Q336" s="146">
        <f>IF(O336=1,"18:30",Formulario!N344)</f>
        <v>0</v>
      </c>
      <c r="R336" s="146" t="str">
        <f>IF(Formulario!O344&lt;&gt;"",IF(Formulario!O344=" ",".",Formulario!O344),".")</f>
        <v>Post Venta</v>
      </c>
      <c r="S336" s="141" t="s">
        <v>131</v>
      </c>
    </row>
    <row r="337" spans="1:19">
      <c r="A337" s="141">
        <f>Formulario!B345</f>
        <v>0</v>
      </c>
      <c r="B337" s="144" t="str">
        <f>IF(G337="."," ",Formulario!D$5)</f>
        <v xml:space="preserve"> </v>
      </c>
      <c r="C337" s="144" t="str">
        <f>IF(G337=".","",Formulario!D$6)</f>
        <v/>
      </c>
      <c r="D337" s="144" t="str">
        <f>IF(H337=".","",Formulario!D$7)</f>
        <v/>
      </c>
      <c r="E337" s="144" t="str">
        <f>IF(G337=".","",Formulario!J$5)</f>
        <v/>
      </c>
      <c r="F337" s="145" t="str">
        <f>IF(G337=".","",Formulario!J$6)</f>
        <v/>
      </c>
      <c r="G337" s="180" t="str">
        <f>IF(Formulario!C345&lt;&gt;"",IF(Formulario!C345=" ","Falta Depto",IF(H337=".","Error En Descripción",Formulario!C345)),IF(H337=".",".","Falta Datos"))</f>
        <v>.</v>
      </c>
      <c r="H337" s="144" t="str">
        <f>IF(Formulario!D345&lt;&gt;"",IF(Formulario!D345=" ",".",Formulario!D345),".")</f>
        <v>.</v>
      </c>
      <c r="I337" s="144" t="str">
        <f>IF(Formulario!E345&lt;&gt;"",IF(Formulario!E345=" "," ",Formulario!E345),IF(G337=".",".","Falta Propietario"))</f>
        <v>.</v>
      </c>
      <c r="J337" s="144" t="str">
        <f>IF(Formulario!F345&lt;&gt;"",IF(Formulario!F345=" "," ",Formulario!F345)," ")</f>
        <v xml:space="preserve"> </v>
      </c>
      <c r="K337" s="144" t="str">
        <f>IF(Formulario!G345&lt;&gt;"",IF(Formulario!G345=" "," ",Formulario!G345)," ")</f>
        <v xml:space="preserve"> </v>
      </c>
      <c r="L337" s="144" t="str">
        <f>IF(Formulario!H345&lt;&gt;"",IF(Formulario!H345=" "," ",Formulario!H345)," ")</f>
        <v xml:space="preserve"> </v>
      </c>
      <c r="M337" s="144" t="str">
        <f>IF(Formulario!I345&lt;&gt;"",IF(Formulario!I345=" "," ",Formulario!I345)," ")</f>
        <v xml:space="preserve"> </v>
      </c>
      <c r="N337" s="145" t="str">
        <f>IF(Formulario!J345&lt;&gt;"",IF(Formulario!J345=" "," ",Formulario!J345),IF(G337=".",".","Falta Fecha"))</f>
        <v>.</v>
      </c>
      <c r="O337" s="155">
        <f>Formulario!L345</f>
        <v>0</v>
      </c>
      <c r="P337" s="146">
        <f>IF(O337=1,"09:00",Formulario!M345)</f>
        <v>0</v>
      </c>
      <c r="Q337" s="146">
        <f>IF(O337=1,"18:30",Formulario!N345)</f>
        <v>0</v>
      </c>
      <c r="R337" s="146" t="str">
        <f>IF(Formulario!O345&lt;&gt;"",IF(Formulario!O345=" ",".",Formulario!O345),".")</f>
        <v>Post Venta</v>
      </c>
      <c r="S337" s="141" t="s">
        <v>131</v>
      </c>
    </row>
    <row r="338" spans="1:19">
      <c r="A338" s="141">
        <f>Formulario!B346</f>
        <v>0</v>
      </c>
      <c r="B338" s="144" t="str">
        <f>IF(G338="."," ",Formulario!D$5)</f>
        <v xml:space="preserve"> </v>
      </c>
      <c r="C338" s="144" t="str">
        <f>IF(G338=".","",Formulario!D$6)</f>
        <v/>
      </c>
      <c r="D338" s="144" t="str">
        <f>IF(H338=".","",Formulario!D$7)</f>
        <v/>
      </c>
      <c r="E338" s="144" t="str">
        <f>IF(G338=".","",Formulario!J$5)</f>
        <v/>
      </c>
      <c r="F338" s="145" t="str">
        <f>IF(G338=".","",Formulario!J$6)</f>
        <v/>
      </c>
      <c r="G338" s="180" t="str">
        <f>IF(Formulario!C346&lt;&gt;"",IF(Formulario!C346=" ","Falta Depto",IF(H338=".","Error En Descripción",Formulario!C346)),IF(H338=".",".","Falta Datos"))</f>
        <v>.</v>
      </c>
      <c r="H338" s="144" t="str">
        <f>IF(Formulario!D346&lt;&gt;"",IF(Formulario!D346=" ",".",Formulario!D346),".")</f>
        <v>.</v>
      </c>
      <c r="I338" s="144" t="str">
        <f>IF(Formulario!E346&lt;&gt;"",IF(Formulario!E346=" "," ",Formulario!E346),IF(G338=".",".","Falta Propietario"))</f>
        <v>.</v>
      </c>
      <c r="J338" s="144" t="str">
        <f>IF(Formulario!F346&lt;&gt;"",IF(Formulario!F346=" "," ",Formulario!F346)," ")</f>
        <v xml:space="preserve"> </v>
      </c>
      <c r="K338" s="144" t="str">
        <f>IF(Formulario!G346&lt;&gt;"",IF(Formulario!G346=" "," ",Formulario!G346)," ")</f>
        <v xml:space="preserve"> </v>
      </c>
      <c r="L338" s="144" t="str">
        <f>IF(Formulario!H346&lt;&gt;"",IF(Formulario!H346=" "," ",Formulario!H346)," ")</f>
        <v xml:space="preserve"> </v>
      </c>
      <c r="M338" s="144" t="str">
        <f>IF(Formulario!I346&lt;&gt;"",IF(Formulario!I346=" "," ",Formulario!I346)," ")</f>
        <v xml:space="preserve"> </v>
      </c>
      <c r="N338" s="145" t="str">
        <f>IF(Formulario!J346&lt;&gt;"",IF(Formulario!J346=" "," ",Formulario!J346),IF(G338=".",".","Falta Fecha"))</f>
        <v>.</v>
      </c>
      <c r="O338" s="155">
        <f>Formulario!L346</f>
        <v>0</v>
      </c>
      <c r="P338" s="146">
        <f>IF(O338=1,"09:00",Formulario!M346)</f>
        <v>0</v>
      </c>
      <c r="Q338" s="146">
        <f>IF(O338=1,"18:30",Formulario!N346)</f>
        <v>0</v>
      </c>
      <c r="R338" s="146" t="str">
        <f>IF(Formulario!O346&lt;&gt;"",IF(Formulario!O346=" ",".",Formulario!O346),".")</f>
        <v>Post Venta</v>
      </c>
      <c r="S338" s="141" t="s">
        <v>131</v>
      </c>
    </row>
    <row r="339" spans="1:19">
      <c r="A339" s="141">
        <f>Formulario!B347</f>
        <v>0</v>
      </c>
      <c r="B339" s="144" t="str">
        <f>IF(G339="."," ",Formulario!D$5)</f>
        <v xml:space="preserve"> </v>
      </c>
      <c r="C339" s="144" t="str">
        <f>IF(G339=".","",Formulario!D$6)</f>
        <v/>
      </c>
      <c r="D339" s="144" t="str">
        <f>IF(H339=".","",Formulario!D$7)</f>
        <v/>
      </c>
      <c r="E339" s="144" t="str">
        <f>IF(G339=".","",Formulario!J$5)</f>
        <v/>
      </c>
      <c r="F339" s="145" t="str">
        <f>IF(G339=".","",Formulario!J$6)</f>
        <v/>
      </c>
      <c r="G339" s="180" t="str">
        <f>IF(Formulario!C347&lt;&gt;"",IF(Formulario!C347=" ","Falta Depto",IF(H339=".","Error En Descripción",Formulario!C347)),IF(H339=".",".","Falta Datos"))</f>
        <v>.</v>
      </c>
      <c r="H339" s="144" t="str">
        <f>IF(Formulario!D347&lt;&gt;"",IF(Formulario!D347=" ",".",Formulario!D347),".")</f>
        <v>.</v>
      </c>
      <c r="I339" s="144" t="str">
        <f>IF(Formulario!E347&lt;&gt;"",IF(Formulario!E347=" "," ",Formulario!E347),IF(G339=".",".","Falta Propietario"))</f>
        <v>.</v>
      </c>
      <c r="J339" s="144" t="str">
        <f>IF(Formulario!F347&lt;&gt;"",IF(Formulario!F347=" "," ",Formulario!F347)," ")</f>
        <v xml:space="preserve"> </v>
      </c>
      <c r="K339" s="144" t="str">
        <f>IF(Formulario!G347&lt;&gt;"",IF(Formulario!G347=" "," ",Formulario!G347)," ")</f>
        <v xml:space="preserve"> </v>
      </c>
      <c r="L339" s="144" t="str">
        <f>IF(Formulario!H347&lt;&gt;"",IF(Formulario!H347=" "," ",Formulario!H347)," ")</f>
        <v xml:space="preserve"> </v>
      </c>
      <c r="M339" s="144" t="str">
        <f>IF(Formulario!I347&lt;&gt;"",IF(Formulario!I347=" "," ",Formulario!I347)," ")</f>
        <v xml:space="preserve"> </v>
      </c>
      <c r="N339" s="145" t="str">
        <f>IF(Formulario!J347&lt;&gt;"",IF(Formulario!J347=" "," ",Formulario!J347),IF(G339=".",".","Falta Fecha"))</f>
        <v>.</v>
      </c>
      <c r="O339" s="155">
        <f>Formulario!L347</f>
        <v>0</v>
      </c>
      <c r="P339" s="146">
        <f>IF(O339=1,"09:00",Formulario!M347)</f>
        <v>0</v>
      </c>
      <c r="Q339" s="146">
        <f>IF(O339=1,"18:30",Formulario!N347)</f>
        <v>0</v>
      </c>
      <c r="R339" s="146" t="str">
        <f>IF(Formulario!O347&lt;&gt;"",IF(Formulario!O347=" ",".",Formulario!O347),".")</f>
        <v>Post Venta</v>
      </c>
      <c r="S339" s="141" t="s">
        <v>131</v>
      </c>
    </row>
    <row r="340" spans="1:19">
      <c r="A340" s="141">
        <f>Formulario!B348</f>
        <v>0</v>
      </c>
      <c r="B340" s="144" t="str">
        <f>IF(G340="."," ",Formulario!D$5)</f>
        <v xml:space="preserve"> </v>
      </c>
      <c r="C340" s="144" t="str">
        <f>IF(G340=".","",Formulario!D$6)</f>
        <v/>
      </c>
      <c r="D340" s="144" t="str">
        <f>IF(H340=".","",Formulario!D$7)</f>
        <v/>
      </c>
      <c r="E340" s="144" t="str">
        <f>IF(G340=".","",Formulario!J$5)</f>
        <v/>
      </c>
      <c r="F340" s="145" t="str">
        <f>IF(G340=".","",Formulario!J$6)</f>
        <v/>
      </c>
      <c r="G340" s="180" t="str">
        <f>IF(Formulario!C348&lt;&gt;"",IF(Formulario!C348=" ","Falta Depto",IF(H340=".","Error En Descripción",Formulario!C348)),IF(H340=".",".","Falta Datos"))</f>
        <v>.</v>
      </c>
      <c r="H340" s="144" t="str">
        <f>IF(Formulario!D348&lt;&gt;"",IF(Formulario!D348=" ",".",Formulario!D348),".")</f>
        <v>.</v>
      </c>
      <c r="I340" s="144" t="str">
        <f>IF(Formulario!E348&lt;&gt;"",IF(Formulario!E348=" "," ",Formulario!E348),IF(G340=".",".","Falta Propietario"))</f>
        <v>.</v>
      </c>
      <c r="J340" s="144" t="str">
        <f>IF(Formulario!F348&lt;&gt;"",IF(Formulario!F348=" "," ",Formulario!F348)," ")</f>
        <v xml:space="preserve"> </v>
      </c>
      <c r="K340" s="144" t="str">
        <f>IF(Formulario!G348&lt;&gt;"",IF(Formulario!G348=" "," ",Formulario!G348)," ")</f>
        <v xml:space="preserve"> </v>
      </c>
      <c r="L340" s="144" t="str">
        <f>IF(Formulario!H348&lt;&gt;"",IF(Formulario!H348=" "," ",Formulario!H348)," ")</f>
        <v xml:space="preserve"> </v>
      </c>
      <c r="M340" s="144" t="str">
        <f>IF(Formulario!I348&lt;&gt;"",IF(Formulario!I348=" "," ",Formulario!I348)," ")</f>
        <v xml:space="preserve"> </v>
      </c>
      <c r="N340" s="145" t="str">
        <f>IF(Formulario!J348&lt;&gt;"",IF(Formulario!J348=" "," ",Formulario!J348),IF(G340=".",".","Falta Fecha"))</f>
        <v>.</v>
      </c>
      <c r="O340" s="155">
        <f>Formulario!L348</f>
        <v>0</v>
      </c>
      <c r="P340" s="146">
        <f>IF(O340=1,"09:00",Formulario!M348)</f>
        <v>0</v>
      </c>
      <c r="Q340" s="146">
        <f>IF(O340=1,"18:30",Formulario!N348)</f>
        <v>0</v>
      </c>
      <c r="R340" s="146" t="str">
        <f>IF(Formulario!O348&lt;&gt;"",IF(Formulario!O348=" ",".",Formulario!O348),".")</f>
        <v>Post Venta</v>
      </c>
      <c r="S340" s="141" t="s">
        <v>131</v>
      </c>
    </row>
    <row r="341" spans="1:19">
      <c r="A341" s="141">
        <f>Formulario!B349</f>
        <v>0</v>
      </c>
      <c r="B341" s="144" t="str">
        <f>IF(G341="."," ",Formulario!D$5)</f>
        <v xml:space="preserve"> </v>
      </c>
      <c r="C341" s="144" t="str">
        <f>IF(G341=".","",Formulario!D$6)</f>
        <v/>
      </c>
      <c r="D341" s="144" t="str">
        <f>IF(H341=".","",Formulario!D$7)</f>
        <v/>
      </c>
      <c r="E341" s="144" t="str">
        <f>IF(G341=".","",Formulario!J$5)</f>
        <v/>
      </c>
      <c r="F341" s="145" t="str">
        <f>IF(G341=".","",Formulario!J$6)</f>
        <v/>
      </c>
      <c r="G341" s="180" t="str">
        <f>IF(Formulario!C349&lt;&gt;"",IF(Formulario!C349=" ","Falta Depto",IF(H341=".","Error En Descripción",Formulario!C349)),IF(H341=".",".","Falta Datos"))</f>
        <v>.</v>
      </c>
      <c r="H341" s="144" t="str">
        <f>IF(Formulario!D349&lt;&gt;"",IF(Formulario!D349=" ",".",Formulario!D349),".")</f>
        <v>.</v>
      </c>
      <c r="I341" s="144" t="str">
        <f>IF(Formulario!E349&lt;&gt;"",IF(Formulario!E349=" "," ",Formulario!E349),IF(G341=".",".","Falta Propietario"))</f>
        <v>.</v>
      </c>
      <c r="J341" s="144" t="str">
        <f>IF(Formulario!F349&lt;&gt;"",IF(Formulario!F349=" "," ",Formulario!F349)," ")</f>
        <v xml:space="preserve"> </v>
      </c>
      <c r="K341" s="144" t="str">
        <f>IF(Formulario!G349&lt;&gt;"",IF(Formulario!G349=" "," ",Formulario!G349)," ")</f>
        <v xml:space="preserve"> </v>
      </c>
      <c r="L341" s="144" t="str">
        <f>IF(Formulario!H349&lt;&gt;"",IF(Formulario!H349=" "," ",Formulario!H349)," ")</f>
        <v xml:space="preserve"> </v>
      </c>
      <c r="M341" s="144" t="str">
        <f>IF(Formulario!I349&lt;&gt;"",IF(Formulario!I349=" "," ",Formulario!I349)," ")</f>
        <v xml:space="preserve"> </v>
      </c>
      <c r="N341" s="145" t="str">
        <f>IF(Formulario!J349&lt;&gt;"",IF(Formulario!J349=" "," ",Formulario!J349),IF(G341=".",".","Falta Fecha"))</f>
        <v>.</v>
      </c>
      <c r="O341" s="155">
        <f>Formulario!L349</f>
        <v>0</v>
      </c>
      <c r="P341" s="146">
        <f>IF(O341=1,"09:00",Formulario!M349)</f>
        <v>0</v>
      </c>
      <c r="Q341" s="146">
        <f>IF(O341=1,"18:30",Formulario!N349)</f>
        <v>0</v>
      </c>
      <c r="R341" s="146" t="str">
        <f>IF(Formulario!O349&lt;&gt;"",IF(Formulario!O349=" ",".",Formulario!O349),".")</f>
        <v>Post Venta</v>
      </c>
      <c r="S341" s="141" t="s">
        <v>131</v>
      </c>
    </row>
    <row r="342" spans="1:19">
      <c r="A342" s="141">
        <f>Formulario!B350</f>
        <v>0</v>
      </c>
      <c r="B342" s="144" t="str">
        <f>IF(G342="."," ",Formulario!D$5)</f>
        <v xml:space="preserve"> </v>
      </c>
      <c r="C342" s="144" t="str">
        <f>IF(G342=".","",Formulario!D$6)</f>
        <v/>
      </c>
      <c r="D342" s="144" t="str">
        <f>IF(H342=".","",Formulario!D$7)</f>
        <v/>
      </c>
      <c r="E342" s="144" t="str">
        <f>IF(G342=".","",Formulario!J$5)</f>
        <v/>
      </c>
      <c r="F342" s="145" t="str">
        <f>IF(G342=".","",Formulario!J$6)</f>
        <v/>
      </c>
      <c r="G342" s="180" t="str">
        <f>IF(Formulario!C350&lt;&gt;"",IF(Formulario!C350=" ","Falta Depto",IF(H342=".","Error En Descripción",Formulario!C350)),IF(H342=".",".","Falta Datos"))</f>
        <v>.</v>
      </c>
      <c r="H342" s="144" t="str">
        <f>IF(Formulario!D350&lt;&gt;"",IF(Formulario!D350=" ",".",Formulario!D350),".")</f>
        <v>.</v>
      </c>
      <c r="I342" s="144" t="str">
        <f>IF(Formulario!E350&lt;&gt;"",IF(Formulario!E350=" "," ",Formulario!E350),IF(G342=".",".","Falta Propietario"))</f>
        <v>.</v>
      </c>
      <c r="J342" s="144" t="str">
        <f>IF(Formulario!F350&lt;&gt;"",IF(Formulario!F350=" "," ",Formulario!F350)," ")</f>
        <v xml:space="preserve"> </v>
      </c>
      <c r="K342" s="144" t="str">
        <f>IF(Formulario!G350&lt;&gt;"",IF(Formulario!G350=" "," ",Formulario!G350)," ")</f>
        <v xml:space="preserve"> </v>
      </c>
      <c r="L342" s="144" t="str">
        <f>IF(Formulario!H350&lt;&gt;"",IF(Formulario!H350=" "," ",Formulario!H350)," ")</f>
        <v xml:space="preserve"> </v>
      </c>
      <c r="M342" s="144" t="str">
        <f>IF(Formulario!I350&lt;&gt;"",IF(Formulario!I350=" "," ",Formulario!I350)," ")</f>
        <v xml:space="preserve"> </v>
      </c>
      <c r="N342" s="145" t="str">
        <f>IF(Formulario!J350&lt;&gt;"",IF(Formulario!J350=" "," ",Formulario!J350),IF(G342=".",".","Falta Fecha"))</f>
        <v>.</v>
      </c>
      <c r="O342" s="155">
        <f>Formulario!L350</f>
        <v>0</v>
      </c>
      <c r="P342" s="146">
        <f>IF(O342=1,"09:00",Formulario!M350)</f>
        <v>0</v>
      </c>
      <c r="Q342" s="146">
        <f>IF(O342=1,"18:30",Formulario!N350)</f>
        <v>0</v>
      </c>
      <c r="R342" s="146" t="str">
        <f>IF(Formulario!O350&lt;&gt;"",IF(Formulario!O350=" ",".",Formulario!O350),".")</f>
        <v>Post Venta</v>
      </c>
      <c r="S342" s="141" t="s">
        <v>131</v>
      </c>
    </row>
    <row r="343" spans="1:19">
      <c r="A343" s="141">
        <f>Formulario!B351</f>
        <v>0</v>
      </c>
      <c r="B343" s="144" t="str">
        <f>IF(G343="."," ",Formulario!D$5)</f>
        <v xml:space="preserve"> </v>
      </c>
      <c r="C343" s="144" t="str">
        <f>IF(G343=".","",Formulario!D$6)</f>
        <v/>
      </c>
      <c r="D343" s="144" t="str">
        <f>IF(H343=".","",Formulario!D$7)</f>
        <v/>
      </c>
      <c r="E343" s="144" t="str">
        <f>IF(G343=".","",Formulario!J$5)</f>
        <v/>
      </c>
      <c r="F343" s="145" t="str">
        <f>IF(G343=".","",Formulario!J$6)</f>
        <v/>
      </c>
      <c r="G343" s="180" t="str">
        <f>IF(Formulario!C351&lt;&gt;"",IF(Formulario!C351=" ","Falta Depto",IF(H343=".","Error En Descripción",Formulario!C351)),IF(H343=".",".","Falta Datos"))</f>
        <v>.</v>
      </c>
      <c r="H343" s="144" t="str">
        <f>IF(Formulario!D351&lt;&gt;"",IF(Formulario!D351=" ",".",Formulario!D351),".")</f>
        <v>.</v>
      </c>
      <c r="I343" s="144" t="str">
        <f>IF(Formulario!E351&lt;&gt;"",IF(Formulario!E351=" "," ",Formulario!E351),IF(G343=".",".","Falta Propietario"))</f>
        <v>.</v>
      </c>
      <c r="J343" s="144" t="str">
        <f>IF(Formulario!F351&lt;&gt;"",IF(Formulario!F351=" "," ",Formulario!F351)," ")</f>
        <v xml:space="preserve"> </v>
      </c>
      <c r="K343" s="144" t="str">
        <f>IF(Formulario!G351&lt;&gt;"",IF(Formulario!G351=" "," ",Formulario!G351)," ")</f>
        <v xml:space="preserve"> </v>
      </c>
      <c r="L343" s="144" t="str">
        <f>IF(Formulario!H351&lt;&gt;"",IF(Formulario!H351=" "," ",Formulario!H351)," ")</f>
        <v xml:space="preserve"> </v>
      </c>
      <c r="M343" s="144" t="str">
        <f>IF(Formulario!I351&lt;&gt;"",IF(Formulario!I351=" "," ",Formulario!I351)," ")</f>
        <v xml:space="preserve"> </v>
      </c>
      <c r="N343" s="145" t="str">
        <f>IF(Formulario!J351&lt;&gt;"",IF(Formulario!J351=" "," ",Formulario!J351),IF(G343=".",".","Falta Fecha"))</f>
        <v>.</v>
      </c>
      <c r="O343" s="155">
        <f>Formulario!L351</f>
        <v>0</v>
      </c>
      <c r="P343" s="146">
        <f>IF(O343=1,"09:00",Formulario!M351)</f>
        <v>0</v>
      </c>
      <c r="Q343" s="146">
        <f>IF(O343=1,"18:30",Formulario!N351)</f>
        <v>0</v>
      </c>
      <c r="R343" s="146" t="str">
        <f>IF(Formulario!O351&lt;&gt;"",IF(Formulario!O351=" ",".",Formulario!O351),".")</f>
        <v>Post Venta</v>
      </c>
      <c r="S343" s="141" t="s">
        <v>131</v>
      </c>
    </row>
    <row r="344" spans="1:19">
      <c r="A344" s="141">
        <f>Formulario!B352</f>
        <v>0</v>
      </c>
      <c r="B344" s="144" t="str">
        <f>IF(G344="."," ",Formulario!D$5)</f>
        <v xml:space="preserve"> </v>
      </c>
      <c r="C344" s="144" t="str">
        <f>IF(G344=".","",Formulario!D$6)</f>
        <v/>
      </c>
      <c r="D344" s="144" t="str">
        <f>IF(H344=".","",Formulario!D$7)</f>
        <v/>
      </c>
      <c r="E344" s="144" t="str">
        <f>IF(G344=".","",Formulario!J$5)</f>
        <v/>
      </c>
      <c r="F344" s="145" t="str">
        <f>IF(G344=".","",Formulario!J$6)</f>
        <v/>
      </c>
      <c r="G344" s="180" t="str">
        <f>IF(Formulario!C352&lt;&gt;"",IF(Formulario!C352=" ","Falta Depto",IF(H344=".","Error En Descripción",Formulario!C352)),IF(H344=".",".","Falta Datos"))</f>
        <v>.</v>
      </c>
      <c r="H344" s="144" t="str">
        <f>IF(Formulario!D352&lt;&gt;"",IF(Formulario!D352=" ",".",Formulario!D352),".")</f>
        <v>.</v>
      </c>
      <c r="I344" s="144" t="str">
        <f>IF(Formulario!E352&lt;&gt;"",IF(Formulario!E352=" "," ",Formulario!E352),IF(G344=".",".","Falta Propietario"))</f>
        <v>.</v>
      </c>
      <c r="J344" s="144" t="str">
        <f>IF(Formulario!F352&lt;&gt;"",IF(Formulario!F352=" "," ",Formulario!F352)," ")</f>
        <v xml:space="preserve"> </v>
      </c>
      <c r="K344" s="144" t="str">
        <f>IF(Formulario!G352&lt;&gt;"",IF(Formulario!G352=" "," ",Formulario!G352)," ")</f>
        <v xml:space="preserve"> </v>
      </c>
      <c r="L344" s="144" t="str">
        <f>IF(Formulario!H352&lt;&gt;"",IF(Formulario!H352=" "," ",Formulario!H352)," ")</f>
        <v xml:space="preserve"> </v>
      </c>
      <c r="M344" s="144" t="str">
        <f>IF(Formulario!I352&lt;&gt;"",IF(Formulario!I352=" "," ",Formulario!I352)," ")</f>
        <v xml:space="preserve"> </v>
      </c>
      <c r="N344" s="145" t="str">
        <f>IF(Formulario!J352&lt;&gt;"",IF(Formulario!J352=" "," ",Formulario!J352),IF(G344=".",".","Falta Fecha"))</f>
        <v>.</v>
      </c>
      <c r="O344" s="155">
        <f>Formulario!L352</f>
        <v>0</v>
      </c>
      <c r="P344" s="146">
        <f>IF(O344=1,"09:00",Formulario!M352)</f>
        <v>0</v>
      </c>
      <c r="Q344" s="146">
        <f>IF(O344=1,"18:30",Formulario!N352)</f>
        <v>0</v>
      </c>
      <c r="R344" s="146" t="str">
        <f>IF(Formulario!O352&lt;&gt;"",IF(Formulario!O352=" ",".",Formulario!O352),".")</f>
        <v>Post Venta</v>
      </c>
      <c r="S344" s="141" t="s">
        <v>131</v>
      </c>
    </row>
    <row r="345" spans="1:19">
      <c r="A345" s="141">
        <f>Formulario!B353</f>
        <v>0</v>
      </c>
      <c r="B345" s="144" t="str">
        <f>IF(G345="."," ",Formulario!D$5)</f>
        <v xml:space="preserve"> </v>
      </c>
      <c r="C345" s="144" t="str">
        <f>IF(G345=".","",Formulario!D$6)</f>
        <v/>
      </c>
      <c r="D345" s="144" t="str">
        <f>IF(H345=".","",Formulario!D$7)</f>
        <v/>
      </c>
      <c r="E345" s="144" t="str">
        <f>IF(G345=".","",Formulario!J$5)</f>
        <v/>
      </c>
      <c r="F345" s="145" t="str">
        <f>IF(G345=".","",Formulario!J$6)</f>
        <v/>
      </c>
      <c r="G345" s="180" t="str">
        <f>IF(Formulario!C353&lt;&gt;"",IF(Formulario!C353=" ","Falta Depto",IF(H345=".","Error En Descripción",Formulario!C353)),IF(H345=".",".","Falta Datos"))</f>
        <v>.</v>
      </c>
      <c r="H345" s="144" t="str">
        <f>IF(Formulario!D353&lt;&gt;"",IF(Formulario!D353=" ",".",Formulario!D353),".")</f>
        <v>.</v>
      </c>
      <c r="I345" s="144" t="str">
        <f>IF(Formulario!E353&lt;&gt;"",IF(Formulario!E353=" "," ",Formulario!E353),IF(G345=".",".","Falta Propietario"))</f>
        <v>.</v>
      </c>
      <c r="J345" s="144" t="str">
        <f>IF(Formulario!F353&lt;&gt;"",IF(Formulario!F353=" "," ",Formulario!F353)," ")</f>
        <v xml:space="preserve"> </v>
      </c>
      <c r="K345" s="144" t="str">
        <f>IF(Formulario!G353&lt;&gt;"",IF(Formulario!G353=" "," ",Formulario!G353)," ")</f>
        <v xml:space="preserve"> </v>
      </c>
      <c r="L345" s="144" t="str">
        <f>IF(Formulario!H353&lt;&gt;"",IF(Formulario!H353=" "," ",Formulario!H353)," ")</f>
        <v xml:space="preserve"> </v>
      </c>
      <c r="M345" s="144" t="str">
        <f>IF(Formulario!I353&lt;&gt;"",IF(Formulario!I353=" "," ",Formulario!I353)," ")</f>
        <v xml:space="preserve"> </v>
      </c>
      <c r="N345" s="145" t="str">
        <f>IF(Formulario!J353&lt;&gt;"",IF(Formulario!J353=" "," ",Formulario!J353),IF(G345=".",".","Falta Fecha"))</f>
        <v>.</v>
      </c>
      <c r="O345" s="155">
        <f>Formulario!L353</f>
        <v>0</v>
      </c>
      <c r="P345" s="146">
        <f>IF(O345=1,"09:00",Formulario!M353)</f>
        <v>0</v>
      </c>
      <c r="Q345" s="146">
        <f>IF(O345=1,"18:30",Formulario!N353)</f>
        <v>0</v>
      </c>
      <c r="R345" s="146" t="str">
        <f>IF(Formulario!O353&lt;&gt;"",IF(Formulario!O353=" ",".",Formulario!O353),".")</f>
        <v>Post Venta</v>
      </c>
      <c r="S345" s="141" t="s">
        <v>131</v>
      </c>
    </row>
    <row r="346" spans="1:19">
      <c r="A346" s="141">
        <f>Formulario!B354</f>
        <v>0</v>
      </c>
      <c r="B346" s="144" t="str">
        <f>IF(G346="."," ",Formulario!D$5)</f>
        <v xml:space="preserve"> </v>
      </c>
      <c r="C346" s="144" t="str">
        <f>IF(G346=".","",Formulario!D$6)</f>
        <v/>
      </c>
      <c r="D346" s="144" t="str">
        <f>IF(H346=".","",Formulario!D$7)</f>
        <v/>
      </c>
      <c r="E346" s="144" t="str">
        <f>IF(G346=".","",Formulario!J$5)</f>
        <v/>
      </c>
      <c r="F346" s="145" t="str">
        <f>IF(G346=".","",Formulario!J$6)</f>
        <v/>
      </c>
      <c r="G346" s="180" t="str">
        <f>IF(Formulario!C354&lt;&gt;"",IF(Formulario!C354=" ","Falta Depto",IF(H346=".","Error En Descripción",Formulario!C354)),IF(H346=".",".","Falta Datos"))</f>
        <v>.</v>
      </c>
      <c r="H346" s="144" t="str">
        <f>IF(Formulario!D354&lt;&gt;"",IF(Formulario!D354=" ",".",Formulario!D354),".")</f>
        <v>.</v>
      </c>
      <c r="I346" s="144" t="str">
        <f>IF(Formulario!E354&lt;&gt;"",IF(Formulario!E354=" "," ",Formulario!E354),IF(G346=".",".","Falta Propietario"))</f>
        <v>.</v>
      </c>
      <c r="J346" s="144" t="str">
        <f>IF(Formulario!F354&lt;&gt;"",IF(Formulario!F354=" "," ",Formulario!F354)," ")</f>
        <v xml:space="preserve"> </v>
      </c>
      <c r="K346" s="144" t="str">
        <f>IF(Formulario!G354&lt;&gt;"",IF(Formulario!G354=" "," ",Formulario!G354)," ")</f>
        <v xml:space="preserve"> </v>
      </c>
      <c r="L346" s="144" t="str">
        <f>IF(Formulario!H354&lt;&gt;"",IF(Formulario!H354=" "," ",Formulario!H354)," ")</f>
        <v xml:space="preserve"> </v>
      </c>
      <c r="M346" s="144" t="str">
        <f>IF(Formulario!I354&lt;&gt;"",IF(Formulario!I354=" "," ",Formulario!I354)," ")</f>
        <v xml:space="preserve"> </v>
      </c>
      <c r="N346" s="145" t="str">
        <f>IF(Formulario!J354&lt;&gt;"",IF(Formulario!J354=" "," ",Formulario!J354),IF(G346=".",".","Falta Fecha"))</f>
        <v>.</v>
      </c>
      <c r="O346" s="155">
        <f>Formulario!L354</f>
        <v>0</v>
      </c>
      <c r="P346" s="146">
        <f>IF(O346=1,"09:00",Formulario!M354)</f>
        <v>0</v>
      </c>
      <c r="Q346" s="146">
        <f>IF(O346=1,"18:30",Formulario!N354)</f>
        <v>0</v>
      </c>
      <c r="R346" s="146" t="str">
        <f>IF(Formulario!O354&lt;&gt;"",IF(Formulario!O354=" ",".",Formulario!O354),".")</f>
        <v>Post Venta</v>
      </c>
      <c r="S346" s="141" t="s">
        <v>131</v>
      </c>
    </row>
    <row r="347" spans="1:19">
      <c r="A347" s="141">
        <f>Formulario!B355</f>
        <v>0</v>
      </c>
      <c r="B347" s="144" t="str">
        <f>IF(G347="."," ",Formulario!D$5)</f>
        <v xml:space="preserve"> </v>
      </c>
      <c r="C347" s="144" t="str">
        <f>IF(G347=".","",Formulario!D$6)</f>
        <v/>
      </c>
      <c r="D347" s="144" t="str">
        <f>IF(H347=".","",Formulario!D$7)</f>
        <v/>
      </c>
      <c r="E347" s="144" t="str">
        <f>IF(G347=".","",Formulario!J$5)</f>
        <v/>
      </c>
      <c r="F347" s="145" t="str">
        <f>IF(G347=".","",Formulario!J$6)</f>
        <v/>
      </c>
      <c r="G347" s="180" t="str">
        <f>IF(Formulario!C355&lt;&gt;"",IF(Formulario!C355=" ","Falta Depto",IF(H347=".","Error En Descripción",Formulario!C355)),IF(H347=".",".","Falta Datos"))</f>
        <v>.</v>
      </c>
      <c r="H347" s="144" t="str">
        <f>IF(Formulario!D355&lt;&gt;"",IF(Formulario!D355=" ",".",Formulario!D355),".")</f>
        <v>.</v>
      </c>
      <c r="I347" s="144" t="str">
        <f>IF(Formulario!E355&lt;&gt;"",IF(Formulario!E355=" "," ",Formulario!E355),IF(G347=".",".","Falta Propietario"))</f>
        <v>.</v>
      </c>
      <c r="J347" s="144" t="str">
        <f>IF(Formulario!F355&lt;&gt;"",IF(Formulario!F355=" "," ",Formulario!F355)," ")</f>
        <v xml:space="preserve"> </v>
      </c>
      <c r="K347" s="144" t="str">
        <f>IF(Formulario!G355&lt;&gt;"",IF(Formulario!G355=" "," ",Formulario!G355)," ")</f>
        <v xml:space="preserve"> </v>
      </c>
      <c r="L347" s="144" t="str">
        <f>IF(Formulario!H355&lt;&gt;"",IF(Formulario!H355=" "," ",Formulario!H355)," ")</f>
        <v xml:space="preserve"> </v>
      </c>
      <c r="M347" s="144" t="str">
        <f>IF(Formulario!I355&lt;&gt;"",IF(Formulario!I355=" "," ",Formulario!I355)," ")</f>
        <v xml:space="preserve"> </v>
      </c>
      <c r="N347" s="145" t="str">
        <f>IF(Formulario!J355&lt;&gt;"",IF(Formulario!J355=" "," ",Formulario!J355),IF(G347=".",".","Falta Fecha"))</f>
        <v>.</v>
      </c>
      <c r="O347" s="155">
        <f>Formulario!L355</f>
        <v>0</v>
      </c>
      <c r="P347" s="146">
        <f>IF(O347=1,"09:00",Formulario!M355)</f>
        <v>0</v>
      </c>
      <c r="Q347" s="146">
        <f>IF(O347=1,"18:30",Formulario!N355)</f>
        <v>0</v>
      </c>
      <c r="R347" s="146" t="str">
        <f>IF(Formulario!O355&lt;&gt;"",IF(Formulario!O355=" ",".",Formulario!O355),".")</f>
        <v>Post Venta</v>
      </c>
      <c r="S347" s="141" t="s">
        <v>131</v>
      </c>
    </row>
    <row r="348" spans="1:19">
      <c r="A348" s="141">
        <f>Formulario!B356</f>
        <v>0</v>
      </c>
      <c r="B348" s="144" t="str">
        <f>IF(G348="."," ",Formulario!D$5)</f>
        <v xml:space="preserve"> </v>
      </c>
      <c r="C348" s="144" t="str">
        <f>IF(G348=".","",Formulario!D$6)</f>
        <v/>
      </c>
      <c r="D348" s="144" t="str">
        <f>IF(H348=".","",Formulario!D$7)</f>
        <v/>
      </c>
      <c r="E348" s="144" t="str">
        <f>IF(G348=".","",Formulario!J$5)</f>
        <v/>
      </c>
      <c r="F348" s="145" t="str">
        <f>IF(G348=".","",Formulario!J$6)</f>
        <v/>
      </c>
      <c r="G348" s="180" t="str">
        <f>IF(Formulario!C356&lt;&gt;"",IF(Formulario!C356=" ","Falta Depto",IF(H348=".","Error En Descripción",Formulario!C356)),IF(H348=".",".","Falta Datos"))</f>
        <v>.</v>
      </c>
      <c r="H348" s="144" t="str">
        <f>IF(Formulario!D356&lt;&gt;"",IF(Formulario!D356=" ",".",Formulario!D356),".")</f>
        <v>.</v>
      </c>
      <c r="I348" s="144" t="str">
        <f>IF(Formulario!E356&lt;&gt;"",IF(Formulario!E356=" "," ",Formulario!E356),IF(G348=".",".","Falta Propietario"))</f>
        <v>.</v>
      </c>
      <c r="J348" s="144" t="str">
        <f>IF(Formulario!F356&lt;&gt;"",IF(Formulario!F356=" "," ",Formulario!F356)," ")</f>
        <v xml:space="preserve"> </v>
      </c>
      <c r="K348" s="144" t="str">
        <f>IF(Formulario!G356&lt;&gt;"",IF(Formulario!G356=" "," ",Formulario!G356)," ")</f>
        <v xml:space="preserve"> </v>
      </c>
      <c r="L348" s="144" t="str">
        <f>IF(Formulario!H356&lt;&gt;"",IF(Formulario!H356=" "," ",Formulario!H356)," ")</f>
        <v xml:space="preserve"> </v>
      </c>
      <c r="M348" s="144" t="str">
        <f>IF(Formulario!I356&lt;&gt;"",IF(Formulario!I356=" "," ",Formulario!I356)," ")</f>
        <v xml:space="preserve"> </v>
      </c>
      <c r="N348" s="145" t="str">
        <f>IF(Formulario!J356&lt;&gt;"",IF(Formulario!J356=" "," ",Formulario!J356),IF(G348=".",".","Falta Fecha"))</f>
        <v>.</v>
      </c>
      <c r="O348" s="155">
        <f>Formulario!L356</f>
        <v>0</v>
      </c>
      <c r="P348" s="146">
        <f>IF(O348=1,"09:00",Formulario!M356)</f>
        <v>0</v>
      </c>
      <c r="Q348" s="146">
        <f>IF(O348=1,"18:30",Formulario!N356)</f>
        <v>0</v>
      </c>
      <c r="R348" s="146" t="str">
        <f>IF(Formulario!O356&lt;&gt;"",IF(Formulario!O356=" ",".",Formulario!O356),".")</f>
        <v>Post Venta</v>
      </c>
      <c r="S348" s="141" t="s">
        <v>131</v>
      </c>
    </row>
    <row r="349" spans="1:19">
      <c r="A349" s="141">
        <f>Formulario!B357</f>
        <v>0</v>
      </c>
      <c r="B349" s="144" t="str">
        <f>IF(G349="."," ",Formulario!D$5)</f>
        <v xml:space="preserve"> </v>
      </c>
      <c r="C349" s="144" t="str">
        <f>IF(G349=".","",Formulario!D$6)</f>
        <v/>
      </c>
      <c r="D349" s="144" t="str">
        <f>IF(H349=".","",Formulario!D$7)</f>
        <v/>
      </c>
      <c r="E349" s="144" t="str">
        <f>IF(G349=".","",Formulario!J$5)</f>
        <v/>
      </c>
      <c r="F349" s="145" t="str">
        <f>IF(G349=".","",Formulario!J$6)</f>
        <v/>
      </c>
      <c r="G349" s="180" t="str">
        <f>IF(Formulario!C357&lt;&gt;"",IF(Formulario!C357=" ","Falta Depto",IF(H349=".","Error En Descripción",Formulario!C357)),IF(H349=".",".","Falta Datos"))</f>
        <v>.</v>
      </c>
      <c r="H349" s="144" t="str">
        <f>IF(Formulario!D357&lt;&gt;"",IF(Formulario!D357=" ",".",Formulario!D357),".")</f>
        <v>.</v>
      </c>
      <c r="I349" s="144" t="str">
        <f>IF(Formulario!E357&lt;&gt;"",IF(Formulario!E357=" "," ",Formulario!E357),IF(G349=".",".","Falta Propietario"))</f>
        <v>.</v>
      </c>
      <c r="J349" s="144" t="str">
        <f>IF(Formulario!F357&lt;&gt;"",IF(Formulario!F357=" "," ",Formulario!F357)," ")</f>
        <v xml:space="preserve"> </v>
      </c>
      <c r="K349" s="144" t="str">
        <f>IF(Formulario!G357&lt;&gt;"",IF(Formulario!G357=" "," ",Formulario!G357)," ")</f>
        <v xml:space="preserve"> </v>
      </c>
      <c r="L349" s="144" t="str">
        <f>IF(Formulario!H357&lt;&gt;"",IF(Formulario!H357=" "," ",Formulario!H357)," ")</f>
        <v xml:space="preserve"> </v>
      </c>
      <c r="M349" s="144" t="str">
        <f>IF(Formulario!I357&lt;&gt;"",IF(Formulario!I357=" "," ",Formulario!I357)," ")</f>
        <v xml:space="preserve"> </v>
      </c>
      <c r="N349" s="145" t="str">
        <f>IF(Formulario!J357&lt;&gt;"",IF(Formulario!J357=" "," ",Formulario!J357),IF(G349=".",".","Falta Fecha"))</f>
        <v>.</v>
      </c>
      <c r="O349" s="155">
        <f>Formulario!L357</f>
        <v>0</v>
      </c>
      <c r="P349" s="146">
        <f>IF(O349=1,"09:00",Formulario!M357)</f>
        <v>0</v>
      </c>
      <c r="Q349" s="146">
        <f>IF(O349=1,"18:30",Formulario!N357)</f>
        <v>0</v>
      </c>
      <c r="R349" s="146" t="str">
        <f>IF(Formulario!O357&lt;&gt;"",IF(Formulario!O357=" ",".",Formulario!O357),".")</f>
        <v>Post Venta</v>
      </c>
      <c r="S349" s="141" t="s">
        <v>131</v>
      </c>
    </row>
    <row r="350" spans="1:19">
      <c r="A350" s="141">
        <f>Formulario!B358</f>
        <v>0</v>
      </c>
      <c r="B350" s="144" t="str">
        <f>IF(G350="."," ",Formulario!D$5)</f>
        <v xml:space="preserve"> </v>
      </c>
      <c r="C350" s="144" t="str">
        <f>IF(G350=".","",Formulario!D$6)</f>
        <v/>
      </c>
      <c r="D350" s="144" t="str">
        <f>IF(H350=".","",Formulario!D$7)</f>
        <v/>
      </c>
      <c r="E350" s="144" t="str">
        <f>IF(G350=".","",Formulario!J$5)</f>
        <v/>
      </c>
      <c r="F350" s="145" t="str">
        <f>IF(G350=".","",Formulario!J$6)</f>
        <v/>
      </c>
      <c r="G350" s="180" t="str">
        <f>IF(Formulario!C358&lt;&gt;"",IF(Formulario!C358=" ","Falta Depto",IF(H350=".","Error En Descripción",Formulario!C358)),IF(H350=".",".","Falta Datos"))</f>
        <v>.</v>
      </c>
      <c r="H350" s="144" t="str">
        <f>IF(Formulario!D358&lt;&gt;"",IF(Formulario!D358=" ",".",Formulario!D358),".")</f>
        <v>.</v>
      </c>
      <c r="I350" s="144" t="str">
        <f>IF(Formulario!E358&lt;&gt;"",IF(Formulario!E358=" "," ",Formulario!E358),IF(G350=".",".","Falta Propietario"))</f>
        <v>.</v>
      </c>
      <c r="J350" s="144" t="str">
        <f>IF(Formulario!F358&lt;&gt;"",IF(Formulario!F358=" "," ",Formulario!F358)," ")</f>
        <v xml:space="preserve"> </v>
      </c>
      <c r="K350" s="144" t="str">
        <f>IF(Formulario!G358&lt;&gt;"",IF(Formulario!G358=" "," ",Formulario!G358)," ")</f>
        <v xml:space="preserve"> </v>
      </c>
      <c r="L350" s="144" t="str">
        <f>IF(Formulario!H358&lt;&gt;"",IF(Formulario!H358=" "," ",Formulario!H358)," ")</f>
        <v xml:space="preserve"> </v>
      </c>
      <c r="M350" s="144" t="str">
        <f>IF(Formulario!I358&lt;&gt;"",IF(Formulario!I358=" "," ",Formulario!I358)," ")</f>
        <v xml:space="preserve"> </v>
      </c>
      <c r="N350" s="145" t="str">
        <f>IF(Formulario!J358&lt;&gt;"",IF(Formulario!J358=" "," ",Formulario!J358),IF(G350=".",".","Falta Fecha"))</f>
        <v>.</v>
      </c>
      <c r="O350" s="155">
        <f>Formulario!L358</f>
        <v>0</v>
      </c>
      <c r="P350" s="146">
        <f>IF(O350=1,"09:00",Formulario!M358)</f>
        <v>0</v>
      </c>
      <c r="Q350" s="146">
        <f>IF(O350=1,"18:30",Formulario!N358)</f>
        <v>0</v>
      </c>
      <c r="R350" s="146" t="str">
        <f>IF(Formulario!O358&lt;&gt;"",IF(Formulario!O358=" ",".",Formulario!O358),".")</f>
        <v>Post Venta</v>
      </c>
      <c r="S350" s="141" t="s">
        <v>131</v>
      </c>
    </row>
    <row r="351" spans="1:19">
      <c r="A351" s="141">
        <f>Formulario!B359</f>
        <v>0</v>
      </c>
      <c r="B351" s="144" t="str">
        <f>IF(G351="."," ",Formulario!D$5)</f>
        <v xml:space="preserve"> </v>
      </c>
      <c r="C351" s="144" t="str">
        <f>IF(G351=".","",Formulario!D$6)</f>
        <v/>
      </c>
      <c r="D351" s="144" t="str">
        <f>IF(H351=".","",Formulario!D$7)</f>
        <v/>
      </c>
      <c r="E351" s="144" t="str">
        <f>IF(G351=".","",Formulario!J$5)</f>
        <v/>
      </c>
      <c r="F351" s="145" t="str">
        <f>IF(G351=".","",Formulario!J$6)</f>
        <v/>
      </c>
      <c r="G351" s="180" t="str">
        <f>IF(Formulario!C359&lt;&gt;"",IF(Formulario!C359=" ","Falta Depto",IF(H351=".","Error En Descripción",Formulario!C359)),IF(H351=".",".","Falta Datos"))</f>
        <v>.</v>
      </c>
      <c r="H351" s="144" t="str">
        <f>IF(Formulario!D359&lt;&gt;"",IF(Formulario!D359=" ",".",Formulario!D359),".")</f>
        <v>.</v>
      </c>
      <c r="I351" s="144" t="str">
        <f>IF(Formulario!E359&lt;&gt;"",IF(Formulario!E359=" "," ",Formulario!E359),IF(G351=".",".","Falta Propietario"))</f>
        <v>.</v>
      </c>
      <c r="J351" s="144" t="str">
        <f>IF(Formulario!F359&lt;&gt;"",IF(Formulario!F359=" "," ",Formulario!F359)," ")</f>
        <v xml:space="preserve"> </v>
      </c>
      <c r="K351" s="144" t="str">
        <f>IF(Formulario!G359&lt;&gt;"",IF(Formulario!G359=" "," ",Formulario!G359)," ")</f>
        <v xml:space="preserve"> </v>
      </c>
      <c r="L351" s="144" t="str">
        <f>IF(Formulario!H359&lt;&gt;"",IF(Formulario!H359=" "," ",Formulario!H359)," ")</f>
        <v xml:space="preserve"> </v>
      </c>
      <c r="M351" s="144" t="str">
        <f>IF(Formulario!I359&lt;&gt;"",IF(Formulario!I359=" "," ",Formulario!I359)," ")</f>
        <v xml:space="preserve"> </v>
      </c>
      <c r="N351" s="145" t="str">
        <f>IF(Formulario!J359&lt;&gt;"",IF(Formulario!J359=" "," ",Formulario!J359),IF(G351=".",".","Falta Fecha"))</f>
        <v>.</v>
      </c>
      <c r="O351" s="155">
        <f>Formulario!L359</f>
        <v>0</v>
      </c>
      <c r="P351" s="146">
        <f>IF(O351=1,"09:00",Formulario!M359)</f>
        <v>0</v>
      </c>
      <c r="Q351" s="146">
        <f>IF(O351=1,"18:30",Formulario!N359)</f>
        <v>0</v>
      </c>
      <c r="R351" s="146" t="str">
        <f>IF(Formulario!O359&lt;&gt;"",IF(Formulario!O359=" ",".",Formulario!O359),".")</f>
        <v>Post Venta</v>
      </c>
      <c r="S351" s="141" t="s">
        <v>131</v>
      </c>
    </row>
    <row r="352" spans="1:19">
      <c r="A352" s="141">
        <f>Formulario!B360</f>
        <v>0</v>
      </c>
      <c r="B352" s="144" t="str">
        <f>IF(G352="."," ",Formulario!D$5)</f>
        <v xml:space="preserve"> </v>
      </c>
      <c r="C352" s="144" t="str">
        <f>IF(G352=".","",Formulario!D$6)</f>
        <v/>
      </c>
      <c r="D352" s="144" t="str">
        <f>IF(H352=".","",Formulario!D$7)</f>
        <v/>
      </c>
      <c r="E352" s="144" t="str">
        <f>IF(G352=".","",Formulario!J$5)</f>
        <v/>
      </c>
      <c r="F352" s="145" t="str">
        <f>IF(G352=".","",Formulario!J$6)</f>
        <v/>
      </c>
      <c r="G352" s="180" t="str">
        <f>IF(Formulario!C360&lt;&gt;"",IF(Formulario!C360=" ","Falta Depto",IF(H352=".","Error En Descripción",Formulario!C360)),IF(H352=".",".","Falta Datos"))</f>
        <v>.</v>
      </c>
      <c r="H352" s="144" t="str">
        <f>IF(Formulario!D360&lt;&gt;"",IF(Formulario!D360=" ",".",Formulario!D360),".")</f>
        <v>.</v>
      </c>
      <c r="I352" s="144" t="str">
        <f>IF(Formulario!E360&lt;&gt;"",IF(Formulario!E360=" "," ",Formulario!E360),IF(G352=".",".","Falta Propietario"))</f>
        <v>.</v>
      </c>
      <c r="J352" s="144" t="str">
        <f>IF(Formulario!F360&lt;&gt;"",IF(Formulario!F360=" "," ",Formulario!F360)," ")</f>
        <v xml:space="preserve"> </v>
      </c>
      <c r="K352" s="144" t="str">
        <f>IF(Formulario!G360&lt;&gt;"",IF(Formulario!G360=" "," ",Formulario!G360)," ")</f>
        <v xml:space="preserve"> </v>
      </c>
      <c r="L352" s="144" t="str">
        <f>IF(Formulario!H360&lt;&gt;"",IF(Formulario!H360=" "," ",Formulario!H360)," ")</f>
        <v xml:space="preserve"> </v>
      </c>
      <c r="M352" s="144" t="str">
        <f>IF(Formulario!I360&lt;&gt;"",IF(Formulario!I360=" "," ",Formulario!I360)," ")</f>
        <v xml:space="preserve"> </v>
      </c>
      <c r="N352" s="145" t="str">
        <f>IF(Formulario!J360&lt;&gt;"",IF(Formulario!J360=" "," ",Formulario!J360),IF(G352=".",".","Falta Fecha"))</f>
        <v>.</v>
      </c>
      <c r="O352" s="155">
        <f>Formulario!L360</f>
        <v>0</v>
      </c>
      <c r="P352" s="146">
        <f>IF(O352=1,"09:00",Formulario!M360)</f>
        <v>0</v>
      </c>
      <c r="Q352" s="146">
        <f>IF(O352=1,"18:30",Formulario!N360)</f>
        <v>0</v>
      </c>
      <c r="R352" s="146" t="str">
        <f>IF(Formulario!O360&lt;&gt;"",IF(Formulario!O360=" ",".",Formulario!O360),".")</f>
        <v>Post Venta</v>
      </c>
      <c r="S352" s="141" t="s">
        <v>131</v>
      </c>
    </row>
    <row r="353" spans="1:19">
      <c r="A353" s="141">
        <f>Formulario!B361</f>
        <v>0</v>
      </c>
      <c r="B353" s="144" t="str">
        <f>IF(G353="."," ",Formulario!D$5)</f>
        <v xml:space="preserve"> </v>
      </c>
      <c r="C353" s="144" t="str">
        <f>IF(G353=".","",Formulario!D$6)</f>
        <v/>
      </c>
      <c r="D353" s="144" t="str">
        <f>IF(H353=".","",Formulario!D$7)</f>
        <v/>
      </c>
      <c r="E353" s="144" t="str">
        <f>IF(G353=".","",Formulario!J$5)</f>
        <v/>
      </c>
      <c r="F353" s="145" t="str">
        <f>IF(G353=".","",Formulario!J$6)</f>
        <v/>
      </c>
      <c r="G353" s="180" t="str">
        <f>IF(Formulario!C361&lt;&gt;"",IF(Formulario!C361=" ","Falta Depto",IF(H353=".","Error En Descripción",Formulario!C361)),IF(H353=".",".","Falta Datos"))</f>
        <v>.</v>
      </c>
      <c r="H353" s="144" t="str">
        <f>IF(Formulario!D361&lt;&gt;"",IF(Formulario!D361=" ",".",Formulario!D361),".")</f>
        <v>.</v>
      </c>
      <c r="I353" s="144" t="str">
        <f>IF(Formulario!E361&lt;&gt;"",IF(Formulario!E361=" "," ",Formulario!E361),IF(G353=".",".","Falta Propietario"))</f>
        <v>.</v>
      </c>
      <c r="J353" s="144" t="str">
        <f>IF(Formulario!F361&lt;&gt;"",IF(Formulario!F361=" "," ",Formulario!F361)," ")</f>
        <v xml:space="preserve"> </v>
      </c>
      <c r="K353" s="144" t="str">
        <f>IF(Formulario!G361&lt;&gt;"",IF(Formulario!G361=" "," ",Formulario!G361)," ")</f>
        <v xml:space="preserve"> </v>
      </c>
      <c r="L353" s="144" t="str">
        <f>IF(Formulario!H361&lt;&gt;"",IF(Formulario!H361=" "," ",Formulario!H361)," ")</f>
        <v xml:space="preserve"> </v>
      </c>
      <c r="M353" s="144" t="str">
        <f>IF(Formulario!I361&lt;&gt;"",IF(Formulario!I361=" "," ",Formulario!I361)," ")</f>
        <v xml:space="preserve"> </v>
      </c>
      <c r="N353" s="145" t="str">
        <f>IF(Formulario!J361&lt;&gt;"",IF(Formulario!J361=" "," ",Formulario!J361),IF(G353=".",".","Falta Fecha"))</f>
        <v>.</v>
      </c>
      <c r="O353" s="155">
        <f>Formulario!L361</f>
        <v>0</v>
      </c>
      <c r="P353" s="146">
        <f>IF(O353=1,"09:00",Formulario!M361)</f>
        <v>0</v>
      </c>
      <c r="Q353" s="146">
        <f>IF(O353=1,"18:30",Formulario!N361)</f>
        <v>0</v>
      </c>
      <c r="R353" s="146" t="str">
        <f>IF(Formulario!O361&lt;&gt;"",IF(Formulario!O361=" ",".",Formulario!O361),".")</f>
        <v>Post Venta</v>
      </c>
      <c r="S353" s="141" t="s">
        <v>131</v>
      </c>
    </row>
    <row r="354" spans="1:19">
      <c r="A354" s="141">
        <f>Formulario!B362</f>
        <v>0</v>
      </c>
      <c r="B354" s="144" t="str">
        <f>IF(G354="."," ",Formulario!D$5)</f>
        <v xml:space="preserve"> </v>
      </c>
      <c r="C354" s="144" t="str">
        <f>IF(G354=".","",Formulario!D$6)</f>
        <v/>
      </c>
      <c r="D354" s="144" t="str">
        <f>IF(H354=".","",Formulario!D$7)</f>
        <v/>
      </c>
      <c r="E354" s="144" t="str">
        <f>IF(G354=".","",Formulario!J$5)</f>
        <v/>
      </c>
      <c r="F354" s="145" t="str">
        <f>IF(G354=".","",Formulario!J$6)</f>
        <v/>
      </c>
      <c r="G354" s="180" t="str">
        <f>IF(Formulario!C362&lt;&gt;"",IF(Formulario!C362=" ","Falta Depto",IF(H354=".","Error En Descripción",Formulario!C362)),IF(H354=".",".","Falta Datos"))</f>
        <v>.</v>
      </c>
      <c r="H354" s="144" t="str">
        <f>IF(Formulario!D362&lt;&gt;"",IF(Formulario!D362=" ",".",Formulario!D362),".")</f>
        <v>.</v>
      </c>
      <c r="I354" s="144" t="str">
        <f>IF(Formulario!E362&lt;&gt;"",IF(Formulario!E362=" "," ",Formulario!E362),IF(G354=".",".","Falta Propietario"))</f>
        <v>.</v>
      </c>
      <c r="J354" s="144" t="str">
        <f>IF(Formulario!F362&lt;&gt;"",IF(Formulario!F362=" "," ",Formulario!F362)," ")</f>
        <v xml:space="preserve"> </v>
      </c>
      <c r="K354" s="144" t="str">
        <f>IF(Formulario!G362&lt;&gt;"",IF(Formulario!G362=" "," ",Formulario!G362)," ")</f>
        <v xml:space="preserve"> </v>
      </c>
      <c r="L354" s="144" t="str">
        <f>IF(Formulario!H362&lt;&gt;"",IF(Formulario!H362=" "," ",Formulario!H362)," ")</f>
        <v xml:space="preserve"> </v>
      </c>
      <c r="M354" s="144" t="str">
        <f>IF(Formulario!I362&lt;&gt;"",IF(Formulario!I362=" "," ",Formulario!I362)," ")</f>
        <v xml:space="preserve"> </v>
      </c>
      <c r="N354" s="145" t="str">
        <f>IF(Formulario!J362&lt;&gt;"",IF(Formulario!J362=" "," ",Formulario!J362),IF(G354=".",".","Falta Fecha"))</f>
        <v>.</v>
      </c>
      <c r="O354" s="155">
        <f>Formulario!L362</f>
        <v>0</v>
      </c>
      <c r="P354" s="146">
        <f>IF(O354=1,"09:00",Formulario!M362)</f>
        <v>0</v>
      </c>
      <c r="Q354" s="146">
        <f>IF(O354=1,"18:30",Formulario!N362)</f>
        <v>0</v>
      </c>
      <c r="R354" s="146" t="str">
        <f>IF(Formulario!O362&lt;&gt;"",IF(Formulario!O362=" ",".",Formulario!O362),".")</f>
        <v>Post Venta</v>
      </c>
      <c r="S354" s="141" t="s">
        <v>131</v>
      </c>
    </row>
    <row r="355" spans="1:19">
      <c r="A355" s="141">
        <f>Formulario!B363</f>
        <v>0</v>
      </c>
      <c r="B355" s="144" t="str">
        <f>IF(G355="."," ",Formulario!D$5)</f>
        <v xml:space="preserve"> </v>
      </c>
      <c r="C355" s="144" t="str">
        <f>IF(G355=".","",Formulario!D$6)</f>
        <v/>
      </c>
      <c r="D355" s="144" t="str">
        <f>IF(H355=".","",Formulario!D$7)</f>
        <v/>
      </c>
      <c r="E355" s="144" t="str">
        <f>IF(G355=".","",Formulario!J$5)</f>
        <v/>
      </c>
      <c r="F355" s="145" t="str">
        <f>IF(G355=".","",Formulario!J$6)</f>
        <v/>
      </c>
      <c r="G355" s="180" t="str">
        <f>IF(Formulario!C363&lt;&gt;"",IF(Formulario!C363=" ","Falta Depto",IF(H355=".","Error En Descripción",Formulario!C363)),IF(H355=".",".","Falta Datos"))</f>
        <v>.</v>
      </c>
      <c r="H355" s="144" t="str">
        <f>IF(Formulario!D363&lt;&gt;"",IF(Formulario!D363=" ",".",Formulario!D363),".")</f>
        <v>.</v>
      </c>
      <c r="I355" s="144" t="str">
        <f>IF(Formulario!E363&lt;&gt;"",IF(Formulario!E363=" "," ",Formulario!E363),IF(G355=".",".","Falta Propietario"))</f>
        <v>.</v>
      </c>
      <c r="J355" s="144" t="str">
        <f>IF(Formulario!F363&lt;&gt;"",IF(Formulario!F363=" "," ",Formulario!F363)," ")</f>
        <v xml:space="preserve"> </v>
      </c>
      <c r="K355" s="144" t="str">
        <f>IF(Formulario!G363&lt;&gt;"",IF(Formulario!G363=" "," ",Formulario!G363)," ")</f>
        <v xml:space="preserve"> </v>
      </c>
      <c r="L355" s="144" t="str">
        <f>IF(Formulario!H363&lt;&gt;"",IF(Formulario!H363=" "," ",Formulario!H363)," ")</f>
        <v xml:space="preserve"> </v>
      </c>
      <c r="M355" s="144" t="str">
        <f>IF(Formulario!I363&lt;&gt;"",IF(Formulario!I363=" "," ",Formulario!I363)," ")</f>
        <v xml:space="preserve"> </v>
      </c>
      <c r="N355" s="145" t="str">
        <f>IF(Formulario!J363&lt;&gt;"",IF(Formulario!J363=" "," ",Formulario!J363),IF(G355=".",".","Falta Fecha"))</f>
        <v>.</v>
      </c>
      <c r="O355" s="155">
        <f>Formulario!L363</f>
        <v>0</v>
      </c>
      <c r="P355" s="146">
        <f>IF(O355=1,"09:00",Formulario!M363)</f>
        <v>0</v>
      </c>
      <c r="Q355" s="146">
        <f>IF(O355=1,"18:30",Formulario!N363)</f>
        <v>0</v>
      </c>
      <c r="R355" s="146" t="str">
        <f>IF(Formulario!O363&lt;&gt;"",IF(Formulario!O363=" ",".",Formulario!O363),".")</f>
        <v>Post Venta</v>
      </c>
      <c r="S355" s="141" t="s">
        <v>131</v>
      </c>
    </row>
    <row r="356" spans="1:19">
      <c r="A356" s="141">
        <f>Formulario!B364</f>
        <v>0</v>
      </c>
      <c r="B356" s="144" t="str">
        <f>IF(G356="."," ",Formulario!D$5)</f>
        <v xml:space="preserve"> </v>
      </c>
      <c r="C356" s="144" t="str">
        <f>IF(G356=".","",Formulario!D$6)</f>
        <v/>
      </c>
      <c r="D356" s="144" t="str">
        <f>IF(H356=".","",Formulario!D$7)</f>
        <v/>
      </c>
      <c r="E356" s="144" t="str">
        <f>IF(G356=".","",Formulario!J$5)</f>
        <v/>
      </c>
      <c r="F356" s="145" t="str">
        <f>IF(G356=".","",Formulario!J$6)</f>
        <v/>
      </c>
      <c r="G356" s="180" t="str">
        <f>IF(Formulario!C364&lt;&gt;"",IF(Formulario!C364=" ","Falta Depto",IF(H356=".","Error En Descripción",Formulario!C364)),IF(H356=".",".","Falta Datos"))</f>
        <v>.</v>
      </c>
      <c r="H356" s="144" t="str">
        <f>IF(Formulario!D364&lt;&gt;"",IF(Formulario!D364=" ",".",Formulario!D364),".")</f>
        <v>.</v>
      </c>
      <c r="I356" s="144" t="str">
        <f>IF(Formulario!E364&lt;&gt;"",IF(Formulario!E364=" "," ",Formulario!E364),IF(G356=".",".","Falta Propietario"))</f>
        <v>.</v>
      </c>
      <c r="J356" s="144" t="str">
        <f>IF(Formulario!F364&lt;&gt;"",IF(Formulario!F364=" "," ",Formulario!F364)," ")</f>
        <v xml:space="preserve"> </v>
      </c>
      <c r="K356" s="144" t="str">
        <f>IF(Formulario!G364&lt;&gt;"",IF(Formulario!G364=" "," ",Formulario!G364)," ")</f>
        <v xml:space="preserve"> </v>
      </c>
      <c r="L356" s="144" t="str">
        <f>IF(Formulario!H364&lt;&gt;"",IF(Formulario!H364=" "," ",Formulario!H364)," ")</f>
        <v xml:space="preserve"> </v>
      </c>
      <c r="M356" s="144" t="str">
        <f>IF(Formulario!I364&lt;&gt;"",IF(Formulario!I364=" "," ",Formulario!I364)," ")</f>
        <v xml:space="preserve"> </v>
      </c>
      <c r="N356" s="145" t="str">
        <f>IF(Formulario!J364&lt;&gt;"",IF(Formulario!J364=" "," ",Formulario!J364),IF(G356=".",".","Falta Fecha"))</f>
        <v>.</v>
      </c>
      <c r="O356" s="155">
        <f>Formulario!L364</f>
        <v>0</v>
      </c>
      <c r="P356" s="146">
        <f>IF(O356=1,"09:00",Formulario!M364)</f>
        <v>0</v>
      </c>
      <c r="Q356" s="146">
        <f>IF(O356=1,"18:30",Formulario!N364)</f>
        <v>0</v>
      </c>
      <c r="R356" s="146" t="str">
        <f>IF(Formulario!O364&lt;&gt;"",IF(Formulario!O364=" ",".",Formulario!O364),".")</f>
        <v>Post Venta</v>
      </c>
      <c r="S356" s="141" t="s">
        <v>131</v>
      </c>
    </row>
    <row r="357" spans="1:19">
      <c r="A357" s="141">
        <f>Formulario!B365</f>
        <v>0</v>
      </c>
      <c r="B357" s="144" t="str">
        <f>IF(G357="."," ",Formulario!D$5)</f>
        <v xml:space="preserve"> </v>
      </c>
      <c r="C357" s="144" t="str">
        <f>IF(G357=".","",Formulario!D$6)</f>
        <v/>
      </c>
      <c r="D357" s="144" t="str">
        <f>IF(H357=".","",Formulario!D$7)</f>
        <v/>
      </c>
      <c r="E357" s="144" t="str">
        <f>IF(G357=".","",Formulario!J$5)</f>
        <v/>
      </c>
      <c r="F357" s="145" t="str">
        <f>IF(G357=".","",Formulario!J$6)</f>
        <v/>
      </c>
      <c r="G357" s="180" t="str">
        <f>IF(Formulario!C365&lt;&gt;"",IF(Formulario!C365=" ","Falta Depto",IF(H357=".","Error En Descripción",Formulario!C365)),IF(H357=".",".","Falta Datos"))</f>
        <v>.</v>
      </c>
      <c r="H357" s="144" t="str">
        <f>IF(Formulario!D365&lt;&gt;"",IF(Formulario!D365=" ",".",Formulario!D365),".")</f>
        <v>.</v>
      </c>
      <c r="I357" s="144" t="str">
        <f>IF(Formulario!E365&lt;&gt;"",IF(Formulario!E365=" "," ",Formulario!E365),IF(G357=".",".","Falta Propietario"))</f>
        <v>.</v>
      </c>
      <c r="J357" s="144" t="str">
        <f>IF(Formulario!F365&lt;&gt;"",IF(Formulario!F365=" "," ",Formulario!F365)," ")</f>
        <v xml:space="preserve"> </v>
      </c>
      <c r="K357" s="144" t="str">
        <f>IF(Formulario!G365&lt;&gt;"",IF(Formulario!G365=" "," ",Formulario!G365)," ")</f>
        <v xml:space="preserve"> </v>
      </c>
      <c r="L357" s="144" t="str">
        <f>IF(Formulario!H365&lt;&gt;"",IF(Formulario!H365=" "," ",Formulario!H365)," ")</f>
        <v xml:space="preserve"> </v>
      </c>
      <c r="M357" s="144" t="str">
        <f>IF(Formulario!I365&lt;&gt;"",IF(Formulario!I365=" "," ",Formulario!I365)," ")</f>
        <v xml:space="preserve"> </v>
      </c>
      <c r="N357" s="145" t="str">
        <f>IF(Formulario!J365&lt;&gt;"",IF(Formulario!J365=" "," ",Formulario!J365),IF(G357=".",".","Falta Fecha"))</f>
        <v>.</v>
      </c>
      <c r="O357" s="155">
        <f>Formulario!L365</f>
        <v>0</v>
      </c>
      <c r="P357" s="146">
        <f>IF(O357=1,"09:00",Formulario!M365)</f>
        <v>0</v>
      </c>
      <c r="Q357" s="146">
        <f>IF(O357=1,"18:30",Formulario!N365)</f>
        <v>0</v>
      </c>
      <c r="R357" s="146" t="str">
        <f>IF(Formulario!O365&lt;&gt;"",IF(Formulario!O365=" ",".",Formulario!O365),".")</f>
        <v>Post Venta</v>
      </c>
      <c r="S357" s="141" t="s">
        <v>131</v>
      </c>
    </row>
    <row r="358" spans="1:19">
      <c r="A358" s="141">
        <f>Formulario!B366</f>
        <v>0</v>
      </c>
      <c r="B358" s="144" t="str">
        <f>IF(G358="."," ",Formulario!D$5)</f>
        <v xml:space="preserve"> </v>
      </c>
      <c r="C358" s="144" t="str">
        <f>IF(G358=".","",Formulario!D$6)</f>
        <v/>
      </c>
      <c r="D358" s="144" t="str">
        <f>IF(H358=".","",Formulario!D$7)</f>
        <v/>
      </c>
      <c r="E358" s="144" t="str">
        <f>IF(G358=".","",Formulario!J$5)</f>
        <v/>
      </c>
      <c r="F358" s="145" t="str">
        <f>IF(G358=".","",Formulario!J$6)</f>
        <v/>
      </c>
      <c r="G358" s="180" t="str">
        <f>IF(Formulario!C366&lt;&gt;"",IF(Formulario!C366=" ","Falta Depto",IF(H358=".","Error En Descripción",Formulario!C366)),IF(H358=".",".","Falta Datos"))</f>
        <v>.</v>
      </c>
      <c r="H358" s="144" t="str">
        <f>IF(Formulario!D366&lt;&gt;"",IF(Formulario!D366=" ",".",Formulario!D366),".")</f>
        <v>.</v>
      </c>
      <c r="I358" s="144" t="str">
        <f>IF(Formulario!E366&lt;&gt;"",IF(Formulario!E366=" "," ",Formulario!E366),IF(G358=".",".","Falta Propietario"))</f>
        <v>.</v>
      </c>
      <c r="J358" s="144" t="str">
        <f>IF(Formulario!F366&lt;&gt;"",IF(Formulario!F366=" "," ",Formulario!F366)," ")</f>
        <v xml:space="preserve"> </v>
      </c>
      <c r="K358" s="144" t="str">
        <f>IF(Formulario!G366&lt;&gt;"",IF(Formulario!G366=" "," ",Formulario!G366)," ")</f>
        <v xml:space="preserve"> </v>
      </c>
      <c r="L358" s="144" t="str">
        <f>IF(Formulario!H366&lt;&gt;"",IF(Formulario!H366=" "," ",Formulario!H366)," ")</f>
        <v xml:space="preserve"> </v>
      </c>
      <c r="M358" s="144" t="str">
        <f>IF(Formulario!I366&lt;&gt;"",IF(Formulario!I366=" "," ",Formulario!I366)," ")</f>
        <v xml:space="preserve"> </v>
      </c>
      <c r="N358" s="145" t="str">
        <f>IF(Formulario!J366&lt;&gt;"",IF(Formulario!J366=" "," ",Formulario!J366),IF(G358=".",".","Falta Fecha"))</f>
        <v>.</v>
      </c>
      <c r="O358" s="155">
        <f>Formulario!L366</f>
        <v>0</v>
      </c>
      <c r="P358" s="146">
        <f>IF(O358=1,"09:00",Formulario!M366)</f>
        <v>0</v>
      </c>
      <c r="Q358" s="146">
        <f>IF(O358=1,"18:30",Formulario!N366)</f>
        <v>0</v>
      </c>
      <c r="R358" s="146" t="str">
        <f>IF(Formulario!O366&lt;&gt;"",IF(Formulario!O366=" ",".",Formulario!O366),".")</f>
        <v>Post Venta</v>
      </c>
      <c r="S358" s="141" t="s">
        <v>131</v>
      </c>
    </row>
    <row r="359" spans="1:19">
      <c r="A359" s="141">
        <f>Formulario!B367</f>
        <v>0</v>
      </c>
      <c r="B359" s="144" t="str">
        <f>IF(G359="."," ",Formulario!D$5)</f>
        <v xml:space="preserve"> </v>
      </c>
      <c r="C359" s="144" t="str">
        <f>IF(G359=".","",Formulario!D$6)</f>
        <v/>
      </c>
      <c r="D359" s="144" t="str">
        <f>IF(H359=".","",Formulario!D$7)</f>
        <v/>
      </c>
      <c r="E359" s="144" t="str">
        <f>IF(G359=".","",Formulario!J$5)</f>
        <v/>
      </c>
      <c r="F359" s="145" t="str">
        <f>IF(G359=".","",Formulario!J$6)</f>
        <v/>
      </c>
      <c r="G359" s="180" t="str">
        <f>IF(Formulario!C367&lt;&gt;"",IF(Formulario!C367=" ","Falta Depto",IF(H359=".","Error En Descripción",Formulario!C367)),IF(H359=".",".","Falta Datos"))</f>
        <v>.</v>
      </c>
      <c r="H359" s="144" t="str">
        <f>IF(Formulario!D367&lt;&gt;"",IF(Formulario!D367=" ",".",Formulario!D367),".")</f>
        <v>.</v>
      </c>
      <c r="I359" s="144" t="str">
        <f>IF(Formulario!E367&lt;&gt;"",IF(Formulario!E367=" "," ",Formulario!E367),IF(G359=".",".","Falta Propietario"))</f>
        <v>.</v>
      </c>
      <c r="J359" s="144" t="str">
        <f>IF(Formulario!F367&lt;&gt;"",IF(Formulario!F367=" "," ",Formulario!F367)," ")</f>
        <v xml:space="preserve"> </v>
      </c>
      <c r="K359" s="144" t="str">
        <f>IF(Formulario!G367&lt;&gt;"",IF(Formulario!G367=" "," ",Formulario!G367)," ")</f>
        <v xml:space="preserve"> </v>
      </c>
      <c r="L359" s="144" t="str">
        <f>IF(Formulario!H367&lt;&gt;"",IF(Formulario!H367=" "," ",Formulario!H367)," ")</f>
        <v xml:space="preserve"> </v>
      </c>
      <c r="M359" s="144" t="str">
        <f>IF(Formulario!I367&lt;&gt;"",IF(Formulario!I367=" "," ",Formulario!I367)," ")</f>
        <v xml:space="preserve"> </v>
      </c>
      <c r="N359" s="145" t="str">
        <f>IF(Formulario!J367&lt;&gt;"",IF(Formulario!J367=" "," ",Formulario!J367),IF(G359=".",".","Falta Fecha"))</f>
        <v>.</v>
      </c>
      <c r="O359" s="155">
        <f>Formulario!L367</f>
        <v>0</v>
      </c>
      <c r="P359" s="146">
        <f>IF(O359=1,"09:00",Formulario!M367)</f>
        <v>0</v>
      </c>
      <c r="Q359" s="146">
        <f>IF(O359=1,"18:30",Formulario!N367)</f>
        <v>0</v>
      </c>
      <c r="R359" s="146" t="str">
        <f>IF(Formulario!O367&lt;&gt;"",IF(Formulario!O367=" ",".",Formulario!O367),".")</f>
        <v>Post Venta</v>
      </c>
      <c r="S359" s="141" t="s">
        <v>131</v>
      </c>
    </row>
    <row r="360" spans="1:19">
      <c r="A360" s="141">
        <f>Formulario!B368</f>
        <v>0</v>
      </c>
      <c r="B360" s="144" t="str">
        <f>IF(G360="."," ",Formulario!D$5)</f>
        <v xml:space="preserve"> </v>
      </c>
      <c r="C360" s="144" t="str">
        <f>IF(G360=".","",Formulario!D$6)</f>
        <v/>
      </c>
      <c r="D360" s="144" t="str">
        <f>IF(H360=".","",Formulario!D$7)</f>
        <v/>
      </c>
      <c r="E360" s="144" t="str">
        <f>IF(G360=".","",Formulario!J$5)</f>
        <v/>
      </c>
      <c r="F360" s="145" t="str">
        <f>IF(G360=".","",Formulario!J$6)</f>
        <v/>
      </c>
      <c r="G360" s="180" t="str">
        <f>IF(Formulario!C368&lt;&gt;"",IF(Formulario!C368=" ","Falta Depto",IF(H360=".","Error En Descripción",Formulario!C368)),IF(H360=".",".","Falta Datos"))</f>
        <v>.</v>
      </c>
      <c r="H360" s="144" t="str">
        <f>IF(Formulario!D368&lt;&gt;"",IF(Formulario!D368=" ",".",Formulario!D368),".")</f>
        <v>.</v>
      </c>
      <c r="I360" s="144" t="str">
        <f>IF(Formulario!E368&lt;&gt;"",IF(Formulario!E368=" "," ",Formulario!E368),IF(G360=".",".","Falta Propietario"))</f>
        <v>.</v>
      </c>
      <c r="J360" s="144" t="str">
        <f>IF(Formulario!F368&lt;&gt;"",IF(Formulario!F368=" "," ",Formulario!F368)," ")</f>
        <v xml:space="preserve"> </v>
      </c>
      <c r="K360" s="144" t="str">
        <f>IF(Formulario!G368&lt;&gt;"",IF(Formulario!G368=" "," ",Formulario!G368)," ")</f>
        <v xml:space="preserve"> </v>
      </c>
      <c r="L360" s="144" t="str">
        <f>IF(Formulario!H368&lt;&gt;"",IF(Formulario!H368=" "," ",Formulario!H368)," ")</f>
        <v xml:space="preserve"> </v>
      </c>
      <c r="M360" s="144" t="str">
        <f>IF(Formulario!I368&lt;&gt;"",IF(Formulario!I368=" "," ",Formulario!I368)," ")</f>
        <v xml:space="preserve"> </v>
      </c>
      <c r="N360" s="145" t="str">
        <f>IF(Formulario!J368&lt;&gt;"",IF(Formulario!J368=" "," ",Formulario!J368),IF(G360=".",".","Falta Fecha"))</f>
        <v>.</v>
      </c>
      <c r="O360" s="155">
        <f>Formulario!L368</f>
        <v>0</v>
      </c>
      <c r="P360" s="146">
        <f>IF(O360=1,"09:00",Formulario!M368)</f>
        <v>0</v>
      </c>
      <c r="Q360" s="146">
        <f>IF(O360=1,"18:30",Formulario!N368)</f>
        <v>0</v>
      </c>
      <c r="R360" s="146" t="str">
        <f>IF(Formulario!O368&lt;&gt;"",IF(Formulario!O368=" ",".",Formulario!O368),".")</f>
        <v>Post Venta</v>
      </c>
      <c r="S360" s="141" t="s">
        <v>131</v>
      </c>
    </row>
    <row r="361" spans="1:19">
      <c r="A361" s="141">
        <f>Formulario!B369</f>
        <v>0</v>
      </c>
      <c r="B361" s="144" t="str">
        <f>IF(G361="."," ",Formulario!D$5)</f>
        <v xml:space="preserve"> </v>
      </c>
      <c r="C361" s="144" t="str">
        <f>IF(G361=".","",Formulario!D$6)</f>
        <v/>
      </c>
      <c r="D361" s="144" t="str">
        <f>IF(H361=".","",Formulario!D$7)</f>
        <v/>
      </c>
      <c r="E361" s="144" t="str">
        <f>IF(G361=".","",Formulario!J$5)</f>
        <v/>
      </c>
      <c r="F361" s="145" t="str">
        <f>IF(G361=".","",Formulario!J$6)</f>
        <v/>
      </c>
      <c r="G361" s="180" t="str">
        <f>IF(Formulario!C369&lt;&gt;"",IF(Formulario!C369=" ","Falta Depto",IF(H361=".","Error En Descripción",Formulario!C369)),IF(H361=".",".","Falta Datos"))</f>
        <v>.</v>
      </c>
      <c r="H361" s="144" t="str">
        <f>IF(Formulario!D369&lt;&gt;"",IF(Formulario!D369=" ",".",Formulario!D369),".")</f>
        <v>.</v>
      </c>
      <c r="I361" s="144" t="str">
        <f>IF(Formulario!E369&lt;&gt;"",IF(Formulario!E369=" "," ",Formulario!E369),IF(G361=".",".","Falta Propietario"))</f>
        <v>.</v>
      </c>
      <c r="J361" s="144" t="str">
        <f>IF(Formulario!F369&lt;&gt;"",IF(Formulario!F369=" "," ",Formulario!F369)," ")</f>
        <v xml:space="preserve"> </v>
      </c>
      <c r="K361" s="144" t="str">
        <f>IF(Formulario!G369&lt;&gt;"",IF(Formulario!G369=" "," ",Formulario!G369)," ")</f>
        <v xml:space="preserve"> </v>
      </c>
      <c r="L361" s="144" t="str">
        <f>IF(Formulario!H369&lt;&gt;"",IF(Formulario!H369=" "," ",Formulario!H369)," ")</f>
        <v xml:space="preserve"> </v>
      </c>
      <c r="M361" s="144" t="str">
        <f>IF(Formulario!I369&lt;&gt;"",IF(Formulario!I369=" "," ",Formulario!I369)," ")</f>
        <v xml:space="preserve"> </v>
      </c>
      <c r="N361" s="145" t="str">
        <f>IF(Formulario!J369&lt;&gt;"",IF(Formulario!J369=" "," ",Formulario!J369),IF(G361=".",".","Falta Fecha"))</f>
        <v>.</v>
      </c>
      <c r="O361" s="155">
        <f>Formulario!L369</f>
        <v>0</v>
      </c>
      <c r="P361" s="146">
        <f>IF(O361=1,"09:00",Formulario!M369)</f>
        <v>0</v>
      </c>
      <c r="Q361" s="146">
        <f>IF(O361=1,"18:30",Formulario!N369)</f>
        <v>0</v>
      </c>
      <c r="R361" s="146" t="str">
        <f>IF(Formulario!O369&lt;&gt;"",IF(Formulario!O369=" ",".",Formulario!O369),".")</f>
        <v>Post Venta</v>
      </c>
      <c r="S361" s="141" t="s">
        <v>131</v>
      </c>
    </row>
    <row r="362" spans="1:19">
      <c r="A362" s="141">
        <f>Formulario!B370</f>
        <v>0</v>
      </c>
      <c r="B362" s="144" t="str">
        <f>IF(G362="."," ",Formulario!D$5)</f>
        <v xml:space="preserve"> </v>
      </c>
      <c r="C362" s="144" t="str">
        <f>IF(G362=".","",Formulario!D$6)</f>
        <v/>
      </c>
      <c r="D362" s="144" t="str">
        <f>IF(H362=".","",Formulario!D$7)</f>
        <v/>
      </c>
      <c r="E362" s="144" t="str">
        <f>IF(G362=".","",Formulario!J$5)</f>
        <v/>
      </c>
      <c r="F362" s="145" t="str">
        <f>IF(G362=".","",Formulario!J$6)</f>
        <v/>
      </c>
      <c r="G362" s="180" t="str">
        <f>IF(Formulario!C370&lt;&gt;"",IF(Formulario!C370=" ","Falta Depto",IF(H362=".","Error En Descripción",Formulario!C370)),IF(H362=".",".","Falta Datos"))</f>
        <v>.</v>
      </c>
      <c r="H362" s="144" t="str">
        <f>IF(Formulario!D370&lt;&gt;"",IF(Formulario!D370=" ",".",Formulario!D370),".")</f>
        <v>.</v>
      </c>
      <c r="I362" s="144" t="str">
        <f>IF(Formulario!E370&lt;&gt;"",IF(Formulario!E370=" "," ",Formulario!E370),IF(G362=".",".","Falta Propietario"))</f>
        <v>.</v>
      </c>
      <c r="J362" s="144" t="str">
        <f>IF(Formulario!F370&lt;&gt;"",IF(Formulario!F370=" "," ",Formulario!F370)," ")</f>
        <v xml:space="preserve"> </v>
      </c>
      <c r="K362" s="144" t="str">
        <f>IF(Formulario!G370&lt;&gt;"",IF(Formulario!G370=" "," ",Formulario!G370)," ")</f>
        <v xml:space="preserve"> </v>
      </c>
      <c r="L362" s="144" t="str">
        <f>IF(Formulario!H370&lt;&gt;"",IF(Formulario!H370=" "," ",Formulario!H370)," ")</f>
        <v xml:space="preserve"> </v>
      </c>
      <c r="M362" s="144" t="str">
        <f>IF(Formulario!I370&lt;&gt;"",IF(Formulario!I370=" "," ",Formulario!I370)," ")</f>
        <v xml:space="preserve"> </v>
      </c>
      <c r="N362" s="145" t="str">
        <f>IF(Formulario!J370&lt;&gt;"",IF(Formulario!J370=" "," ",Formulario!J370),IF(G362=".",".","Falta Fecha"))</f>
        <v>.</v>
      </c>
      <c r="O362" s="155">
        <f>Formulario!L370</f>
        <v>0</v>
      </c>
      <c r="P362" s="146">
        <f>IF(O362=1,"09:00",Formulario!M370)</f>
        <v>0</v>
      </c>
      <c r="Q362" s="146">
        <f>IF(O362=1,"18:30",Formulario!N370)</f>
        <v>0</v>
      </c>
      <c r="R362" s="146" t="str">
        <f>IF(Formulario!O370&lt;&gt;"",IF(Formulario!O370=" ",".",Formulario!O370),".")</f>
        <v>Post Venta</v>
      </c>
      <c r="S362" s="141" t="s">
        <v>131</v>
      </c>
    </row>
    <row r="363" spans="1:19">
      <c r="A363" s="141">
        <f>Formulario!B371</f>
        <v>0</v>
      </c>
      <c r="B363" s="144" t="str">
        <f>IF(G363="."," ",Formulario!D$5)</f>
        <v xml:space="preserve"> </v>
      </c>
      <c r="C363" s="144" t="str">
        <f>IF(G363=".","",Formulario!D$6)</f>
        <v/>
      </c>
      <c r="D363" s="144" t="str">
        <f>IF(H363=".","",Formulario!D$7)</f>
        <v/>
      </c>
      <c r="E363" s="144" t="str">
        <f>IF(G363=".","",Formulario!J$5)</f>
        <v/>
      </c>
      <c r="F363" s="145" t="str">
        <f>IF(G363=".","",Formulario!J$6)</f>
        <v/>
      </c>
      <c r="G363" s="180" t="str">
        <f>IF(Formulario!C371&lt;&gt;"",IF(Formulario!C371=" ","Falta Depto",IF(H363=".","Error En Descripción",Formulario!C371)),IF(H363=".",".","Falta Datos"))</f>
        <v>.</v>
      </c>
      <c r="H363" s="144" t="str">
        <f>IF(Formulario!D371&lt;&gt;"",IF(Formulario!D371=" ",".",Formulario!D371),".")</f>
        <v>.</v>
      </c>
      <c r="I363" s="144" t="str">
        <f>IF(Formulario!E371&lt;&gt;"",IF(Formulario!E371=" "," ",Formulario!E371),IF(G363=".",".","Falta Propietario"))</f>
        <v>.</v>
      </c>
      <c r="J363" s="144" t="str">
        <f>IF(Formulario!F371&lt;&gt;"",IF(Formulario!F371=" "," ",Formulario!F371)," ")</f>
        <v xml:space="preserve"> </v>
      </c>
      <c r="K363" s="144" t="str">
        <f>IF(Formulario!G371&lt;&gt;"",IF(Formulario!G371=" "," ",Formulario!G371)," ")</f>
        <v xml:space="preserve"> </v>
      </c>
      <c r="L363" s="144" t="str">
        <f>IF(Formulario!H371&lt;&gt;"",IF(Formulario!H371=" "," ",Formulario!H371)," ")</f>
        <v xml:space="preserve"> </v>
      </c>
      <c r="M363" s="144" t="str">
        <f>IF(Formulario!I371&lt;&gt;"",IF(Formulario!I371=" "," ",Formulario!I371)," ")</f>
        <v xml:space="preserve"> </v>
      </c>
      <c r="N363" s="145" t="str">
        <f>IF(Formulario!J371&lt;&gt;"",IF(Formulario!J371=" "," ",Formulario!J371),IF(G363=".",".","Falta Fecha"))</f>
        <v>.</v>
      </c>
      <c r="O363" s="155">
        <f>Formulario!L371</f>
        <v>0</v>
      </c>
      <c r="P363" s="146">
        <f>IF(O363=1,"09:00",Formulario!M371)</f>
        <v>0</v>
      </c>
      <c r="Q363" s="146">
        <f>IF(O363=1,"18:30",Formulario!N371)</f>
        <v>0</v>
      </c>
      <c r="R363" s="146" t="str">
        <f>IF(Formulario!O371&lt;&gt;"",IF(Formulario!O371=" ",".",Formulario!O371),".")</f>
        <v>Post Venta</v>
      </c>
      <c r="S363" s="141" t="s">
        <v>131</v>
      </c>
    </row>
    <row r="364" spans="1:19">
      <c r="A364" s="141">
        <f>Formulario!B372</f>
        <v>0</v>
      </c>
      <c r="B364" s="144" t="str">
        <f>IF(G364="."," ",Formulario!D$5)</f>
        <v xml:space="preserve"> </v>
      </c>
      <c r="C364" s="144" t="str">
        <f>IF(G364=".","",Formulario!D$6)</f>
        <v/>
      </c>
      <c r="D364" s="144" t="str">
        <f>IF(H364=".","",Formulario!D$7)</f>
        <v/>
      </c>
      <c r="E364" s="144" t="str">
        <f>IF(G364=".","",Formulario!J$5)</f>
        <v/>
      </c>
      <c r="F364" s="145" t="str">
        <f>IF(G364=".","",Formulario!J$6)</f>
        <v/>
      </c>
      <c r="G364" s="180" t="str">
        <f>IF(Formulario!C372&lt;&gt;"",IF(Formulario!C372=" ","Falta Depto",IF(H364=".","Error En Descripción",Formulario!C372)),IF(H364=".",".","Falta Datos"))</f>
        <v>.</v>
      </c>
      <c r="H364" s="144" t="str">
        <f>IF(Formulario!D372&lt;&gt;"",IF(Formulario!D372=" ",".",Formulario!D372),".")</f>
        <v>.</v>
      </c>
      <c r="I364" s="144" t="str">
        <f>IF(Formulario!E372&lt;&gt;"",IF(Formulario!E372=" "," ",Formulario!E372),IF(G364=".",".","Falta Propietario"))</f>
        <v>.</v>
      </c>
      <c r="J364" s="144" t="str">
        <f>IF(Formulario!F372&lt;&gt;"",IF(Formulario!F372=" "," ",Formulario!F372)," ")</f>
        <v xml:space="preserve"> </v>
      </c>
      <c r="K364" s="144" t="str">
        <f>IF(Formulario!G372&lt;&gt;"",IF(Formulario!G372=" "," ",Formulario!G372)," ")</f>
        <v xml:space="preserve"> </v>
      </c>
      <c r="L364" s="144" t="str">
        <f>IF(Formulario!H372&lt;&gt;"",IF(Formulario!H372=" "," ",Formulario!H372)," ")</f>
        <v xml:space="preserve"> </v>
      </c>
      <c r="M364" s="144" t="str">
        <f>IF(Formulario!I372&lt;&gt;"",IF(Formulario!I372=" "," ",Formulario!I372)," ")</f>
        <v xml:space="preserve"> </v>
      </c>
      <c r="N364" s="145" t="str">
        <f>IF(Formulario!J372&lt;&gt;"",IF(Formulario!J372=" "," ",Formulario!J372),IF(G364=".",".","Falta Fecha"))</f>
        <v>.</v>
      </c>
      <c r="O364" s="155">
        <f>Formulario!L372</f>
        <v>0</v>
      </c>
      <c r="P364" s="146">
        <f>IF(O364=1,"09:00",Formulario!M372)</f>
        <v>0</v>
      </c>
      <c r="Q364" s="146">
        <f>IF(O364=1,"18:30",Formulario!N372)</f>
        <v>0</v>
      </c>
      <c r="R364" s="146" t="str">
        <f>IF(Formulario!O372&lt;&gt;"",IF(Formulario!O372=" ",".",Formulario!O372),".")</f>
        <v>Post Venta</v>
      </c>
      <c r="S364" s="141" t="s">
        <v>131</v>
      </c>
    </row>
    <row r="365" spans="1:19">
      <c r="A365" s="141">
        <f>Formulario!B373</f>
        <v>0</v>
      </c>
      <c r="B365" s="144" t="str">
        <f>IF(G365="."," ",Formulario!D$5)</f>
        <v xml:space="preserve"> </v>
      </c>
      <c r="C365" s="144" t="str">
        <f>IF(G365=".","",Formulario!D$6)</f>
        <v/>
      </c>
      <c r="D365" s="144" t="str">
        <f>IF(H365=".","",Formulario!D$7)</f>
        <v/>
      </c>
      <c r="E365" s="144" t="str">
        <f>IF(G365=".","",Formulario!J$5)</f>
        <v/>
      </c>
      <c r="F365" s="145" t="str">
        <f>IF(G365=".","",Formulario!J$6)</f>
        <v/>
      </c>
      <c r="G365" s="180" t="str">
        <f>IF(Formulario!C373&lt;&gt;"",IF(Formulario!C373=" ","Falta Depto",IF(H365=".","Error En Descripción",Formulario!C373)),IF(H365=".",".","Falta Datos"))</f>
        <v>.</v>
      </c>
      <c r="H365" s="144" t="str">
        <f>IF(Formulario!D373&lt;&gt;"",IF(Formulario!D373=" ",".",Formulario!D373),".")</f>
        <v>.</v>
      </c>
      <c r="I365" s="144" t="str">
        <f>IF(Formulario!E373&lt;&gt;"",IF(Formulario!E373=" "," ",Formulario!E373),IF(G365=".",".","Falta Propietario"))</f>
        <v>.</v>
      </c>
      <c r="J365" s="144" t="str">
        <f>IF(Formulario!F373&lt;&gt;"",IF(Formulario!F373=" "," ",Formulario!F373)," ")</f>
        <v xml:space="preserve"> </v>
      </c>
      <c r="K365" s="144" t="str">
        <f>IF(Formulario!G373&lt;&gt;"",IF(Formulario!G373=" "," ",Formulario!G373)," ")</f>
        <v xml:space="preserve"> </v>
      </c>
      <c r="L365" s="144" t="str">
        <f>IF(Formulario!H373&lt;&gt;"",IF(Formulario!H373=" "," ",Formulario!H373)," ")</f>
        <v xml:space="preserve"> </v>
      </c>
      <c r="M365" s="144" t="str">
        <f>IF(Formulario!I373&lt;&gt;"",IF(Formulario!I373=" "," ",Formulario!I373)," ")</f>
        <v xml:space="preserve"> </v>
      </c>
      <c r="N365" s="145" t="str">
        <f>IF(Formulario!J373&lt;&gt;"",IF(Formulario!J373=" "," ",Formulario!J373),IF(G365=".",".","Falta Fecha"))</f>
        <v>.</v>
      </c>
      <c r="O365" s="155">
        <f>Formulario!L373</f>
        <v>0</v>
      </c>
      <c r="P365" s="146">
        <f>IF(O365=1,"09:00",Formulario!M373)</f>
        <v>0</v>
      </c>
      <c r="Q365" s="146">
        <f>IF(O365=1,"18:30",Formulario!N373)</f>
        <v>0</v>
      </c>
      <c r="R365" s="146" t="str">
        <f>IF(Formulario!O373&lt;&gt;"",IF(Formulario!O373=" ",".",Formulario!O373),".")</f>
        <v>Post Venta</v>
      </c>
      <c r="S365" s="141" t="s">
        <v>131</v>
      </c>
    </row>
    <row r="366" spans="1:19">
      <c r="A366" s="141">
        <f>Formulario!B374</f>
        <v>0</v>
      </c>
      <c r="B366" s="144" t="str">
        <f>IF(G366="."," ",Formulario!D$5)</f>
        <v xml:space="preserve"> </v>
      </c>
      <c r="C366" s="144" t="str">
        <f>IF(G366=".","",Formulario!D$6)</f>
        <v/>
      </c>
      <c r="D366" s="144" t="str">
        <f>IF(H366=".","",Formulario!D$7)</f>
        <v/>
      </c>
      <c r="E366" s="144" t="str">
        <f>IF(G366=".","",Formulario!J$5)</f>
        <v/>
      </c>
      <c r="F366" s="145" t="str">
        <f>IF(G366=".","",Formulario!J$6)</f>
        <v/>
      </c>
      <c r="G366" s="180" t="str">
        <f>IF(Formulario!C374&lt;&gt;"",IF(Formulario!C374=" ","Falta Depto",IF(H366=".","Error En Descripción",Formulario!C374)),IF(H366=".",".","Falta Datos"))</f>
        <v>.</v>
      </c>
      <c r="H366" s="144" t="str">
        <f>IF(Formulario!D374&lt;&gt;"",IF(Formulario!D374=" ",".",Formulario!D374),".")</f>
        <v>.</v>
      </c>
      <c r="I366" s="144" t="str">
        <f>IF(Formulario!E374&lt;&gt;"",IF(Formulario!E374=" "," ",Formulario!E374),IF(G366=".",".","Falta Propietario"))</f>
        <v>.</v>
      </c>
      <c r="J366" s="144" t="str">
        <f>IF(Formulario!F374&lt;&gt;"",IF(Formulario!F374=" "," ",Formulario!F374)," ")</f>
        <v xml:space="preserve"> </v>
      </c>
      <c r="K366" s="144" t="str">
        <f>IF(Formulario!G374&lt;&gt;"",IF(Formulario!G374=" "," ",Formulario!G374)," ")</f>
        <v xml:space="preserve"> </v>
      </c>
      <c r="L366" s="144" t="str">
        <f>IF(Formulario!H374&lt;&gt;"",IF(Formulario!H374=" "," ",Formulario!H374)," ")</f>
        <v xml:space="preserve"> </v>
      </c>
      <c r="M366" s="144" t="str">
        <f>IF(Formulario!I374&lt;&gt;"",IF(Formulario!I374=" "," ",Formulario!I374)," ")</f>
        <v xml:space="preserve"> </v>
      </c>
      <c r="N366" s="145" t="str">
        <f>IF(Formulario!J374&lt;&gt;"",IF(Formulario!J374=" "," ",Formulario!J374),IF(G366=".",".","Falta Fecha"))</f>
        <v>.</v>
      </c>
      <c r="O366" s="155">
        <f>Formulario!L374</f>
        <v>0</v>
      </c>
      <c r="P366" s="146">
        <f>IF(O366=1,"09:00",Formulario!M374)</f>
        <v>0</v>
      </c>
      <c r="Q366" s="146">
        <f>IF(O366=1,"18:30",Formulario!N374)</f>
        <v>0</v>
      </c>
      <c r="R366" s="146" t="str">
        <f>IF(Formulario!O374&lt;&gt;"",IF(Formulario!O374=" ",".",Formulario!O374),".")</f>
        <v>Post Venta</v>
      </c>
      <c r="S366" s="141" t="s">
        <v>131</v>
      </c>
    </row>
    <row r="367" spans="1:19">
      <c r="A367" s="141">
        <f>Formulario!B375</f>
        <v>0</v>
      </c>
      <c r="B367" s="144" t="str">
        <f>IF(G367="."," ",Formulario!D$5)</f>
        <v xml:space="preserve"> </v>
      </c>
      <c r="C367" s="144" t="str">
        <f>IF(G367=".","",Formulario!D$6)</f>
        <v/>
      </c>
      <c r="D367" s="144" t="str">
        <f>IF(H367=".","",Formulario!D$7)</f>
        <v/>
      </c>
      <c r="E367" s="144" t="str">
        <f>IF(G367=".","",Formulario!J$5)</f>
        <v/>
      </c>
      <c r="F367" s="145" t="str">
        <f>IF(G367=".","",Formulario!J$6)</f>
        <v/>
      </c>
      <c r="G367" s="180" t="str">
        <f>IF(Formulario!C375&lt;&gt;"",IF(Formulario!C375=" ","Falta Depto",IF(H367=".","Error En Descripción",Formulario!C375)),IF(H367=".",".","Falta Datos"))</f>
        <v>.</v>
      </c>
      <c r="H367" s="144" t="str">
        <f>IF(Formulario!D375&lt;&gt;"",IF(Formulario!D375=" ",".",Formulario!D375),".")</f>
        <v>.</v>
      </c>
      <c r="I367" s="144" t="str">
        <f>IF(Formulario!E375&lt;&gt;"",IF(Formulario!E375=" "," ",Formulario!E375),IF(G367=".",".","Falta Propietario"))</f>
        <v>.</v>
      </c>
      <c r="J367" s="144" t="str">
        <f>IF(Formulario!F375&lt;&gt;"",IF(Formulario!F375=" "," ",Formulario!F375)," ")</f>
        <v xml:space="preserve"> </v>
      </c>
      <c r="K367" s="144" t="str">
        <f>IF(Formulario!G375&lt;&gt;"",IF(Formulario!G375=" "," ",Formulario!G375)," ")</f>
        <v xml:space="preserve"> </v>
      </c>
      <c r="L367" s="144" t="str">
        <f>IF(Formulario!H375&lt;&gt;"",IF(Formulario!H375=" "," ",Formulario!H375)," ")</f>
        <v xml:space="preserve"> </v>
      </c>
      <c r="M367" s="144" t="str">
        <f>IF(Formulario!I375&lt;&gt;"",IF(Formulario!I375=" "," ",Formulario!I375)," ")</f>
        <v xml:space="preserve"> </v>
      </c>
      <c r="N367" s="145" t="str">
        <f>IF(Formulario!J375&lt;&gt;"",IF(Formulario!J375=" "," ",Formulario!J375),IF(G367=".",".","Falta Fecha"))</f>
        <v>.</v>
      </c>
      <c r="O367" s="155">
        <f>Formulario!L375</f>
        <v>0</v>
      </c>
      <c r="P367" s="146">
        <f>IF(O367=1,"09:00",Formulario!M375)</f>
        <v>0</v>
      </c>
      <c r="Q367" s="146">
        <f>IF(O367=1,"18:30",Formulario!N375)</f>
        <v>0</v>
      </c>
      <c r="R367" s="146" t="str">
        <f>IF(Formulario!O375&lt;&gt;"",IF(Formulario!O375=" ",".",Formulario!O375),".")</f>
        <v>Post Venta</v>
      </c>
      <c r="S367" s="141" t="s">
        <v>131</v>
      </c>
    </row>
    <row r="368" spans="1:19">
      <c r="A368" s="141">
        <f>Formulario!B376</f>
        <v>0</v>
      </c>
      <c r="B368" s="144" t="str">
        <f>IF(G368="."," ",Formulario!D$5)</f>
        <v xml:space="preserve"> </v>
      </c>
      <c r="C368" s="144" t="str">
        <f>IF(G368=".","",Formulario!D$6)</f>
        <v/>
      </c>
      <c r="D368" s="144" t="str">
        <f>IF(H368=".","",Formulario!D$7)</f>
        <v/>
      </c>
      <c r="E368" s="144" t="str">
        <f>IF(G368=".","",Formulario!J$5)</f>
        <v/>
      </c>
      <c r="F368" s="145" t="str">
        <f>IF(G368=".","",Formulario!J$6)</f>
        <v/>
      </c>
      <c r="G368" s="180" t="str">
        <f>IF(Formulario!C376&lt;&gt;"",IF(Formulario!C376=" ","Falta Depto",IF(H368=".","Error En Descripción",Formulario!C376)),IF(H368=".",".","Falta Datos"))</f>
        <v>.</v>
      </c>
      <c r="H368" s="144" t="str">
        <f>IF(Formulario!D376&lt;&gt;"",IF(Formulario!D376=" ",".",Formulario!D376),".")</f>
        <v>.</v>
      </c>
      <c r="I368" s="144" t="str">
        <f>IF(Formulario!E376&lt;&gt;"",IF(Formulario!E376=" "," ",Formulario!E376),IF(G368=".",".","Falta Propietario"))</f>
        <v>.</v>
      </c>
      <c r="J368" s="144" t="str">
        <f>IF(Formulario!F376&lt;&gt;"",IF(Formulario!F376=" "," ",Formulario!F376)," ")</f>
        <v xml:space="preserve"> </v>
      </c>
      <c r="K368" s="144" t="str">
        <f>IF(Formulario!G376&lt;&gt;"",IF(Formulario!G376=" "," ",Formulario!G376)," ")</f>
        <v xml:space="preserve"> </v>
      </c>
      <c r="L368" s="144" t="str">
        <f>IF(Formulario!H376&lt;&gt;"",IF(Formulario!H376=" "," ",Formulario!H376)," ")</f>
        <v xml:space="preserve"> </v>
      </c>
      <c r="M368" s="144" t="str">
        <f>IF(Formulario!I376&lt;&gt;"",IF(Formulario!I376=" "," ",Formulario!I376)," ")</f>
        <v xml:space="preserve"> </v>
      </c>
      <c r="N368" s="145" t="str">
        <f>IF(Formulario!J376&lt;&gt;"",IF(Formulario!J376=" "," ",Formulario!J376),IF(G368=".",".","Falta Fecha"))</f>
        <v>.</v>
      </c>
      <c r="O368" s="155">
        <f>Formulario!L376</f>
        <v>0</v>
      </c>
      <c r="P368" s="146">
        <f>IF(O368=1,"09:00",Formulario!M376)</f>
        <v>0</v>
      </c>
      <c r="Q368" s="146">
        <f>IF(O368=1,"18:30",Formulario!N376)</f>
        <v>0</v>
      </c>
      <c r="R368" s="146" t="str">
        <f>IF(Formulario!O376&lt;&gt;"",IF(Formulario!O376=" ",".",Formulario!O376),".")</f>
        <v>Post Venta</v>
      </c>
      <c r="S368" s="141" t="s">
        <v>131</v>
      </c>
    </row>
    <row r="369" spans="1:19">
      <c r="A369" s="141">
        <f>Formulario!B377</f>
        <v>0</v>
      </c>
      <c r="B369" s="144" t="str">
        <f>IF(G369="."," ",Formulario!D$5)</f>
        <v xml:space="preserve"> </v>
      </c>
      <c r="C369" s="144" t="str">
        <f>IF(G369=".","",Formulario!D$6)</f>
        <v/>
      </c>
      <c r="D369" s="144" t="str">
        <f>IF(H369=".","",Formulario!D$7)</f>
        <v/>
      </c>
      <c r="E369" s="144" t="str">
        <f>IF(G369=".","",Formulario!J$5)</f>
        <v/>
      </c>
      <c r="F369" s="145" t="str">
        <f>IF(G369=".","",Formulario!J$6)</f>
        <v/>
      </c>
      <c r="G369" s="180" t="str">
        <f>IF(Formulario!C377&lt;&gt;"",IF(Formulario!C377=" ","Falta Depto",IF(H369=".","Error En Descripción",Formulario!C377)),IF(H369=".",".","Falta Datos"))</f>
        <v>.</v>
      </c>
      <c r="H369" s="144" t="str">
        <f>IF(Formulario!D377&lt;&gt;"",IF(Formulario!D377=" ",".",Formulario!D377),".")</f>
        <v>.</v>
      </c>
      <c r="I369" s="144" t="str">
        <f>IF(Formulario!E377&lt;&gt;"",IF(Formulario!E377=" "," ",Formulario!E377),IF(G369=".",".","Falta Propietario"))</f>
        <v>.</v>
      </c>
      <c r="J369" s="144" t="str">
        <f>IF(Formulario!F377&lt;&gt;"",IF(Formulario!F377=" "," ",Formulario!F377)," ")</f>
        <v xml:space="preserve"> </v>
      </c>
      <c r="K369" s="144" t="str">
        <f>IF(Formulario!G377&lt;&gt;"",IF(Formulario!G377=" "," ",Formulario!G377)," ")</f>
        <v xml:space="preserve"> </v>
      </c>
      <c r="L369" s="144" t="str">
        <f>IF(Formulario!H377&lt;&gt;"",IF(Formulario!H377=" "," ",Formulario!H377)," ")</f>
        <v xml:space="preserve"> </v>
      </c>
      <c r="M369" s="144" t="str">
        <f>IF(Formulario!I377&lt;&gt;"",IF(Formulario!I377=" "," ",Formulario!I377)," ")</f>
        <v xml:space="preserve"> </v>
      </c>
      <c r="N369" s="145" t="str">
        <f>IF(Formulario!J377&lt;&gt;"",IF(Formulario!J377=" "," ",Formulario!J377),IF(G369=".",".","Falta Fecha"))</f>
        <v>.</v>
      </c>
      <c r="O369" s="155">
        <f>Formulario!L377</f>
        <v>0</v>
      </c>
      <c r="P369" s="146">
        <f>IF(O369=1,"09:00",Formulario!M377)</f>
        <v>0</v>
      </c>
      <c r="Q369" s="146">
        <f>IF(O369=1,"18:30",Formulario!N377)</f>
        <v>0</v>
      </c>
      <c r="R369" s="146" t="str">
        <f>IF(Formulario!O377&lt;&gt;"",IF(Formulario!O377=" ",".",Formulario!O377),".")</f>
        <v>Post Venta</v>
      </c>
      <c r="S369" s="141" t="s">
        <v>131</v>
      </c>
    </row>
    <row r="370" spans="1:19">
      <c r="A370" s="141">
        <f>Formulario!B378</f>
        <v>0</v>
      </c>
      <c r="B370" s="144" t="str">
        <f>IF(G370="."," ",Formulario!D$5)</f>
        <v xml:space="preserve"> </v>
      </c>
      <c r="C370" s="144" t="str">
        <f>IF(G370=".","",Formulario!D$6)</f>
        <v/>
      </c>
      <c r="D370" s="144" t="str">
        <f>IF(H370=".","",Formulario!D$7)</f>
        <v/>
      </c>
      <c r="E370" s="144" t="str">
        <f>IF(G370=".","",Formulario!J$5)</f>
        <v/>
      </c>
      <c r="F370" s="145" t="str">
        <f>IF(G370=".","",Formulario!J$6)</f>
        <v/>
      </c>
      <c r="G370" s="180" t="str">
        <f>IF(Formulario!C378&lt;&gt;"",IF(Formulario!C378=" ","Falta Depto",IF(H370=".","Error En Descripción",Formulario!C378)),IF(H370=".",".","Falta Datos"))</f>
        <v>.</v>
      </c>
      <c r="H370" s="144" t="str">
        <f>IF(Formulario!D378&lt;&gt;"",IF(Formulario!D378=" ",".",Formulario!D378),".")</f>
        <v>.</v>
      </c>
      <c r="I370" s="144" t="str">
        <f>IF(Formulario!E378&lt;&gt;"",IF(Formulario!E378=" "," ",Formulario!E378),IF(G370=".",".","Falta Propietario"))</f>
        <v>.</v>
      </c>
      <c r="J370" s="144" t="str">
        <f>IF(Formulario!F378&lt;&gt;"",IF(Formulario!F378=" "," ",Formulario!F378)," ")</f>
        <v xml:space="preserve"> </v>
      </c>
      <c r="K370" s="144" t="str">
        <f>IF(Formulario!G378&lt;&gt;"",IF(Formulario!G378=" "," ",Formulario!G378)," ")</f>
        <v xml:space="preserve"> </v>
      </c>
      <c r="L370" s="144" t="str">
        <f>IF(Formulario!H378&lt;&gt;"",IF(Formulario!H378=" "," ",Formulario!H378)," ")</f>
        <v xml:space="preserve"> </v>
      </c>
      <c r="M370" s="144" t="str">
        <f>IF(Formulario!I378&lt;&gt;"",IF(Formulario!I378=" "," ",Formulario!I378)," ")</f>
        <v xml:space="preserve"> </v>
      </c>
      <c r="N370" s="145" t="str">
        <f>IF(Formulario!J378&lt;&gt;"",IF(Formulario!J378=" "," ",Formulario!J378),IF(G370=".",".","Falta Fecha"))</f>
        <v>.</v>
      </c>
      <c r="O370" s="155">
        <f>Formulario!L378</f>
        <v>0</v>
      </c>
      <c r="P370" s="146">
        <f>IF(O370=1,"09:00",Formulario!M378)</f>
        <v>0</v>
      </c>
      <c r="Q370" s="146">
        <f>IF(O370=1,"18:30",Formulario!N378)</f>
        <v>0</v>
      </c>
      <c r="R370" s="146" t="str">
        <f>IF(Formulario!O378&lt;&gt;"",IF(Formulario!O378=" ",".",Formulario!O378),".")</f>
        <v>Post Venta</v>
      </c>
      <c r="S370" s="141" t="s">
        <v>131</v>
      </c>
    </row>
    <row r="371" spans="1:19">
      <c r="A371" s="141">
        <f>Formulario!B379</f>
        <v>0</v>
      </c>
      <c r="B371" s="144" t="str">
        <f>IF(G371="."," ",Formulario!D$5)</f>
        <v xml:space="preserve"> </v>
      </c>
      <c r="C371" s="144" t="str">
        <f>IF(G371=".","",Formulario!D$6)</f>
        <v/>
      </c>
      <c r="D371" s="144" t="str">
        <f>IF(H371=".","",Formulario!D$7)</f>
        <v/>
      </c>
      <c r="E371" s="144" t="str">
        <f>IF(G371=".","",Formulario!J$5)</f>
        <v/>
      </c>
      <c r="F371" s="145" t="str">
        <f>IF(G371=".","",Formulario!J$6)</f>
        <v/>
      </c>
      <c r="G371" s="180" t="str">
        <f>IF(Formulario!C379&lt;&gt;"",IF(Formulario!C379=" ","Falta Depto",IF(H371=".","Error En Descripción",Formulario!C379)),IF(H371=".",".","Falta Datos"))</f>
        <v>.</v>
      </c>
      <c r="H371" s="144" t="str">
        <f>IF(Formulario!D379&lt;&gt;"",IF(Formulario!D379=" ",".",Formulario!D379),".")</f>
        <v>.</v>
      </c>
      <c r="I371" s="144" t="str">
        <f>IF(Formulario!E379&lt;&gt;"",IF(Formulario!E379=" "," ",Formulario!E379),IF(G371=".",".","Falta Propietario"))</f>
        <v>.</v>
      </c>
      <c r="J371" s="144" t="str">
        <f>IF(Formulario!F379&lt;&gt;"",IF(Formulario!F379=" "," ",Formulario!F379)," ")</f>
        <v xml:space="preserve"> </v>
      </c>
      <c r="K371" s="144" t="str">
        <f>IF(Formulario!G379&lt;&gt;"",IF(Formulario!G379=" "," ",Formulario!G379)," ")</f>
        <v xml:space="preserve"> </v>
      </c>
      <c r="L371" s="144" t="str">
        <f>IF(Formulario!H379&lt;&gt;"",IF(Formulario!H379=" "," ",Formulario!H379)," ")</f>
        <v xml:space="preserve"> </v>
      </c>
      <c r="M371" s="144" t="str">
        <f>IF(Formulario!I379&lt;&gt;"",IF(Formulario!I379=" "," ",Formulario!I379)," ")</f>
        <v xml:space="preserve"> </v>
      </c>
      <c r="N371" s="145" t="str">
        <f>IF(Formulario!J379&lt;&gt;"",IF(Formulario!J379=" "," ",Formulario!J379),IF(G371=".",".","Falta Fecha"))</f>
        <v>.</v>
      </c>
      <c r="O371" s="155">
        <f>Formulario!L379</f>
        <v>0</v>
      </c>
      <c r="P371" s="146">
        <f>IF(O371=1,"09:00",Formulario!M379)</f>
        <v>0</v>
      </c>
      <c r="Q371" s="146">
        <f>IF(O371=1,"18:30",Formulario!N379)</f>
        <v>0</v>
      </c>
      <c r="R371" s="146" t="str">
        <f>IF(Formulario!O379&lt;&gt;"",IF(Formulario!O379=" ",".",Formulario!O379),".")</f>
        <v>Post Venta</v>
      </c>
      <c r="S371" s="141" t="s">
        <v>131</v>
      </c>
    </row>
    <row r="372" spans="1:19">
      <c r="A372" s="141">
        <f>Formulario!B380</f>
        <v>0</v>
      </c>
      <c r="B372" s="144" t="str">
        <f>IF(G372="."," ",Formulario!D$5)</f>
        <v xml:space="preserve"> </v>
      </c>
      <c r="C372" s="144" t="str">
        <f>IF(G372=".","",Formulario!D$6)</f>
        <v/>
      </c>
      <c r="D372" s="144" t="str">
        <f>IF(H372=".","",Formulario!D$7)</f>
        <v/>
      </c>
      <c r="E372" s="144" t="str">
        <f>IF(G372=".","",Formulario!J$5)</f>
        <v/>
      </c>
      <c r="F372" s="145" t="str">
        <f>IF(G372=".","",Formulario!J$6)</f>
        <v/>
      </c>
      <c r="G372" s="180" t="str">
        <f>IF(Formulario!C380&lt;&gt;"",IF(Formulario!C380=" ","Falta Depto",IF(H372=".","Error En Descripción",Formulario!C380)),IF(H372=".",".","Falta Datos"))</f>
        <v>.</v>
      </c>
      <c r="H372" s="144" t="str">
        <f>IF(Formulario!D380&lt;&gt;"",IF(Formulario!D380=" ",".",Formulario!D380),".")</f>
        <v>.</v>
      </c>
      <c r="I372" s="144" t="str">
        <f>IF(Formulario!E380&lt;&gt;"",IF(Formulario!E380=" "," ",Formulario!E380),IF(G372=".",".","Falta Propietario"))</f>
        <v>.</v>
      </c>
      <c r="J372" s="144" t="str">
        <f>IF(Formulario!F380&lt;&gt;"",IF(Formulario!F380=" "," ",Formulario!F380)," ")</f>
        <v xml:space="preserve"> </v>
      </c>
      <c r="K372" s="144" t="str">
        <f>IF(Formulario!G380&lt;&gt;"",IF(Formulario!G380=" "," ",Formulario!G380)," ")</f>
        <v xml:space="preserve"> </v>
      </c>
      <c r="L372" s="144" t="str">
        <f>IF(Formulario!H380&lt;&gt;"",IF(Formulario!H380=" "," ",Formulario!H380)," ")</f>
        <v xml:space="preserve"> </v>
      </c>
      <c r="M372" s="144" t="str">
        <f>IF(Formulario!I380&lt;&gt;"",IF(Formulario!I380=" "," ",Formulario!I380)," ")</f>
        <v xml:space="preserve"> </v>
      </c>
      <c r="N372" s="145" t="str">
        <f>IF(Formulario!J380&lt;&gt;"",IF(Formulario!J380=" "," ",Formulario!J380),IF(G372=".",".","Falta Fecha"))</f>
        <v>.</v>
      </c>
      <c r="O372" s="155">
        <f>Formulario!L380</f>
        <v>0</v>
      </c>
      <c r="P372" s="146">
        <f>IF(O372=1,"09:00",Formulario!M380)</f>
        <v>0</v>
      </c>
      <c r="Q372" s="146">
        <f>IF(O372=1,"18:30",Formulario!N380)</f>
        <v>0</v>
      </c>
      <c r="R372" s="146" t="str">
        <f>IF(Formulario!O380&lt;&gt;"",IF(Formulario!O380=" ",".",Formulario!O380),".")</f>
        <v>Post Venta</v>
      </c>
      <c r="S372" s="141" t="s">
        <v>131</v>
      </c>
    </row>
    <row r="373" spans="1:19">
      <c r="A373" s="141">
        <f>Formulario!B381</f>
        <v>0</v>
      </c>
      <c r="B373" s="144" t="str">
        <f>IF(G373="."," ",Formulario!D$5)</f>
        <v xml:space="preserve"> </v>
      </c>
      <c r="C373" s="144" t="str">
        <f>IF(G373=".","",Formulario!D$6)</f>
        <v/>
      </c>
      <c r="D373" s="144" t="str">
        <f>IF(H373=".","",Formulario!D$7)</f>
        <v/>
      </c>
      <c r="E373" s="144" t="str">
        <f>IF(G373=".","",Formulario!J$5)</f>
        <v/>
      </c>
      <c r="F373" s="145" t="str">
        <f>IF(G373=".","",Formulario!J$6)</f>
        <v/>
      </c>
      <c r="G373" s="180" t="str">
        <f>IF(Formulario!C381&lt;&gt;"",IF(Formulario!C381=" ","Falta Depto",IF(H373=".","Error En Descripción",Formulario!C381)),IF(H373=".",".","Falta Datos"))</f>
        <v>.</v>
      </c>
      <c r="H373" s="144" t="str">
        <f>IF(Formulario!D381&lt;&gt;"",IF(Formulario!D381=" ",".",Formulario!D381),".")</f>
        <v>.</v>
      </c>
      <c r="I373" s="144" t="str">
        <f>IF(Formulario!E381&lt;&gt;"",IF(Formulario!E381=" "," ",Formulario!E381),IF(G373=".",".","Falta Propietario"))</f>
        <v>.</v>
      </c>
      <c r="J373" s="144" t="str">
        <f>IF(Formulario!F381&lt;&gt;"",IF(Formulario!F381=" "," ",Formulario!F381)," ")</f>
        <v xml:space="preserve"> </v>
      </c>
      <c r="K373" s="144" t="str">
        <f>IF(Formulario!G381&lt;&gt;"",IF(Formulario!G381=" "," ",Formulario!G381)," ")</f>
        <v xml:space="preserve"> </v>
      </c>
      <c r="L373" s="144" t="str">
        <f>IF(Formulario!H381&lt;&gt;"",IF(Formulario!H381=" "," ",Formulario!H381)," ")</f>
        <v xml:space="preserve"> </v>
      </c>
      <c r="M373" s="144" t="str">
        <f>IF(Formulario!I381&lt;&gt;"",IF(Formulario!I381=" "," ",Formulario!I381)," ")</f>
        <v xml:space="preserve"> </v>
      </c>
      <c r="N373" s="145" t="str">
        <f>IF(Formulario!J381&lt;&gt;"",IF(Formulario!J381=" "," ",Formulario!J381),IF(G373=".",".","Falta Fecha"))</f>
        <v>.</v>
      </c>
      <c r="O373" s="155">
        <f>Formulario!L381</f>
        <v>0</v>
      </c>
      <c r="P373" s="146">
        <f>IF(O373=1,"09:00",Formulario!M381)</f>
        <v>0</v>
      </c>
      <c r="Q373" s="146">
        <f>IF(O373=1,"18:30",Formulario!N381)</f>
        <v>0</v>
      </c>
      <c r="R373" s="146" t="str">
        <f>IF(Formulario!O381&lt;&gt;"",IF(Formulario!O381=" ",".",Formulario!O381),".")</f>
        <v>Post Venta</v>
      </c>
      <c r="S373" s="141" t="s">
        <v>131</v>
      </c>
    </row>
    <row r="374" spans="1:19">
      <c r="A374" s="141">
        <f>Formulario!B382</f>
        <v>0</v>
      </c>
      <c r="B374" s="144" t="str">
        <f>IF(G374="."," ",Formulario!D$5)</f>
        <v xml:space="preserve"> </v>
      </c>
      <c r="C374" s="144" t="str">
        <f>IF(G374=".","",Formulario!D$6)</f>
        <v/>
      </c>
      <c r="D374" s="144" t="str">
        <f>IF(H374=".","",Formulario!D$7)</f>
        <v/>
      </c>
      <c r="E374" s="144" t="str">
        <f>IF(G374=".","",Formulario!J$5)</f>
        <v/>
      </c>
      <c r="F374" s="145" t="str">
        <f>IF(G374=".","",Formulario!J$6)</f>
        <v/>
      </c>
      <c r="G374" s="180" t="str">
        <f>IF(Formulario!C382&lt;&gt;"",IF(Formulario!C382=" ","Falta Depto",IF(H374=".","Error En Descripción",Formulario!C382)),IF(H374=".",".","Falta Datos"))</f>
        <v>.</v>
      </c>
      <c r="H374" s="144" t="str">
        <f>IF(Formulario!D382&lt;&gt;"",IF(Formulario!D382=" ",".",Formulario!D382),".")</f>
        <v>.</v>
      </c>
      <c r="I374" s="144" t="str">
        <f>IF(Formulario!E382&lt;&gt;"",IF(Formulario!E382=" "," ",Formulario!E382),IF(G374=".",".","Falta Propietario"))</f>
        <v>.</v>
      </c>
      <c r="J374" s="144" t="str">
        <f>IF(Formulario!F382&lt;&gt;"",IF(Formulario!F382=" "," ",Formulario!F382)," ")</f>
        <v xml:space="preserve"> </v>
      </c>
      <c r="K374" s="144" t="str">
        <f>IF(Formulario!G382&lt;&gt;"",IF(Formulario!G382=" "," ",Formulario!G382)," ")</f>
        <v xml:space="preserve"> </v>
      </c>
      <c r="L374" s="144" t="str">
        <f>IF(Formulario!H382&lt;&gt;"",IF(Formulario!H382=" "," ",Formulario!H382)," ")</f>
        <v xml:space="preserve"> </v>
      </c>
      <c r="M374" s="144" t="str">
        <f>IF(Formulario!I382&lt;&gt;"",IF(Formulario!I382=" "," ",Formulario!I382)," ")</f>
        <v xml:space="preserve"> </v>
      </c>
      <c r="N374" s="145" t="str">
        <f>IF(Formulario!J382&lt;&gt;"",IF(Formulario!J382=" "," ",Formulario!J382),IF(G374=".",".","Falta Fecha"))</f>
        <v>.</v>
      </c>
      <c r="O374" s="155">
        <f>Formulario!L382</f>
        <v>0</v>
      </c>
      <c r="P374" s="146">
        <f>IF(O374=1,"09:00",Formulario!M382)</f>
        <v>0</v>
      </c>
      <c r="Q374" s="146">
        <f>IF(O374=1,"18:30",Formulario!N382)</f>
        <v>0</v>
      </c>
      <c r="R374" s="146" t="str">
        <f>IF(Formulario!O382&lt;&gt;"",IF(Formulario!O382=" ",".",Formulario!O382),".")</f>
        <v>Post Venta</v>
      </c>
      <c r="S374" s="141" t="s">
        <v>131</v>
      </c>
    </row>
    <row r="375" spans="1:19">
      <c r="A375" s="141">
        <f>Formulario!B383</f>
        <v>0</v>
      </c>
      <c r="B375" s="144" t="str">
        <f>IF(G375="."," ",Formulario!D$5)</f>
        <v xml:space="preserve"> </v>
      </c>
      <c r="C375" s="144" t="str">
        <f>IF(G375=".","",Formulario!D$6)</f>
        <v/>
      </c>
      <c r="D375" s="144" t="str">
        <f>IF(H375=".","",Formulario!D$7)</f>
        <v/>
      </c>
      <c r="E375" s="144" t="str">
        <f>IF(G375=".","",Formulario!J$5)</f>
        <v/>
      </c>
      <c r="F375" s="145" t="str">
        <f>IF(G375=".","",Formulario!J$6)</f>
        <v/>
      </c>
      <c r="G375" s="180" t="str">
        <f>IF(Formulario!C383&lt;&gt;"",IF(Formulario!C383=" ","Falta Depto",IF(H375=".","Error En Descripción",Formulario!C383)),IF(H375=".",".","Falta Datos"))</f>
        <v>.</v>
      </c>
      <c r="H375" s="144" t="str">
        <f>IF(Formulario!D383&lt;&gt;"",IF(Formulario!D383=" ",".",Formulario!D383),".")</f>
        <v>.</v>
      </c>
      <c r="I375" s="144" t="str">
        <f>IF(Formulario!E383&lt;&gt;"",IF(Formulario!E383=" "," ",Formulario!E383),IF(G375=".",".","Falta Propietario"))</f>
        <v>.</v>
      </c>
      <c r="J375" s="144" t="str">
        <f>IF(Formulario!F383&lt;&gt;"",IF(Formulario!F383=" "," ",Formulario!F383)," ")</f>
        <v xml:space="preserve"> </v>
      </c>
      <c r="K375" s="144" t="str">
        <f>IF(Formulario!G383&lt;&gt;"",IF(Formulario!G383=" "," ",Formulario!G383)," ")</f>
        <v xml:space="preserve"> </v>
      </c>
      <c r="L375" s="144" t="str">
        <f>IF(Formulario!H383&lt;&gt;"",IF(Formulario!H383=" "," ",Formulario!H383)," ")</f>
        <v xml:space="preserve"> </v>
      </c>
      <c r="M375" s="144" t="str">
        <f>IF(Formulario!I383&lt;&gt;"",IF(Formulario!I383=" "," ",Formulario!I383)," ")</f>
        <v xml:space="preserve"> </v>
      </c>
      <c r="N375" s="145" t="str">
        <f>IF(Formulario!J383&lt;&gt;"",IF(Formulario!J383=" "," ",Formulario!J383),IF(G375=".",".","Falta Fecha"))</f>
        <v>.</v>
      </c>
      <c r="O375" s="155">
        <f>Formulario!L383</f>
        <v>0</v>
      </c>
      <c r="P375" s="146">
        <f>IF(O375=1,"09:00",Formulario!M383)</f>
        <v>0</v>
      </c>
      <c r="Q375" s="146">
        <f>IF(O375=1,"18:30",Formulario!N383)</f>
        <v>0</v>
      </c>
      <c r="R375" s="146" t="str">
        <f>IF(Formulario!O383&lt;&gt;"",IF(Formulario!O383=" ",".",Formulario!O383),".")</f>
        <v>Post Venta</v>
      </c>
      <c r="S375" s="141" t="s">
        <v>131</v>
      </c>
    </row>
    <row r="376" spans="1:19">
      <c r="A376" s="141">
        <f>Formulario!B384</f>
        <v>0</v>
      </c>
      <c r="B376" s="144" t="str">
        <f>IF(G376="."," ",Formulario!D$5)</f>
        <v xml:space="preserve"> </v>
      </c>
      <c r="C376" s="144" t="str">
        <f>IF(G376=".","",Formulario!D$6)</f>
        <v/>
      </c>
      <c r="D376" s="144" t="str">
        <f>IF(H376=".","",Formulario!D$7)</f>
        <v/>
      </c>
      <c r="E376" s="144" t="str">
        <f>IF(G376=".","",Formulario!J$5)</f>
        <v/>
      </c>
      <c r="F376" s="145" t="str">
        <f>IF(G376=".","",Formulario!J$6)</f>
        <v/>
      </c>
      <c r="G376" s="180" t="str">
        <f>IF(Formulario!C384&lt;&gt;"",IF(Formulario!C384=" ","Falta Depto",IF(H376=".","Error En Descripción",Formulario!C384)),IF(H376=".",".","Falta Datos"))</f>
        <v>.</v>
      </c>
      <c r="H376" s="144" t="str">
        <f>IF(Formulario!D384&lt;&gt;"",IF(Formulario!D384=" ",".",Formulario!D384),".")</f>
        <v>.</v>
      </c>
      <c r="I376" s="144" t="str">
        <f>IF(Formulario!E384&lt;&gt;"",IF(Formulario!E384=" "," ",Formulario!E384),IF(G376=".",".","Falta Propietario"))</f>
        <v>.</v>
      </c>
      <c r="J376" s="144" t="str">
        <f>IF(Formulario!F384&lt;&gt;"",IF(Formulario!F384=" "," ",Formulario!F384)," ")</f>
        <v xml:space="preserve"> </v>
      </c>
      <c r="K376" s="144" t="str">
        <f>IF(Formulario!G384&lt;&gt;"",IF(Formulario!G384=" "," ",Formulario!G384)," ")</f>
        <v xml:space="preserve"> </v>
      </c>
      <c r="L376" s="144" t="str">
        <f>IF(Formulario!H384&lt;&gt;"",IF(Formulario!H384=" "," ",Formulario!H384)," ")</f>
        <v xml:space="preserve"> </v>
      </c>
      <c r="M376" s="144" t="str">
        <f>IF(Formulario!I384&lt;&gt;"",IF(Formulario!I384=" "," ",Formulario!I384)," ")</f>
        <v xml:space="preserve"> </v>
      </c>
      <c r="N376" s="145" t="str">
        <f>IF(Formulario!J384&lt;&gt;"",IF(Formulario!J384=" "," ",Formulario!J384),IF(G376=".",".","Falta Fecha"))</f>
        <v>.</v>
      </c>
      <c r="O376" s="155">
        <f>Formulario!L384</f>
        <v>0</v>
      </c>
      <c r="P376" s="146">
        <f>IF(O376=1,"09:00",Formulario!M384)</f>
        <v>0</v>
      </c>
      <c r="Q376" s="146">
        <f>IF(O376=1,"18:30",Formulario!N384)</f>
        <v>0</v>
      </c>
      <c r="R376" s="146" t="str">
        <f>IF(Formulario!O384&lt;&gt;"",IF(Formulario!O384=" ",".",Formulario!O384),".")</f>
        <v>Post Venta</v>
      </c>
      <c r="S376" s="141" t="s">
        <v>131</v>
      </c>
    </row>
    <row r="377" spans="1:19">
      <c r="A377" s="141">
        <f>Formulario!B385</f>
        <v>0</v>
      </c>
      <c r="B377" s="144" t="str">
        <f>IF(G377="."," ",Formulario!D$5)</f>
        <v xml:space="preserve"> </v>
      </c>
      <c r="C377" s="144" t="str">
        <f>IF(G377=".","",Formulario!D$6)</f>
        <v/>
      </c>
      <c r="D377" s="144" t="str">
        <f>IF(H377=".","",Formulario!D$7)</f>
        <v/>
      </c>
      <c r="E377" s="144" t="str">
        <f>IF(G377=".","",Formulario!J$5)</f>
        <v/>
      </c>
      <c r="F377" s="145" t="str">
        <f>IF(G377=".","",Formulario!J$6)</f>
        <v/>
      </c>
      <c r="G377" s="180" t="str">
        <f>IF(Formulario!C385&lt;&gt;"",IF(Formulario!C385=" ","Falta Depto",IF(H377=".","Error En Descripción",Formulario!C385)),IF(H377=".",".","Falta Datos"))</f>
        <v>.</v>
      </c>
      <c r="H377" s="144" t="str">
        <f>IF(Formulario!D385&lt;&gt;"",IF(Formulario!D385=" ",".",Formulario!D385),".")</f>
        <v>.</v>
      </c>
      <c r="I377" s="144" t="str">
        <f>IF(Formulario!E385&lt;&gt;"",IF(Formulario!E385=" "," ",Formulario!E385),IF(G377=".",".","Falta Propietario"))</f>
        <v>.</v>
      </c>
      <c r="J377" s="144" t="str">
        <f>IF(Formulario!F385&lt;&gt;"",IF(Formulario!F385=" "," ",Formulario!F385)," ")</f>
        <v xml:space="preserve"> </v>
      </c>
      <c r="K377" s="144" t="str">
        <f>IF(Formulario!G385&lt;&gt;"",IF(Formulario!G385=" "," ",Formulario!G385)," ")</f>
        <v xml:space="preserve"> </v>
      </c>
      <c r="L377" s="144" t="str">
        <f>IF(Formulario!H385&lt;&gt;"",IF(Formulario!H385=" "," ",Formulario!H385)," ")</f>
        <v xml:space="preserve"> </v>
      </c>
      <c r="M377" s="144" t="str">
        <f>IF(Formulario!I385&lt;&gt;"",IF(Formulario!I385=" "," ",Formulario!I385)," ")</f>
        <v xml:space="preserve"> </v>
      </c>
      <c r="N377" s="145" t="str">
        <f>IF(Formulario!J385&lt;&gt;"",IF(Formulario!J385=" "," ",Formulario!J385),IF(G377=".",".","Falta Fecha"))</f>
        <v>.</v>
      </c>
      <c r="O377" s="155">
        <f>Formulario!L385</f>
        <v>0</v>
      </c>
      <c r="P377" s="146">
        <f>IF(O377=1,"09:00",Formulario!M385)</f>
        <v>0</v>
      </c>
      <c r="Q377" s="146">
        <f>IF(O377=1,"18:30",Formulario!N385)</f>
        <v>0</v>
      </c>
      <c r="R377" s="146" t="str">
        <f>IF(Formulario!O385&lt;&gt;"",IF(Formulario!O385=" ",".",Formulario!O385),".")</f>
        <v>Post Venta</v>
      </c>
      <c r="S377" s="141" t="s">
        <v>131</v>
      </c>
    </row>
    <row r="378" spans="1:19">
      <c r="A378" s="141">
        <f>Formulario!B386</f>
        <v>0</v>
      </c>
      <c r="B378" s="144" t="str">
        <f>IF(G378="."," ",Formulario!D$5)</f>
        <v xml:space="preserve"> </v>
      </c>
      <c r="C378" s="144" t="str">
        <f>IF(G378=".","",Formulario!D$6)</f>
        <v/>
      </c>
      <c r="D378" s="144" t="str">
        <f>IF(H378=".","",Formulario!D$7)</f>
        <v/>
      </c>
      <c r="E378" s="144" t="str">
        <f>IF(G378=".","",Formulario!J$5)</f>
        <v/>
      </c>
      <c r="F378" s="145" t="str">
        <f>IF(G378=".","",Formulario!J$6)</f>
        <v/>
      </c>
      <c r="G378" s="180" t="str">
        <f>IF(Formulario!C386&lt;&gt;"",IF(Formulario!C386=" ","Falta Depto",IF(H378=".","Error En Descripción",Formulario!C386)),IF(H378=".",".","Falta Datos"))</f>
        <v>.</v>
      </c>
      <c r="H378" s="144" t="str">
        <f>IF(Formulario!D386&lt;&gt;"",IF(Formulario!D386=" ",".",Formulario!D386),".")</f>
        <v>.</v>
      </c>
      <c r="I378" s="144" t="str">
        <f>IF(Formulario!E386&lt;&gt;"",IF(Formulario!E386=" "," ",Formulario!E386),IF(G378=".",".","Falta Propietario"))</f>
        <v>.</v>
      </c>
      <c r="J378" s="144" t="str">
        <f>IF(Formulario!F386&lt;&gt;"",IF(Formulario!F386=" "," ",Formulario!F386)," ")</f>
        <v xml:space="preserve"> </v>
      </c>
      <c r="K378" s="144" t="str">
        <f>IF(Formulario!G386&lt;&gt;"",IF(Formulario!G386=" "," ",Formulario!G386)," ")</f>
        <v xml:space="preserve"> </v>
      </c>
      <c r="L378" s="144" t="str">
        <f>IF(Formulario!H386&lt;&gt;"",IF(Formulario!H386=" "," ",Formulario!H386)," ")</f>
        <v xml:space="preserve"> </v>
      </c>
      <c r="M378" s="144" t="str">
        <f>IF(Formulario!I386&lt;&gt;"",IF(Formulario!I386=" "," ",Formulario!I386)," ")</f>
        <v xml:space="preserve"> </v>
      </c>
      <c r="N378" s="145" t="str">
        <f>IF(Formulario!J386&lt;&gt;"",IF(Formulario!J386=" "," ",Formulario!J386),IF(G378=".",".","Falta Fecha"))</f>
        <v>.</v>
      </c>
      <c r="O378" s="155">
        <f>Formulario!L386</f>
        <v>0</v>
      </c>
      <c r="P378" s="146">
        <f>IF(O378=1,"09:00",Formulario!M386)</f>
        <v>0</v>
      </c>
      <c r="Q378" s="146">
        <f>IF(O378=1,"18:30",Formulario!N386)</f>
        <v>0</v>
      </c>
      <c r="R378" s="146" t="str">
        <f>IF(Formulario!O386&lt;&gt;"",IF(Formulario!O386=" ",".",Formulario!O386),".")</f>
        <v>Post Venta</v>
      </c>
      <c r="S378" s="141" t="s">
        <v>131</v>
      </c>
    </row>
    <row r="379" spans="1:19">
      <c r="A379" s="141">
        <f>Formulario!B387</f>
        <v>0</v>
      </c>
      <c r="B379" s="144" t="str">
        <f>IF(G379="."," ",Formulario!D$5)</f>
        <v xml:space="preserve"> </v>
      </c>
      <c r="C379" s="144" t="str">
        <f>IF(G379=".","",Formulario!D$6)</f>
        <v/>
      </c>
      <c r="D379" s="144" t="str">
        <f>IF(H379=".","",Formulario!D$7)</f>
        <v/>
      </c>
      <c r="E379" s="144" t="str">
        <f>IF(G379=".","",Formulario!J$5)</f>
        <v/>
      </c>
      <c r="F379" s="145" t="str">
        <f>IF(G379=".","",Formulario!J$6)</f>
        <v/>
      </c>
      <c r="G379" s="180" t="str">
        <f>IF(Formulario!C387&lt;&gt;"",IF(Formulario!C387=" ","Falta Depto",IF(H379=".","Error En Descripción",Formulario!C387)),IF(H379=".",".","Falta Datos"))</f>
        <v>.</v>
      </c>
      <c r="H379" s="144" t="str">
        <f>IF(Formulario!D387&lt;&gt;"",IF(Formulario!D387=" ",".",Formulario!D387),".")</f>
        <v>.</v>
      </c>
      <c r="I379" s="144" t="str">
        <f>IF(Formulario!E387&lt;&gt;"",IF(Formulario!E387=" "," ",Formulario!E387),IF(G379=".",".","Falta Propietario"))</f>
        <v>.</v>
      </c>
      <c r="J379" s="144" t="str">
        <f>IF(Formulario!F387&lt;&gt;"",IF(Formulario!F387=" "," ",Formulario!F387)," ")</f>
        <v xml:space="preserve"> </v>
      </c>
      <c r="K379" s="144" t="str">
        <f>IF(Formulario!G387&lt;&gt;"",IF(Formulario!G387=" "," ",Formulario!G387)," ")</f>
        <v xml:space="preserve"> </v>
      </c>
      <c r="L379" s="144" t="str">
        <f>IF(Formulario!H387&lt;&gt;"",IF(Formulario!H387=" "," ",Formulario!H387)," ")</f>
        <v xml:space="preserve"> </v>
      </c>
      <c r="M379" s="144" t="str">
        <f>IF(Formulario!I387&lt;&gt;"",IF(Formulario!I387=" "," ",Formulario!I387)," ")</f>
        <v xml:space="preserve"> </v>
      </c>
      <c r="N379" s="145" t="str">
        <f>IF(Formulario!J387&lt;&gt;"",IF(Formulario!J387=" "," ",Formulario!J387),IF(G379=".",".","Falta Fecha"))</f>
        <v>.</v>
      </c>
      <c r="O379" s="155">
        <f>Formulario!L387</f>
        <v>0</v>
      </c>
      <c r="P379" s="146">
        <f>IF(O379=1,"09:00",Formulario!M387)</f>
        <v>0</v>
      </c>
      <c r="Q379" s="146">
        <f>IF(O379=1,"18:30",Formulario!N387)</f>
        <v>0</v>
      </c>
      <c r="R379" s="146" t="str">
        <f>IF(Formulario!O387&lt;&gt;"",IF(Formulario!O387=" ",".",Formulario!O387),".")</f>
        <v>Post Venta</v>
      </c>
      <c r="S379" s="141" t="s">
        <v>131</v>
      </c>
    </row>
    <row r="380" spans="1:19">
      <c r="A380" s="141">
        <f>Formulario!B388</f>
        <v>0</v>
      </c>
      <c r="B380" s="144" t="str">
        <f>IF(G380="."," ",Formulario!D$5)</f>
        <v xml:space="preserve"> </v>
      </c>
      <c r="C380" s="144" t="str">
        <f>IF(G380=".","",Formulario!D$6)</f>
        <v/>
      </c>
      <c r="D380" s="144" t="str">
        <f>IF(H380=".","",Formulario!D$7)</f>
        <v/>
      </c>
      <c r="E380" s="144" t="str">
        <f>IF(G380=".","",Formulario!J$5)</f>
        <v/>
      </c>
      <c r="F380" s="145" t="str">
        <f>IF(G380=".","",Formulario!J$6)</f>
        <v/>
      </c>
      <c r="G380" s="180" t="str">
        <f>IF(Formulario!C388&lt;&gt;"",IF(Formulario!C388=" ","Falta Depto",IF(H380=".","Error En Descripción",Formulario!C388)),IF(H380=".",".","Falta Datos"))</f>
        <v>.</v>
      </c>
      <c r="H380" s="144" t="str">
        <f>IF(Formulario!D388&lt;&gt;"",IF(Formulario!D388=" ",".",Formulario!D388),".")</f>
        <v>.</v>
      </c>
      <c r="I380" s="144" t="str">
        <f>IF(Formulario!E388&lt;&gt;"",IF(Formulario!E388=" "," ",Formulario!E388),IF(G380=".",".","Falta Propietario"))</f>
        <v>.</v>
      </c>
      <c r="J380" s="144" t="str">
        <f>IF(Formulario!F388&lt;&gt;"",IF(Formulario!F388=" "," ",Formulario!F388)," ")</f>
        <v xml:space="preserve"> </v>
      </c>
      <c r="K380" s="144" t="str">
        <f>IF(Formulario!G388&lt;&gt;"",IF(Formulario!G388=" "," ",Formulario!G388)," ")</f>
        <v xml:space="preserve"> </v>
      </c>
      <c r="L380" s="144" t="str">
        <f>IF(Formulario!H388&lt;&gt;"",IF(Formulario!H388=" "," ",Formulario!H388)," ")</f>
        <v xml:space="preserve"> </v>
      </c>
      <c r="M380" s="144" t="str">
        <f>IF(Formulario!I388&lt;&gt;"",IF(Formulario!I388=" "," ",Formulario!I388)," ")</f>
        <v xml:space="preserve"> </v>
      </c>
      <c r="N380" s="145" t="str">
        <f>IF(Formulario!J388&lt;&gt;"",IF(Formulario!J388=" "," ",Formulario!J388),IF(G380=".",".","Falta Fecha"))</f>
        <v>.</v>
      </c>
      <c r="O380" s="155">
        <f>Formulario!L388</f>
        <v>0</v>
      </c>
      <c r="P380" s="146">
        <f>IF(O380=1,"09:00",Formulario!M388)</f>
        <v>0</v>
      </c>
      <c r="Q380" s="146">
        <f>IF(O380=1,"18:30",Formulario!N388)</f>
        <v>0</v>
      </c>
      <c r="R380" s="146" t="str">
        <f>IF(Formulario!O388&lt;&gt;"",IF(Formulario!O388=" ",".",Formulario!O388),".")</f>
        <v>Post Venta</v>
      </c>
      <c r="S380" s="141" t="s">
        <v>131</v>
      </c>
    </row>
    <row r="381" spans="1:19">
      <c r="A381" s="141">
        <f>Formulario!B389</f>
        <v>0</v>
      </c>
      <c r="B381" s="144" t="str">
        <f>IF(G381="."," ",Formulario!D$5)</f>
        <v xml:space="preserve"> </v>
      </c>
      <c r="C381" s="144" t="str">
        <f>IF(G381=".","",Formulario!D$6)</f>
        <v/>
      </c>
      <c r="D381" s="144" t="str">
        <f>IF(H381=".","",Formulario!D$7)</f>
        <v/>
      </c>
      <c r="E381" s="144" t="str">
        <f>IF(G381=".","",Formulario!J$5)</f>
        <v/>
      </c>
      <c r="F381" s="145" t="str">
        <f>IF(G381=".","",Formulario!J$6)</f>
        <v/>
      </c>
      <c r="G381" s="180" t="str">
        <f>IF(Formulario!C389&lt;&gt;"",IF(Formulario!C389=" ","Falta Depto",IF(H381=".","Error En Descripción",Formulario!C389)),IF(H381=".",".","Falta Datos"))</f>
        <v>.</v>
      </c>
      <c r="H381" s="144" t="str">
        <f>IF(Formulario!D389&lt;&gt;"",IF(Formulario!D389=" ",".",Formulario!D389),".")</f>
        <v>.</v>
      </c>
      <c r="I381" s="144" t="str">
        <f>IF(Formulario!E389&lt;&gt;"",IF(Formulario!E389=" "," ",Formulario!E389),IF(G381=".",".","Falta Propietario"))</f>
        <v>.</v>
      </c>
      <c r="J381" s="144" t="str">
        <f>IF(Formulario!F389&lt;&gt;"",IF(Formulario!F389=" "," ",Formulario!F389)," ")</f>
        <v xml:space="preserve"> </v>
      </c>
      <c r="K381" s="144" t="str">
        <f>IF(Formulario!G389&lt;&gt;"",IF(Formulario!G389=" "," ",Formulario!G389)," ")</f>
        <v xml:space="preserve"> </v>
      </c>
      <c r="L381" s="144" t="str">
        <f>IF(Formulario!H389&lt;&gt;"",IF(Formulario!H389=" "," ",Formulario!H389)," ")</f>
        <v xml:space="preserve"> </v>
      </c>
      <c r="M381" s="144" t="str">
        <f>IF(Formulario!I389&lt;&gt;"",IF(Formulario!I389=" "," ",Formulario!I389)," ")</f>
        <v xml:space="preserve"> </v>
      </c>
      <c r="N381" s="145" t="str">
        <f>IF(Formulario!J389&lt;&gt;"",IF(Formulario!J389=" "," ",Formulario!J389),IF(G381=".",".","Falta Fecha"))</f>
        <v>.</v>
      </c>
      <c r="O381" s="155">
        <f>Formulario!L389</f>
        <v>0</v>
      </c>
      <c r="P381" s="146">
        <f>IF(O381=1,"09:00",Formulario!M389)</f>
        <v>0</v>
      </c>
      <c r="Q381" s="146">
        <f>IF(O381=1,"18:30",Formulario!N389)</f>
        <v>0</v>
      </c>
      <c r="R381" s="146" t="str">
        <f>IF(Formulario!O389&lt;&gt;"",IF(Formulario!O389=" ",".",Formulario!O389),".")</f>
        <v>Post Venta</v>
      </c>
      <c r="S381" s="141" t="s">
        <v>131</v>
      </c>
    </row>
    <row r="382" spans="1:19">
      <c r="A382" s="141">
        <f>Formulario!B390</f>
        <v>0</v>
      </c>
      <c r="B382" s="144" t="str">
        <f>IF(G382="."," ",Formulario!D$5)</f>
        <v xml:space="preserve"> </v>
      </c>
      <c r="C382" s="144" t="str">
        <f>IF(G382=".","",Formulario!D$6)</f>
        <v/>
      </c>
      <c r="D382" s="144" t="str">
        <f>IF(H382=".","",Formulario!D$7)</f>
        <v/>
      </c>
      <c r="E382" s="144" t="str">
        <f>IF(G382=".","",Formulario!J$5)</f>
        <v/>
      </c>
      <c r="F382" s="145" t="str">
        <f>IF(G382=".","",Formulario!J$6)</f>
        <v/>
      </c>
      <c r="G382" s="180" t="str">
        <f>IF(Formulario!C390&lt;&gt;"",IF(Formulario!C390=" ","Falta Depto",IF(H382=".","Error En Descripción",Formulario!C390)),IF(H382=".",".","Falta Datos"))</f>
        <v>.</v>
      </c>
      <c r="H382" s="144" t="str">
        <f>IF(Formulario!D390&lt;&gt;"",IF(Formulario!D390=" ",".",Formulario!D390),".")</f>
        <v>.</v>
      </c>
      <c r="I382" s="144" t="str">
        <f>IF(Formulario!E390&lt;&gt;"",IF(Formulario!E390=" "," ",Formulario!E390),IF(G382=".",".","Falta Propietario"))</f>
        <v>.</v>
      </c>
      <c r="J382" s="144" t="str">
        <f>IF(Formulario!F390&lt;&gt;"",IF(Formulario!F390=" "," ",Formulario!F390)," ")</f>
        <v xml:space="preserve"> </v>
      </c>
      <c r="K382" s="144" t="str">
        <f>IF(Formulario!G390&lt;&gt;"",IF(Formulario!G390=" "," ",Formulario!G390)," ")</f>
        <v xml:space="preserve"> </v>
      </c>
      <c r="L382" s="144" t="str">
        <f>IF(Formulario!H390&lt;&gt;"",IF(Formulario!H390=" "," ",Formulario!H390)," ")</f>
        <v xml:space="preserve"> </v>
      </c>
      <c r="M382" s="144" t="str">
        <f>IF(Formulario!I390&lt;&gt;"",IF(Formulario!I390=" "," ",Formulario!I390)," ")</f>
        <v xml:space="preserve"> </v>
      </c>
      <c r="N382" s="145" t="str">
        <f>IF(Formulario!J390&lt;&gt;"",IF(Formulario!J390=" "," ",Formulario!J390),IF(G382=".",".","Falta Fecha"))</f>
        <v>.</v>
      </c>
      <c r="O382" s="155">
        <f>Formulario!L390</f>
        <v>0</v>
      </c>
      <c r="P382" s="146">
        <f>IF(O382=1,"09:00",Formulario!M390)</f>
        <v>0</v>
      </c>
      <c r="Q382" s="146">
        <f>IF(O382=1,"18:30",Formulario!N390)</f>
        <v>0</v>
      </c>
      <c r="R382" s="146" t="str">
        <f>IF(Formulario!O390&lt;&gt;"",IF(Formulario!O390=" ",".",Formulario!O390),".")</f>
        <v>Post Venta</v>
      </c>
      <c r="S382" s="141" t="s">
        <v>131</v>
      </c>
    </row>
    <row r="383" spans="1:19">
      <c r="A383" s="141">
        <f>Formulario!B391</f>
        <v>0</v>
      </c>
      <c r="B383" s="144" t="str">
        <f>IF(G383="."," ",Formulario!D$5)</f>
        <v xml:space="preserve"> </v>
      </c>
      <c r="C383" s="144" t="str">
        <f>IF(G383=".","",Formulario!D$6)</f>
        <v/>
      </c>
      <c r="D383" s="144" t="str">
        <f>IF(H383=".","",Formulario!D$7)</f>
        <v/>
      </c>
      <c r="E383" s="144" t="str">
        <f>IF(G383=".","",Formulario!J$5)</f>
        <v/>
      </c>
      <c r="F383" s="145" t="str">
        <f>IF(G383=".","",Formulario!J$6)</f>
        <v/>
      </c>
      <c r="G383" s="180" t="str">
        <f>IF(Formulario!C391&lt;&gt;"",IF(Formulario!C391=" ","Falta Depto",IF(H383=".","Error En Descripción",Formulario!C391)),IF(H383=".",".","Falta Datos"))</f>
        <v>.</v>
      </c>
      <c r="H383" s="144" t="str">
        <f>IF(Formulario!D391&lt;&gt;"",IF(Formulario!D391=" ",".",Formulario!D391),".")</f>
        <v>.</v>
      </c>
      <c r="I383" s="144" t="str">
        <f>IF(Formulario!E391&lt;&gt;"",IF(Formulario!E391=" "," ",Formulario!E391),IF(G383=".",".","Falta Propietario"))</f>
        <v>.</v>
      </c>
      <c r="J383" s="144" t="str">
        <f>IF(Formulario!F391&lt;&gt;"",IF(Formulario!F391=" "," ",Formulario!F391)," ")</f>
        <v xml:space="preserve"> </v>
      </c>
      <c r="K383" s="144" t="str">
        <f>IF(Formulario!G391&lt;&gt;"",IF(Formulario!G391=" "," ",Formulario!G391)," ")</f>
        <v xml:space="preserve"> </v>
      </c>
      <c r="L383" s="144" t="str">
        <f>IF(Formulario!H391&lt;&gt;"",IF(Formulario!H391=" "," ",Formulario!H391)," ")</f>
        <v xml:space="preserve"> </v>
      </c>
      <c r="M383" s="144" t="str">
        <f>IF(Formulario!I391&lt;&gt;"",IF(Formulario!I391=" "," ",Formulario!I391)," ")</f>
        <v xml:space="preserve"> </v>
      </c>
      <c r="N383" s="145" t="str">
        <f>IF(Formulario!J391&lt;&gt;"",IF(Formulario!J391=" "," ",Formulario!J391),IF(G383=".",".","Falta Fecha"))</f>
        <v>.</v>
      </c>
      <c r="O383" s="155">
        <f>Formulario!L391</f>
        <v>0</v>
      </c>
      <c r="P383" s="146">
        <f>IF(O383=1,"09:00",Formulario!M391)</f>
        <v>0</v>
      </c>
      <c r="Q383" s="146">
        <f>IF(O383=1,"18:30",Formulario!N391)</f>
        <v>0</v>
      </c>
      <c r="R383" s="146" t="str">
        <f>IF(Formulario!O391&lt;&gt;"",IF(Formulario!O391=" ",".",Formulario!O391),".")</f>
        <v>Post Venta</v>
      </c>
      <c r="S383" s="141" t="s">
        <v>131</v>
      </c>
    </row>
    <row r="384" spans="1:19">
      <c r="A384" s="141">
        <f>Formulario!B392</f>
        <v>0</v>
      </c>
      <c r="B384" s="144" t="str">
        <f>IF(G384="."," ",Formulario!D$5)</f>
        <v xml:space="preserve"> </v>
      </c>
      <c r="C384" s="144" t="str">
        <f>IF(G384=".","",Formulario!D$6)</f>
        <v/>
      </c>
      <c r="D384" s="144" t="str">
        <f>IF(H384=".","",Formulario!D$7)</f>
        <v/>
      </c>
      <c r="E384" s="144" t="str">
        <f>IF(G384=".","",Formulario!J$5)</f>
        <v/>
      </c>
      <c r="F384" s="145" t="str">
        <f>IF(G384=".","",Formulario!J$6)</f>
        <v/>
      </c>
      <c r="G384" s="180" t="str">
        <f>IF(Formulario!C392&lt;&gt;"",IF(Formulario!C392=" ","Falta Depto",IF(H384=".","Error En Descripción",Formulario!C392)),IF(H384=".",".","Falta Datos"))</f>
        <v>.</v>
      </c>
      <c r="H384" s="144" t="str">
        <f>IF(Formulario!D392&lt;&gt;"",IF(Formulario!D392=" ",".",Formulario!D392),".")</f>
        <v>.</v>
      </c>
      <c r="I384" s="144" t="str">
        <f>IF(Formulario!E392&lt;&gt;"",IF(Formulario!E392=" "," ",Formulario!E392),IF(G384=".",".","Falta Propietario"))</f>
        <v>.</v>
      </c>
      <c r="J384" s="144" t="str">
        <f>IF(Formulario!F392&lt;&gt;"",IF(Formulario!F392=" "," ",Formulario!F392)," ")</f>
        <v xml:space="preserve"> </v>
      </c>
      <c r="K384" s="144" t="str">
        <f>IF(Formulario!G392&lt;&gt;"",IF(Formulario!G392=" "," ",Formulario!G392)," ")</f>
        <v xml:space="preserve"> </v>
      </c>
      <c r="L384" s="144" t="str">
        <f>IF(Formulario!H392&lt;&gt;"",IF(Formulario!H392=" "," ",Formulario!H392)," ")</f>
        <v xml:space="preserve"> </v>
      </c>
      <c r="M384" s="144" t="str">
        <f>IF(Formulario!I392&lt;&gt;"",IF(Formulario!I392=" "," ",Formulario!I392)," ")</f>
        <v xml:space="preserve"> </v>
      </c>
      <c r="N384" s="145" t="str">
        <f>IF(Formulario!J392&lt;&gt;"",IF(Formulario!J392=" "," ",Formulario!J392),IF(G384=".",".","Falta Fecha"))</f>
        <v>.</v>
      </c>
      <c r="O384" s="155">
        <f>Formulario!L392</f>
        <v>0</v>
      </c>
      <c r="P384" s="146">
        <f>IF(O384=1,"09:00",Formulario!M392)</f>
        <v>0</v>
      </c>
      <c r="Q384" s="146">
        <f>IF(O384=1,"18:30",Formulario!N392)</f>
        <v>0</v>
      </c>
      <c r="R384" s="146" t="str">
        <f>IF(Formulario!O392&lt;&gt;"",IF(Formulario!O392=" ",".",Formulario!O392),".")</f>
        <v>Post Venta</v>
      </c>
      <c r="S384" s="141" t="s">
        <v>131</v>
      </c>
    </row>
    <row r="385" spans="1:19">
      <c r="A385" s="141">
        <f>Formulario!B393</f>
        <v>0</v>
      </c>
      <c r="B385" s="144" t="str">
        <f>IF(G385="."," ",Formulario!D$5)</f>
        <v xml:space="preserve"> </v>
      </c>
      <c r="C385" s="144" t="str">
        <f>IF(G385=".","",Formulario!D$6)</f>
        <v/>
      </c>
      <c r="D385" s="144" t="str">
        <f>IF(H385=".","",Formulario!D$7)</f>
        <v/>
      </c>
      <c r="E385" s="144" t="str">
        <f>IF(G385=".","",Formulario!J$5)</f>
        <v/>
      </c>
      <c r="F385" s="145" t="str">
        <f>IF(G385=".","",Formulario!J$6)</f>
        <v/>
      </c>
      <c r="G385" s="180" t="str">
        <f>IF(Formulario!C393&lt;&gt;"",IF(Formulario!C393=" ","Falta Depto",IF(H385=".","Error En Descripción",Formulario!C393)),IF(H385=".",".","Falta Datos"))</f>
        <v>.</v>
      </c>
      <c r="H385" s="144" t="str">
        <f>IF(Formulario!D393&lt;&gt;"",IF(Formulario!D393=" ",".",Formulario!D393),".")</f>
        <v>.</v>
      </c>
      <c r="I385" s="144" t="str">
        <f>IF(Formulario!E393&lt;&gt;"",IF(Formulario!E393=" "," ",Formulario!E393),IF(G385=".",".","Falta Propietario"))</f>
        <v>.</v>
      </c>
      <c r="J385" s="144" t="str">
        <f>IF(Formulario!F393&lt;&gt;"",IF(Formulario!F393=" "," ",Formulario!F393)," ")</f>
        <v xml:space="preserve"> </v>
      </c>
      <c r="K385" s="144" t="str">
        <f>IF(Formulario!G393&lt;&gt;"",IF(Formulario!G393=" "," ",Formulario!G393)," ")</f>
        <v xml:space="preserve"> </v>
      </c>
      <c r="L385" s="144" t="str">
        <f>IF(Formulario!H393&lt;&gt;"",IF(Formulario!H393=" "," ",Formulario!H393)," ")</f>
        <v xml:space="preserve"> </v>
      </c>
      <c r="M385" s="144" t="str">
        <f>IF(Formulario!I393&lt;&gt;"",IF(Formulario!I393=" "," ",Formulario!I393)," ")</f>
        <v xml:space="preserve"> </v>
      </c>
      <c r="N385" s="145" t="str">
        <f>IF(Formulario!J393&lt;&gt;"",IF(Formulario!J393=" "," ",Formulario!J393),IF(G385=".",".","Falta Fecha"))</f>
        <v>.</v>
      </c>
      <c r="O385" s="155">
        <f>Formulario!L393</f>
        <v>0</v>
      </c>
      <c r="P385" s="146">
        <f>IF(O385=1,"09:00",Formulario!M393)</f>
        <v>0</v>
      </c>
      <c r="Q385" s="146">
        <f>IF(O385=1,"18:30",Formulario!N393)</f>
        <v>0</v>
      </c>
      <c r="R385" s="146" t="str">
        <f>IF(Formulario!O393&lt;&gt;"",IF(Formulario!O393=" ",".",Formulario!O393),".")</f>
        <v>Post Venta</v>
      </c>
      <c r="S385" s="141" t="s">
        <v>131</v>
      </c>
    </row>
    <row r="386" spans="1:19">
      <c r="A386" s="141">
        <f>Formulario!B394</f>
        <v>0</v>
      </c>
      <c r="B386" s="144" t="str">
        <f>IF(G386="."," ",Formulario!D$5)</f>
        <v xml:space="preserve"> </v>
      </c>
      <c r="C386" s="144" t="str">
        <f>IF(G386=".","",Formulario!D$6)</f>
        <v/>
      </c>
      <c r="D386" s="144" t="str">
        <f>IF(H386=".","",Formulario!D$7)</f>
        <v/>
      </c>
      <c r="E386" s="144" t="str">
        <f>IF(G386=".","",Formulario!J$5)</f>
        <v/>
      </c>
      <c r="F386" s="145" t="str">
        <f>IF(G386=".","",Formulario!J$6)</f>
        <v/>
      </c>
      <c r="G386" s="180" t="str">
        <f>IF(Formulario!C394&lt;&gt;"",IF(Formulario!C394=" ","Falta Depto",IF(H386=".","Error En Descripción",Formulario!C394)),IF(H386=".",".","Falta Datos"))</f>
        <v>.</v>
      </c>
      <c r="H386" s="144" t="str">
        <f>IF(Formulario!D394&lt;&gt;"",IF(Formulario!D394=" ",".",Formulario!D394),".")</f>
        <v>.</v>
      </c>
      <c r="I386" s="144" t="str">
        <f>IF(Formulario!E394&lt;&gt;"",IF(Formulario!E394=" "," ",Formulario!E394),IF(G386=".",".","Falta Propietario"))</f>
        <v>.</v>
      </c>
      <c r="J386" s="144" t="str">
        <f>IF(Formulario!F394&lt;&gt;"",IF(Formulario!F394=" "," ",Formulario!F394)," ")</f>
        <v xml:space="preserve"> </v>
      </c>
      <c r="K386" s="144" t="str">
        <f>IF(Formulario!G394&lt;&gt;"",IF(Formulario!G394=" "," ",Formulario!G394)," ")</f>
        <v xml:space="preserve"> </v>
      </c>
      <c r="L386" s="144" t="str">
        <f>IF(Formulario!H394&lt;&gt;"",IF(Formulario!H394=" "," ",Formulario!H394)," ")</f>
        <v xml:space="preserve"> </v>
      </c>
      <c r="M386" s="144" t="str">
        <f>IF(Formulario!I394&lt;&gt;"",IF(Formulario!I394=" "," ",Formulario!I394)," ")</f>
        <v xml:space="preserve"> </v>
      </c>
      <c r="N386" s="145" t="str">
        <f>IF(Formulario!J394&lt;&gt;"",IF(Formulario!J394=" "," ",Formulario!J394),IF(G386=".",".","Falta Fecha"))</f>
        <v>.</v>
      </c>
      <c r="O386" s="155">
        <f>Formulario!L394</f>
        <v>0</v>
      </c>
      <c r="P386" s="146">
        <f>IF(O386=1,"09:00",Formulario!M394)</f>
        <v>0</v>
      </c>
      <c r="Q386" s="146">
        <f>IF(O386=1,"18:30",Formulario!N394)</f>
        <v>0</v>
      </c>
      <c r="R386" s="146" t="str">
        <f>IF(Formulario!O394&lt;&gt;"",IF(Formulario!O394=" ",".",Formulario!O394),".")</f>
        <v>Post Venta</v>
      </c>
      <c r="S386" s="141" t="s">
        <v>131</v>
      </c>
    </row>
    <row r="387" spans="1:19">
      <c r="A387" s="141">
        <f>Formulario!B395</f>
        <v>0</v>
      </c>
      <c r="B387" s="144" t="str">
        <f>IF(G387="."," ",Formulario!D$5)</f>
        <v xml:space="preserve"> </v>
      </c>
      <c r="C387" s="144" t="str">
        <f>IF(G387=".","",Formulario!D$6)</f>
        <v/>
      </c>
      <c r="D387" s="144" t="str">
        <f>IF(H387=".","",Formulario!D$7)</f>
        <v/>
      </c>
      <c r="E387" s="144" t="str">
        <f>IF(G387=".","",Formulario!J$5)</f>
        <v/>
      </c>
      <c r="F387" s="145" t="str">
        <f>IF(G387=".","",Formulario!J$6)</f>
        <v/>
      </c>
      <c r="G387" s="180" t="str">
        <f>IF(Formulario!C395&lt;&gt;"",IF(Formulario!C395=" ","Falta Depto",IF(H387=".","Error En Descripción",Formulario!C395)),IF(H387=".",".","Falta Datos"))</f>
        <v>.</v>
      </c>
      <c r="H387" s="144" t="str">
        <f>IF(Formulario!D395&lt;&gt;"",IF(Formulario!D395=" ",".",Formulario!D395),".")</f>
        <v>.</v>
      </c>
      <c r="I387" s="144" t="str">
        <f>IF(Formulario!E395&lt;&gt;"",IF(Formulario!E395=" "," ",Formulario!E395),IF(G387=".",".","Falta Propietario"))</f>
        <v>.</v>
      </c>
      <c r="J387" s="144" t="str">
        <f>IF(Formulario!F395&lt;&gt;"",IF(Formulario!F395=" "," ",Formulario!F395)," ")</f>
        <v xml:space="preserve"> </v>
      </c>
      <c r="K387" s="144" t="str">
        <f>IF(Formulario!G395&lt;&gt;"",IF(Formulario!G395=" "," ",Formulario!G395)," ")</f>
        <v xml:space="preserve"> </v>
      </c>
      <c r="L387" s="144" t="str">
        <f>IF(Formulario!H395&lt;&gt;"",IF(Formulario!H395=" "," ",Formulario!H395)," ")</f>
        <v xml:space="preserve"> </v>
      </c>
      <c r="M387" s="144" t="str">
        <f>IF(Formulario!I395&lt;&gt;"",IF(Formulario!I395=" "," ",Formulario!I395)," ")</f>
        <v xml:space="preserve"> </v>
      </c>
      <c r="N387" s="145" t="str">
        <f>IF(Formulario!J395&lt;&gt;"",IF(Formulario!J395=" "," ",Formulario!J395),IF(G387=".",".","Falta Fecha"))</f>
        <v>.</v>
      </c>
      <c r="O387" s="155">
        <f>Formulario!L395</f>
        <v>0</v>
      </c>
      <c r="P387" s="146">
        <f>IF(O387=1,"09:00",Formulario!M395)</f>
        <v>0</v>
      </c>
      <c r="Q387" s="146">
        <f>IF(O387=1,"18:30",Formulario!N395)</f>
        <v>0</v>
      </c>
      <c r="R387" s="146" t="str">
        <f>IF(Formulario!O395&lt;&gt;"",IF(Formulario!O395=" ",".",Formulario!O395),".")</f>
        <v>Post Venta</v>
      </c>
      <c r="S387" s="141" t="s">
        <v>131</v>
      </c>
    </row>
    <row r="388" spans="1:19">
      <c r="A388" s="141">
        <f>Formulario!B396</f>
        <v>0</v>
      </c>
      <c r="B388" s="144" t="str">
        <f>IF(G388="."," ",Formulario!D$5)</f>
        <v xml:space="preserve"> </v>
      </c>
      <c r="C388" s="144" t="str">
        <f>IF(G388=".","",Formulario!D$6)</f>
        <v/>
      </c>
      <c r="D388" s="144" t="str">
        <f>IF(H388=".","",Formulario!D$7)</f>
        <v/>
      </c>
      <c r="E388" s="144" t="str">
        <f>IF(G388=".","",Formulario!J$5)</f>
        <v/>
      </c>
      <c r="F388" s="145" t="str">
        <f>IF(G388=".","",Formulario!J$6)</f>
        <v/>
      </c>
      <c r="G388" s="180" t="str">
        <f>IF(Formulario!C396&lt;&gt;"",IF(Formulario!C396=" ","Falta Depto",IF(H388=".","Error En Descripción",Formulario!C396)),IF(H388=".",".","Falta Datos"))</f>
        <v>.</v>
      </c>
      <c r="H388" s="144" t="str">
        <f>IF(Formulario!D396&lt;&gt;"",IF(Formulario!D396=" ",".",Formulario!D396),".")</f>
        <v>.</v>
      </c>
      <c r="I388" s="144" t="str">
        <f>IF(Formulario!E396&lt;&gt;"",IF(Formulario!E396=" "," ",Formulario!E396),IF(G388=".",".","Falta Propietario"))</f>
        <v>.</v>
      </c>
      <c r="J388" s="144" t="str">
        <f>IF(Formulario!F396&lt;&gt;"",IF(Formulario!F396=" "," ",Formulario!F396)," ")</f>
        <v xml:space="preserve"> </v>
      </c>
      <c r="K388" s="144" t="str">
        <f>IF(Formulario!G396&lt;&gt;"",IF(Formulario!G396=" "," ",Formulario!G396)," ")</f>
        <v xml:space="preserve"> </v>
      </c>
      <c r="L388" s="144" t="str">
        <f>IF(Formulario!H396&lt;&gt;"",IF(Formulario!H396=" "," ",Formulario!H396)," ")</f>
        <v xml:space="preserve"> </v>
      </c>
      <c r="M388" s="144" t="str">
        <f>IF(Formulario!I396&lt;&gt;"",IF(Formulario!I396=" "," ",Formulario!I396)," ")</f>
        <v xml:space="preserve"> </v>
      </c>
      <c r="N388" s="145" t="str">
        <f>IF(Formulario!J396&lt;&gt;"",IF(Formulario!J396=" "," ",Formulario!J396),IF(G388=".",".","Falta Fecha"))</f>
        <v>.</v>
      </c>
      <c r="O388" s="155">
        <f>Formulario!L396</f>
        <v>0</v>
      </c>
      <c r="P388" s="146">
        <f>IF(O388=1,"09:00",Formulario!M396)</f>
        <v>0</v>
      </c>
      <c r="Q388" s="146">
        <f>IF(O388=1,"18:30",Formulario!N396)</f>
        <v>0</v>
      </c>
      <c r="R388" s="146" t="str">
        <f>IF(Formulario!O396&lt;&gt;"",IF(Formulario!O396=" ",".",Formulario!O396),".")</f>
        <v>Post Venta</v>
      </c>
      <c r="S388" s="141" t="s">
        <v>131</v>
      </c>
    </row>
    <row r="389" spans="1:19">
      <c r="A389" s="141">
        <f>Formulario!B397</f>
        <v>0</v>
      </c>
      <c r="B389" s="144" t="str">
        <f>IF(G389="."," ",Formulario!D$5)</f>
        <v xml:space="preserve"> </v>
      </c>
      <c r="C389" s="144" t="str">
        <f>IF(G389=".","",Formulario!D$6)</f>
        <v/>
      </c>
      <c r="D389" s="144" t="str">
        <f>IF(H389=".","",Formulario!D$7)</f>
        <v/>
      </c>
      <c r="E389" s="144" t="str">
        <f>IF(G389=".","",Formulario!J$5)</f>
        <v/>
      </c>
      <c r="F389" s="145" t="str">
        <f>IF(G389=".","",Formulario!J$6)</f>
        <v/>
      </c>
      <c r="G389" s="180" t="str">
        <f>IF(Formulario!C397&lt;&gt;"",IF(Formulario!C397=" ","Falta Depto",IF(H389=".","Error En Descripción",Formulario!C397)),IF(H389=".",".","Falta Datos"))</f>
        <v>.</v>
      </c>
      <c r="H389" s="144" t="str">
        <f>IF(Formulario!D397&lt;&gt;"",IF(Formulario!D397=" ",".",Formulario!D397),".")</f>
        <v>.</v>
      </c>
      <c r="I389" s="144" t="str">
        <f>IF(Formulario!E397&lt;&gt;"",IF(Formulario!E397=" "," ",Formulario!E397),IF(G389=".",".","Falta Propietario"))</f>
        <v>.</v>
      </c>
      <c r="J389" s="144" t="str">
        <f>IF(Formulario!F397&lt;&gt;"",IF(Formulario!F397=" "," ",Formulario!F397)," ")</f>
        <v xml:space="preserve"> </v>
      </c>
      <c r="K389" s="144" t="str">
        <f>IF(Formulario!G397&lt;&gt;"",IF(Formulario!G397=" "," ",Formulario!G397)," ")</f>
        <v xml:space="preserve"> </v>
      </c>
      <c r="L389" s="144" t="str">
        <f>IF(Formulario!H397&lt;&gt;"",IF(Formulario!H397=" "," ",Formulario!H397)," ")</f>
        <v xml:space="preserve"> </v>
      </c>
      <c r="M389" s="144" t="str">
        <f>IF(Formulario!I397&lt;&gt;"",IF(Formulario!I397=" "," ",Formulario!I397)," ")</f>
        <v xml:space="preserve"> </v>
      </c>
      <c r="N389" s="145" t="str">
        <f>IF(Formulario!J397&lt;&gt;"",IF(Formulario!J397=" "," ",Formulario!J397),IF(G389=".",".","Falta Fecha"))</f>
        <v>.</v>
      </c>
      <c r="O389" s="155">
        <f>Formulario!L397</f>
        <v>0</v>
      </c>
      <c r="P389" s="146">
        <f>IF(O389=1,"09:00",Formulario!M397)</f>
        <v>0</v>
      </c>
      <c r="Q389" s="146">
        <f>IF(O389=1,"18:30",Formulario!N397)</f>
        <v>0</v>
      </c>
      <c r="R389" s="146" t="str">
        <f>IF(Formulario!O397&lt;&gt;"",IF(Formulario!O397=" ",".",Formulario!O397),".")</f>
        <v>Post Venta</v>
      </c>
      <c r="S389" s="141" t="s">
        <v>131</v>
      </c>
    </row>
    <row r="390" spans="1:19">
      <c r="A390" s="141">
        <f>Formulario!B398</f>
        <v>0</v>
      </c>
      <c r="B390" s="144" t="str">
        <f>IF(G390="."," ",Formulario!D$5)</f>
        <v xml:space="preserve"> </v>
      </c>
      <c r="C390" s="144" t="str">
        <f>IF(G390=".","",Formulario!D$6)</f>
        <v/>
      </c>
      <c r="D390" s="144" t="str">
        <f>IF(H390=".","",Formulario!D$7)</f>
        <v/>
      </c>
      <c r="E390" s="144" t="str">
        <f>IF(G390=".","",Formulario!J$5)</f>
        <v/>
      </c>
      <c r="F390" s="145" t="str">
        <f>IF(G390=".","",Formulario!J$6)</f>
        <v/>
      </c>
      <c r="G390" s="180" t="str">
        <f>IF(Formulario!C398&lt;&gt;"",IF(Formulario!C398=" ","Falta Depto",IF(H390=".","Error En Descripción",Formulario!C398)),IF(H390=".",".","Falta Datos"))</f>
        <v>.</v>
      </c>
      <c r="H390" s="144" t="str">
        <f>IF(Formulario!D398&lt;&gt;"",IF(Formulario!D398=" ",".",Formulario!D398),".")</f>
        <v>.</v>
      </c>
      <c r="I390" s="144" t="str">
        <f>IF(Formulario!E398&lt;&gt;"",IF(Formulario!E398=" "," ",Formulario!E398),IF(G390=".",".","Falta Propietario"))</f>
        <v>.</v>
      </c>
      <c r="J390" s="144" t="str">
        <f>IF(Formulario!F398&lt;&gt;"",IF(Formulario!F398=" "," ",Formulario!F398)," ")</f>
        <v xml:space="preserve"> </v>
      </c>
      <c r="K390" s="144" t="str">
        <f>IF(Formulario!G398&lt;&gt;"",IF(Formulario!G398=" "," ",Formulario!G398)," ")</f>
        <v xml:space="preserve"> </v>
      </c>
      <c r="L390" s="144" t="str">
        <f>IF(Formulario!H398&lt;&gt;"",IF(Formulario!H398=" "," ",Formulario!H398)," ")</f>
        <v xml:space="preserve"> </v>
      </c>
      <c r="M390" s="144" t="str">
        <f>IF(Formulario!I398&lt;&gt;"",IF(Formulario!I398=" "," ",Formulario!I398)," ")</f>
        <v xml:space="preserve"> </v>
      </c>
      <c r="N390" s="145" t="str">
        <f>IF(Formulario!J398&lt;&gt;"",IF(Formulario!J398=" "," ",Formulario!J398),IF(G390=".",".","Falta Fecha"))</f>
        <v>.</v>
      </c>
      <c r="O390" s="155">
        <f>Formulario!L398</f>
        <v>0</v>
      </c>
      <c r="P390" s="146">
        <f>IF(O390=1,"09:00",Formulario!M398)</f>
        <v>0</v>
      </c>
      <c r="Q390" s="146">
        <f>IF(O390=1,"18:30",Formulario!N398)</f>
        <v>0</v>
      </c>
      <c r="R390" s="146" t="str">
        <f>IF(Formulario!O398&lt;&gt;"",IF(Formulario!O398=" ",".",Formulario!O398),".")</f>
        <v>Post Venta</v>
      </c>
      <c r="S390" s="141" t="s">
        <v>131</v>
      </c>
    </row>
    <row r="391" spans="1:19">
      <c r="A391" s="141">
        <f>Formulario!B399</f>
        <v>0</v>
      </c>
      <c r="B391" s="144" t="str">
        <f>IF(G391="."," ",Formulario!D$5)</f>
        <v xml:space="preserve"> </v>
      </c>
      <c r="C391" s="144" t="str">
        <f>IF(G391=".","",Formulario!D$6)</f>
        <v/>
      </c>
      <c r="D391" s="144" t="str">
        <f>IF(H391=".","",Formulario!D$7)</f>
        <v/>
      </c>
      <c r="E391" s="144" t="str">
        <f>IF(G391=".","",Formulario!J$5)</f>
        <v/>
      </c>
      <c r="F391" s="145" t="str">
        <f>IF(G391=".","",Formulario!J$6)</f>
        <v/>
      </c>
      <c r="G391" s="180" t="str">
        <f>IF(Formulario!C399&lt;&gt;"",IF(Formulario!C399=" ","Falta Depto",IF(H391=".","Error En Descripción",Formulario!C399)),IF(H391=".",".","Falta Datos"))</f>
        <v>.</v>
      </c>
      <c r="H391" s="144" t="str">
        <f>IF(Formulario!D399&lt;&gt;"",IF(Formulario!D399=" ",".",Formulario!D399),".")</f>
        <v>.</v>
      </c>
      <c r="I391" s="144" t="str">
        <f>IF(Formulario!E399&lt;&gt;"",IF(Formulario!E399=" "," ",Formulario!E399),IF(G391=".",".","Falta Propietario"))</f>
        <v>.</v>
      </c>
      <c r="J391" s="144" t="str">
        <f>IF(Formulario!F399&lt;&gt;"",IF(Formulario!F399=" "," ",Formulario!F399)," ")</f>
        <v xml:space="preserve"> </v>
      </c>
      <c r="K391" s="144" t="str">
        <f>IF(Formulario!G399&lt;&gt;"",IF(Formulario!G399=" "," ",Formulario!G399)," ")</f>
        <v xml:space="preserve"> </v>
      </c>
      <c r="L391" s="144" t="str">
        <f>IF(Formulario!H399&lt;&gt;"",IF(Formulario!H399=" "," ",Formulario!H399)," ")</f>
        <v xml:space="preserve"> </v>
      </c>
      <c r="M391" s="144" t="str">
        <f>IF(Formulario!I399&lt;&gt;"",IF(Formulario!I399=" "," ",Formulario!I399)," ")</f>
        <v xml:space="preserve"> </v>
      </c>
      <c r="N391" s="145" t="str">
        <f>IF(Formulario!J399&lt;&gt;"",IF(Formulario!J399=" "," ",Formulario!J399),IF(G391=".",".","Falta Fecha"))</f>
        <v>.</v>
      </c>
      <c r="O391" s="155">
        <f>Formulario!L399</f>
        <v>0</v>
      </c>
      <c r="P391" s="146">
        <f>IF(O391=1,"09:00",Formulario!M399)</f>
        <v>0</v>
      </c>
      <c r="Q391" s="146">
        <f>IF(O391=1,"18:30",Formulario!N399)</f>
        <v>0</v>
      </c>
      <c r="R391" s="146" t="str">
        <f>IF(Formulario!O399&lt;&gt;"",IF(Formulario!O399=" ",".",Formulario!O399),".")</f>
        <v>Post Venta</v>
      </c>
      <c r="S391" s="141" t="s">
        <v>131</v>
      </c>
    </row>
    <row r="392" spans="1:19">
      <c r="A392" s="141">
        <f>Formulario!B400</f>
        <v>0</v>
      </c>
      <c r="B392" s="144" t="str">
        <f>IF(G392="."," ",Formulario!D$5)</f>
        <v xml:space="preserve"> </v>
      </c>
      <c r="C392" s="144" t="str">
        <f>IF(G392=".","",Formulario!D$6)</f>
        <v/>
      </c>
      <c r="D392" s="144" t="str">
        <f>IF(H392=".","",Formulario!D$7)</f>
        <v/>
      </c>
      <c r="E392" s="144" t="str">
        <f>IF(G392=".","",Formulario!J$5)</f>
        <v/>
      </c>
      <c r="F392" s="145" t="str">
        <f>IF(G392=".","",Formulario!J$6)</f>
        <v/>
      </c>
      <c r="G392" s="180" t="str">
        <f>IF(Formulario!C400&lt;&gt;"",IF(Formulario!C400=" ","Falta Depto",IF(H392=".","Error En Descripción",Formulario!C400)),IF(H392=".",".","Falta Datos"))</f>
        <v>.</v>
      </c>
      <c r="H392" s="144" t="str">
        <f>IF(Formulario!D400&lt;&gt;"",IF(Formulario!D400=" ",".",Formulario!D400),".")</f>
        <v>.</v>
      </c>
      <c r="I392" s="144" t="str">
        <f>IF(Formulario!E400&lt;&gt;"",IF(Formulario!E400=" "," ",Formulario!E400),IF(G392=".",".","Falta Propietario"))</f>
        <v>.</v>
      </c>
      <c r="J392" s="144" t="str">
        <f>IF(Formulario!F400&lt;&gt;"",IF(Formulario!F400=" "," ",Formulario!F400)," ")</f>
        <v xml:space="preserve"> </v>
      </c>
      <c r="K392" s="144" t="str">
        <f>IF(Formulario!G400&lt;&gt;"",IF(Formulario!G400=" "," ",Formulario!G400)," ")</f>
        <v xml:space="preserve"> </v>
      </c>
      <c r="L392" s="144" t="str">
        <f>IF(Formulario!H400&lt;&gt;"",IF(Formulario!H400=" "," ",Formulario!H400)," ")</f>
        <v xml:space="preserve"> </v>
      </c>
      <c r="M392" s="144" t="str">
        <f>IF(Formulario!I400&lt;&gt;"",IF(Formulario!I400=" "," ",Formulario!I400)," ")</f>
        <v xml:space="preserve"> </v>
      </c>
      <c r="N392" s="145" t="str">
        <f>IF(Formulario!J400&lt;&gt;"",IF(Formulario!J400=" "," ",Formulario!J400),IF(G392=".",".","Falta Fecha"))</f>
        <v>.</v>
      </c>
      <c r="O392" s="155">
        <f>Formulario!L400</f>
        <v>0</v>
      </c>
      <c r="P392" s="146">
        <f>IF(O392=1,"09:00",Formulario!M400)</f>
        <v>0</v>
      </c>
      <c r="Q392" s="146">
        <f>IF(O392=1,"18:30",Formulario!N400)</f>
        <v>0</v>
      </c>
      <c r="R392" s="146" t="str">
        <f>IF(Formulario!O400&lt;&gt;"",IF(Formulario!O400=" ",".",Formulario!O400),".")</f>
        <v>Post Venta</v>
      </c>
      <c r="S392" s="141" t="s">
        <v>131</v>
      </c>
    </row>
    <row r="393" spans="1:19">
      <c r="A393" s="141">
        <f>Formulario!B401</f>
        <v>0</v>
      </c>
      <c r="B393" s="144" t="str">
        <f>IF(G393="."," ",Formulario!D$5)</f>
        <v xml:space="preserve"> </v>
      </c>
      <c r="C393" s="144" t="str">
        <f>IF(G393=".","",Formulario!D$6)</f>
        <v/>
      </c>
      <c r="D393" s="144" t="str">
        <f>IF(H393=".","",Formulario!D$7)</f>
        <v/>
      </c>
      <c r="E393" s="144" t="str">
        <f>IF(G393=".","",Formulario!J$5)</f>
        <v/>
      </c>
      <c r="F393" s="145" t="str">
        <f>IF(G393=".","",Formulario!J$6)</f>
        <v/>
      </c>
      <c r="G393" s="180" t="str">
        <f>IF(Formulario!C401&lt;&gt;"",IF(Formulario!C401=" ","Falta Depto",IF(H393=".","Error En Descripción",Formulario!C401)),IF(H393=".",".","Falta Datos"))</f>
        <v>.</v>
      </c>
      <c r="H393" s="144" t="str">
        <f>IF(Formulario!D401&lt;&gt;"",IF(Formulario!D401=" ",".",Formulario!D401),".")</f>
        <v>.</v>
      </c>
      <c r="I393" s="144" t="str">
        <f>IF(Formulario!E401&lt;&gt;"",IF(Formulario!E401=" "," ",Formulario!E401),IF(G393=".",".","Falta Propietario"))</f>
        <v>.</v>
      </c>
      <c r="J393" s="144" t="str">
        <f>IF(Formulario!F401&lt;&gt;"",IF(Formulario!F401=" "," ",Formulario!F401)," ")</f>
        <v xml:space="preserve"> </v>
      </c>
      <c r="K393" s="144" t="str">
        <f>IF(Formulario!G401&lt;&gt;"",IF(Formulario!G401=" "," ",Formulario!G401)," ")</f>
        <v xml:space="preserve"> </v>
      </c>
      <c r="L393" s="144" t="str">
        <f>IF(Formulario!H401&lt;&gt;"",IF(Formulario!H401=" "," ",Formulario!H401)," ")</f>
        <v xml:space="preserve"> </v>
      </c>
      <c r="M393" s="144" t="str">
        <f>IF(Formulario!I401&lt;&gt;"",IF(Formulario!I401=" "," ",Formulario!I401)," ")</f>
        <v xml:space="preserve"> </v>
      </c>
      <c r="N393" s="145" t="str">
        <f>IF(Formulario!J401&lt;&gt;"",IF(Formulario!J401=" "," ",Formulario!J401),IF(G393=".",".","Falta Fecha"))</f>
        <v>.</v>
      </c>
      <c r="O393" s="155">
        <f>Formulario!L401</f>
        <v>0</v>
      </c>
      <c r="P393" s="146">
        <f>IF(O393=1,"09:00",Formulario!M401)</f>
        <v>0</v>
      </c>
      <c r="Q393" s="146">
        <f>IF(O393=1,"18:30",Formulario!N401)</f>
        <v>0</v>
      </c>
      <c r="R393" s="146" t="str">
        <f>IF(Formulario!O401&lt;&gt;"",IF(Formulario!O401=" ",".",Formulario!O401),".")</f>
        <v>Post Venta</v>
      </c>
      <c r="S393" s="141" t="s">
        <v>131</v>
      </c>
    </row>
    <row r="394" spans="1:19">
      <c r="A394" s="141">
        <f>Formulario!B402</f>
        <v>0</v>
      </c>
      <c r="B394" s="144" t="str">
        <f>IF(G394="."," ",Formulario!D$5)</f>
        <v xml:space="preserve"> </v>
      </c>
      <c r="C394" s="144" t="str">
        <f>IF(G394=".","",Formulario!D$6)</f>
        <v/>
      </c>
      <c r="D394" s="144" t="str">
        <f>IF(H394=".","",Formulario!D$7)</f>
        <v/>
      </c>
      <c r="E394" s="144" t="str">
        <f>IF(G394=".","",Formulario!J$5)</f>
        <v/>
      </c>
      <c r="F394" s="145" t="str">
        <f>IF(G394=".","",Formulario!J$6)</f>
        <v/>
      </c>
      <c r="G394" s="180" t="str">
        <f>IF(Formulario!C402&lt;&gt;"",IF(Formulario!C402=" ","Falta Depto",IF(H394=".","Error En Descripción",Formulario!C402)),IF(H394=".",".","Falta Datos"))</f>
        <v>.</v>
      </c>
      <c r="H394" s="144" t="str">
        <f>IF(Formulario!D402&lt;&gt;"",IF(Formulario!D402=" ",".",Formulario!D402),".")</f>
        <v>.</v>
      </c>
      <c r="I394" s="144" t="str">
        <f>IF(Formulario!E402&lt;&gt;"",IF(Formulario!E402=" "," ",Formulario!E402),IF(G394=".",".","Falta Propietario"))</f>
        <v>.</v>
      </c>
      <c r="J394" s="144" t="str">
        <f>IF(Formulario!F402&lt;&gt;"",IF(Formulario!F402=" "," ",Formulario!F402)," ")</f>
        <v xml:space="preserve"> </v>
      </c>
      <c r="K394" s="144" t="str">
        <f>IF(Formulario!G402&lt;&gt;"",IF(Formulario!G402=" "," ",Formulario!G402)," ")</f>
        <v xml:space="preserve"> </v>
      </c>
      <c r="L394" s="144" t="str">
        <f>IF(Formulario!H402&lt;&gt;"",IF(Formulario!H402=" "," ",Formulario!H402)," ")</f>
        <v xml:space="preserve"> </v>
      </c>
      <c r="M394" s="144" t="str">
        <f>IF(Formulario!I402&lt;&gt;"",IF(Formulario!I402=" "," ",Formulario!I402)," ")</f>
        <v xml:space="preserve"> </v>
      </c>
      <c r="N394" s="145" t="str">
        <f>IF(Formulario!J402&lt;&gt;"",IF(Formulario!J402=" "," ",Formulario!J402),IF(G394=".",".","Falta Fecha"))</f>
        <v>.</v>
      </c>
      <c r="O394" s="155">
        <f>Formulario!L402</f>
        <v>0</v>
      </c>
      <c r="P394" s="146">
        <f>IF(O394=1,"09:00",Formulario!M402)</f>
        <v>0</v>
      </c>
      <c r="Q394" s="146">
        <f>IF(O394=1,"18:30",Formulario!N402)</f>
        <v>0</v>
      </c>
      <c r="R394" s="146" t="str">
        <f>IF(Formulario!O402&lt;&gt;"",IF(Formulario!O402=" ",".",Formulario!O402),".")</f>
        <v>Post Venta</v>
      </c>
      <c r="S394" s="141" t="s">
        <v>131</v>
      </c>
    </row>
    <row r="395" spans="1:19">
      <c r="A395" s="141">
        <f>Formulario!B403</f>
        <v>0</v>
      </c>
      <c r="B395" s="144" t="str">
        <f>IF(G395="."," ",Formulario!D$5)</f>
        <v xml:space="preserve"> </v>
      </c>
      <c r="C395" s="144" t="str">
        <f>IF(G395=".","",Formulario!D$6)</f>
        <v/>
      </c>
      <c r="D395" s="144" t="str">
        <f>IF(H395=".","",Formulario!D$7)</f>
        <v/>
      </c>
      <c r="E395" s="144" t="str">
        <f>IF(G395=".","",Formulario!J$5)</f>
        <v/>
      </c>
      <c r="F395" s="145" t="str">
        <f>IF(G395=".","",Formulario!J$6)</f>
        <v/>
      </c>
      <c r="G395" s="180" t="str">
        <f>IF(Formulario!C403&lt;&gt;"",IF(Formulario!C403=" ","Falta Depto",IF(H395=".","Error En Descripción",Formulario!C403)),IF(H395=".",".","Falta Datos"))</f>
        <v>.</v>
      </c>
      <c r="H395" s="144" t="str">
        <f>IF(Formulario!D403&lt;&gt;"",IF(Formulario!D403=" ",".",Formulario!D403),".")</f>
        <v>.</v>
      </c>
      <c r="I395" s="144" t="str">
        <f>IF(Formulario!E403&lt;&gt;"",IF(Formulario!E403=" "," ",Formulario!E403),IF(G395=".",".","Falta Propietario"))</f>
        <v>.</v>
      </c>
      <c r="J395" s="144" t="str">
        <f>IF(Formulario!F403&lt;&gt;"",IF(Formulario!F403=" "," ",Formulario!F403)," ")</f>
        <v xml:space="preserve"> </v>
      </c>
      <c r="K395" s="144" t="str">
        <f>IF(Formulario!G403&lt;&gt;"",IF(Formulario!G403=" "," ",Formulario!G403)," ")</f>
        <v xml:space="preserve"> </v>
      </c>
      <c r="L395" s="144" t="str">
        <f>IF(Formulario!H403&lt;&gt;"",IF(Formulario!H403=" "," ",Formulario!H403)," ")</f>
        <v xml:space="preserve"> </v>
      </c>
      <c r="M395" s="144" t="str">
        <f>IF(Formulario!I403&lt;&gt;"",IF(Formulario!I403=" "," ",Formulario!I403)," ")</f>
        <v xml:space="preserve"> </v>
      </c>
      <c r="N395" s="145" t="str">
        <f>IF(Formulario!J403&lt;&gt;"",IF(Formulario!J403=" "," ",Formulario!J403),IF(G395=".",".","Falta Fecha"))</f>
        <v>.</v>
      </c>
      <c r="O395" s="155">
        <f>Formulario!L403</f>
        <v>0</v>
      </c>
      <c r="P395" s="146">
        <f>IF(O395=1,"09:00",Formulario!M403)</f>
        <v>0</v>
      </c>
      <c r="Q395" s="146">
        <f>IF(O395=1,"18:30",Formulario!N403)</f>
        <v>0</v>
      </c>
      <c r="R395" s="146" t="str">
        <f>IF(Formulario!O403&lt;&gt;"",IF(Formulario!O403=" ",".",Formulario!O403),".")</f>
        <v>Post Venta</v>
      </c>
      <c r="S395" s="141" t="s">
        <v>131</v>
      </c>
    </row>
    <row r="396" spans="1:19">
      <c r="A396" s="141">
        <f>Formulario!B404</f>
        <v>0</v>
      </c>
      <c r="B396" s="144" t="str">
        <f>IF(G396="."," ",Formulario!D$5)</f>
        <v xml:space="preserve"> </v>
      </c>
      <c r="C396" s="144" t="str">
        <f>IF(G396=".","",Formulario!D$6)</f>
        <v/>
      </c>
      <c r="D396" s="144" t="str">
        <f>IF(H396=".","",Formulario!D$7)</f>
        <v/>
      </c>
      <c r="E396" s="144" t="str">
        <f>IF(G396=".","",Formulario!J$5)</f>
        <v/>
      </c>
      <c r="F396" s="145" t="str">
        <f>IF(G396=".","",Formulario!J$6)</f>
        <v/>
      </c>
      <c r="G396" s="180" t="str">
        <f>IF(Formulario!C404&lt;&gt;"",IF(Formulario!C404=" ","Falta Depto",IF(H396=".","Error En Descripción",Formulario!C404)),IF(H396=".",".","Falta Datos"))</f>
        <v>.</v>
      </c>
      <c r="H396" s="144" t="str">
        <f>IF(Formulario!D404&lt;&gt;"",IF(Formulario!D404=" ",".",Formulario!D404),".")</f>
        <v>.</v>
      </c>
      <c r="I396" s="144" t="str">
        <f>IF(Formulario!E404&lt;&gt;"",IF(Formulario!E404=" "," ",Formulario!E404),IF(G396=".",".","Falta Propietario"))</f>
        <v>.</v>
      </c>
      <c r="J396" s="144" t="str">
        <f>IF(Formulario!F404&lt;&gt;"",IF(Formulario!F404=" "," ",Formulario!F404)," ")</f>
        <v xml:space="preserve"> </v>
      </c>
      <c r="K396" s="144" t="str">
        <f>IF(Formulario!G404&lt;&gt;"",IF(Formulario!G404=" "," ",Formulario!G404)," ")</f>
        <v xml:space="preserve"> </v>
      </c>
      <c r="L396" s="144" t="str">
        <f>IF(Formulario!H404&lt;&gt;"",IF(Formulario!H404=" "," ",Formulario!H404)," ")</f>
        <v xml:space="preserve"> </v>
      </c>
      <c r="M396" s="144" t="str">
        <f>IF(Formulario!I404&lt;&gt;"",IF(Formulario!I404=" "," ",Formulario!I404)," ")</f>
        <v xml:space="preserve"> </v>
      </c>
      <c r="N396" s="145" t="str">
        <f>IF(Formulario!J404&lt;&gt;"",IF(Formulario!J404=" "," ",Formulario!J404),IF(G396=".",".","Falta Fecha"))</f>
        <v>.</v>
      </c>
      <c r="O396" s="155">
        <f>Formulario!L404</f>
        <v>0</v>
      </c>
      <c r="P396" s="146">
        <f>IF(O396=1,"09:00",Formulario!M404)</f>
        <v>0</v>
      </c>
      <c r="Q396" s="146">
        <f>IF(O396=1,"18:30",Formulario!N404)</f>
        <v>0</v>
      </c>
      <c r="R396" s="146" t="str">
        <f>IF(Formulario!O404&lt;&gt;"",IF(Formulario!O404=" ",".",Formulario!O404),".")</f>
        <v>Post Venta</v>
      </c>
      <c r="S396" s="141" t="s">
        <v>131</v>
      </c>
    </row>
    <row r="397" spans="1:19">
      <c r="A397" s="141">
        <f>Formulario!B405</f>
        <v>0</v>
      </c>
      <c r="B397" s="144" t="str">
        <f>IF(G397="."," ",Formulario!D$5)</f>
        <v xml:space="preserve"> </v>
      </c>
      <c r="C397" s="144" t="str">
        <f>IF(G397=".","",Formulario!D$6)</f>
        <v/>
      </c>
      <c r="D397" s="144" t="str">
        <f>IF(H397=".","",Formulario!D$7)</f>
        <v/>
      </c>
      <c r="E397" s="144" t="str">
        <f>IF(G397=".","",Formulario!J$5)</f>
        <v/>
      </c>
      <c r="F397" s="145" t="str">
        <f>IF(G397=".","",Formulario!J$6)</f>
        <v/>
      </c>
      <c r="G397" s="180" t="str">
        <f>IF(Formulario!C405&lt;&gt;"",IF(Formulario!C405=" ","Falta Depto",IF(H397=".","Error En Descripción",Formulario!C405)),IF(H397=".",".","Falta Datos"))</f>
        <v>.</v>
      </c>
      <c r="H397" s="144" t="str">
        <f>IF(Formulario!D405&lt;&gt;"",IF(Formulario!D405=" ",".",Formulario!D405),".")</f>
        <v>.</v>
      </c>
      <c r="I397" s="144" t="str">
        <f>IF(Formulario!E405&lt;&gt;"",IF(Formulario!E405=" "," ",Formulario!E405),IF(G397=".",".","Falta Propietario"))</f>
        <v>.</v>
      </c>
      <c r="J397" s="144" t="str">
        <f>IF(Formulario!F405&lt;&gt;"",IF(Formulario!F405=" "," ",Formulario!F405)," ")</f>
        <v xml:space="preserve"> </v>
      </c>
      <c r="K397" s="144" t="str">
        <f>IF(Formulario!G405&lt;&gt;"",IF(Formulario!G405=" "," ",Formulario!G405)," ")</f>
        <v xml:space="preserve"> </v>
      </c>
      <c r="L397" s="144" t="str">
        <f>IF(Formulario!H405&lt;&gt;"",IF(Formulario!H405=" "," ",Formulario!H405)," ")</f>
        <v xml:space="preserve"> </v>
      </c>
      <c r="M397" s="144" t="str">
        <f>IF(Formulario!I405&lt;&gt;"",IF(Formulario!I405=" "," ",Formulario!I405)," ")</f>
        <v xml:space="preserve"> </v>
      </c>
      <c r="N397" s="145" t="str">
        <f>IF(Formulario!J405&lt;&gt;"",IF(Formulario!J405=" "," ",Formulario!J405),IF(G397=".",".","Falta Fecha"))</f>
        <v>.</v>
      </c>
      <c r="O397" s="155">
        <f>Formulario!L405</f>
        <v>0</v>
      </c>
      <c r="P397" s="146">
        <f>IF(O397=1,"09:00",Formulario!M405)</f>
        <v>0</v>
      </c>
      <c r="Q397" s="146">
        <f>IF(O397=1,"18:30",Formulario!N405)</f>
        <v>0</v>
      </c>
      <c r="R397" s="146" t="str">
        <f>IF(Formulario!O405&lt;&gt;"",IF(Formulario!O405=" ",".",Formulario!O405),".")</f>
        <v>Post Venta</v>
      </c>
      <c r="S397" s="141" t="s">
        <v>131</v>
      </c>
    </row>
    <row r="398" spans="1:19">
      <c r="A398" s="141">
        <f>Formulario!B406</f>
        <v>0</v>
      </c>
      <c r="B398" s="144" t="str">
        <f>IF(G398="."," ",Formulario!D$5)</f>
        <v xml:space="preserve"> </v>
      </c>
      <c r="C398" s="144" t="str">
        <f>IF(G398=".","",Formulario!D$6)</f>
        <v/>
      </c>
      <c r="D398" s="144" t="str">
        <f>IF(H398=".","",Formulario!D$7)</f>
        <v/>
      </c>
      <c r="E398" s="144" t="str">
        <f>IF(G398=".","",Formulario!J$5)</f>
        <v/>
      </c>
      <c r="F398" s="145" t="str">
        <f>IF(G398=".","",Formulario!J$6)</f>
        <v/>
      </c>
      <c r="G398" s="180" t="str">
        <f>IF(Formulario!C406&lt;&gt;"",IF(Formulario!C406=" ","Falta Depto",IF(H398=".","Error En Descripción",Formulario!C406)),IF(H398=".",".","Falta Datos"))</f>
        <v>.</v>
      </c>
      <c r="H398" s="144" t="str">
        <f>IF(Formulario!D406&lt;&gt;"",IF(Formulario!D406=" ",".",Formulario!D406),".")</f>
        <v>.</v>
      </c>
      <c r="I398" s="144" t="str">
        <f>IF(Formulario!E406&lt;&gt;"",IF(Formulario!E406=" "," ",Formulario!E406),IF(G398=".",".","Falta Propietario"))</f>
        <v>.</v>
      </c>
      <c r="J398" s="144" t="str">
        <f>IF(Formulario!F406&lt;&gt;"",IF(Formulario!F406=" "," ",Formulario!F406)," ")</f>
        <v xml:space="preserve"> </v>
      </c>
      <c r="K398" s="144" t="str">
        <f>IF(Formulario!G406&lt;&gt;"",IF(Formulario!G406=" "," ",Formulario!G406)," ")</f>
        <v xml:space="preserve"> </v>
      </c>
      <c r="L398" s="144" t="str">
        <f>IF(Formulario!H406&lt;&gt;"",IF(Formulario!H406=" "," ",Formulario!H406)," ")</f>
        <v xml:space="preserve"> </v>
      </c>
      <c r="M398" s="144" t="str">
        <f>IF(Formulario!I406&lt;&gt;"",IF(Formulario!I406=" "," ",Formulario!I406)," ")</f>
        <v xml:space="preserve"> </v>
      </c>
      <c r="N398" s="145" t="str">
        <f>IF(Formulario!J406&lt;&gt;"",IF(Formulario!J406=" "," ",Formulario!J406),IF(G398=".",".","Falta Fecha"))</f>
        <v>.</v>
      </c>
      <c r="O398" s="155">
        <f>Formulario!L406</f>
        <v>0</v>
      </c>
      <c r="P398" s="146">
        <f>IF(O398=1,"09:00",Formulario!M406)</f>
        <v>0</v>
      </c>
      <c r="Q398" s="146">
        <f>IF(O398=1,"18:30",Formulario!N406)</f>
        <v>0</v>
      </c>
      <c r="R398" s="146" t="str">
        <f>IF(Formulario!O406&lt;&gt;"",IF(Formulario!O406=" ",".",Formulario!O406),".")</f>
        <v>Post Venta</v>
      </c>
      <c r="S398" s="141" t="s">
        <v>131</v>
      </c>
    </row>
    <row r="399" spans="1:19">
      <c r="A399" s="141">
        <f>Formulario!B407</f>
        <v>0</v>
      </c>
      <c r="B399" s="144" t="str">
        <f>IF(G399="."," ",Formulario!D$5)</f>
        <v xml:space="preserve"> </v>
      </c>
      <c r="C399" s="144" t="str">
        <f>IF(G399=".","",Formulario!D$6)</f>
        <v/>
      </c>
      <c r="D399" s="144" t="str">
        <f>IF(H399=".","",Formulario!D$7)</f>
        <v/>
      </c>
      <c r="E399" s="144" t="str">
        <f>IF(G399=".","",Formulario!J$5)</f>
        <v/>
      </c>
      <c r="F399" s="145" t="str">
        <f>IF(G399=".","",Formulario!J$6)</f>
        <v/>
      </c>
      <c r="G399" s="180" t="str">
        <f>IF(Formulario!C407&lt;&gt;"",IF(Formulario!C407=" ","Falta Depto",IF(H399=".","Error En Descripción",Formulario!C407)),IF(H399=".",".","Falta Datos"))</f>
        <v>.</v>
      </c>
      <c r="H399" s="144" t="str">
        <f>IF(Formulario!D407&lt;&gt;"",IF(Formulario!D407=" ",".",Formulario!D407),".")</f>
        <v>.</v>
      </c>
      <c r="I399" s="144" t="str">
        <f>IF(Formulario!E407&lt;&gt;"",IF(Formulario!E407=" "," ",Formulario!E407),IF(G399=".",".","Falta Propietario"))</f>
        <v>.</v>
      </c>
      <c r="J399" s="144" t="str">
        <f>IF(Formulario!F407&lt;&gt;"",IF(Formulario!F407=" "," ",Formulario!F407)," ")</f>
        <v xml:space="preserve"> </v>
      </c>
      <c r="K399" s="144" t="str">
        <f>IF(Formulario!G407&lt;&gt;"",IF(Formulario!G407=" "," ",Formulario!G407)," ")</f>
        <v xml:space="preserve"> </v>
      </c>
      <c r="L399" s="144" t="str">
        <f>IF(Formulario!H407&lt;&gt;"",IF(Formulario!H407=" "," ",Formulario!H407)," ")</f>
        <v xml:space="preserve"> </v>
      </c>
      <c r="M399" s="144" t="str">
        <f>IF(Formulario!I407&lt;&gt;"",IF(Formulario!I407=" "," ",Formulario!I407)," ")</f>
        <v xml:space="preserve"> </v>
      </c>
      <c r="N399" s="145" t="str">
        <f>IF(Formulario!J407&lt;&gt;"",IF(Formulario!J407=" "," ",Formulario!J407),IF(G399=".",".","Falta Fecha"))</f>
        <v>.</v>
      </c>
      <c r="O399" s="155">
        <f>Formulario!L407</f>
        <v>0</v>
      </c>
      <c r="P399" s="146">
        <f>IF(O399=1,"09:00",Formulario!M407)</f>
        <v>0</v>
      </c>
      <c r="Q399" s="146">
        <f>IF(O399=1,"18:30",Formulario!N407)</f>
        <v>0</v>
      </c>
      <c r="R399" s="146" t="str">
        <f>IF(Formulario!O407&lt;&gt;"",IF(Formulario!O407=" ",".",Formulario!O407),".")</f>
        <v>Post Venta</v>
      </c>
      <c r="S399" s="141" t="s">
        <v>131</v>
      </c>
    </row>
    <row r="400" spans="1:19">
      <c r="A400" s="141">
        <f>Formulario!B408</f>
        <v>0</v>
      </c>
      <c r="B400" s="144" t="str">
        <f>IF(G400="."," ",Formulario!D$5)</f>
        <v xml:space="preserve"> </v>
      </c>
      <c r="C400" s="144" t="str">
        <f>IF(G400=".","",Formulario!D$6)</f>
        <v/>
      </c>
      <c r="D400" s="144" t="str">
        <f>IF(H400=".","",Formulario!D$7)</f>
        <v/>
      </c>
      <c r="E400" s="144" t="str">
        <f>IF(G400=".","",Formulario!J$5)</f>
        <v/>
      </c>
      <c r="F400" s="145" t="str">
        <f>IF(G400=".","",Formulario!J$6)</f>
        <v/>
      </c>
      <c r="G400" s="180" t="str">
        <f>IF(Formulario!C408&lt;&gt;"",IF(Formulario!C408=" ","Falta Depto",IF(H400=".","Error En Descripción",Formulario!C408)),IF(H400=".",".","Falta Datos"))</f>
        <v>.</v>
      </c>
      <c r="H400" s="144" t="str">
        <f>IF(Formulario!D408&lt;&gt;"",IF(Formulario!D408=" ",".",Formulario!D408),".")</f>
        <v>.</v>
      </c>
      <c r="I400" s="144" t="str">
        <f>IF(Formulario!E408&lt;&gt;"",IF(Formulario!E408=" "," ",Formulario!E408),IF(G400=".",".","Falta Propietario"))</f>
        <v>.</v>
      </c>
      <c r="J400" s="144" t="str">
        <f>IF(Formulario!F408&lt;&gt;"",IF(Formulario!F408=" "," ",Formulario!F408)," ")</f>
        <v xml:space="preserve"> </v>
      </c>
      <c r="K400" s="144" t="str">
        <f>IF(Formulario!G408&lt;&gt;"",IF(Formulario!G408=" "," ",Formulario!G408)," ")</f>
        <v xml:space="preserve"> </v>
      </c>
      <c r="L400" s="144" t="str">
        <f>IF(Formulario!H408&lt;&gt;"",IF(Formulario!H408=" "," ",Formulario!H408)," ")</f>
        <v xml:space="preserve"> </v>
      </c>
      <c r="M400" s="144" t="str">
        <f>IF(Formulario!I408&lt;&gt;"",IF(Formulario!I408=" "," ",Formulario!I408)," ")</f>
        <v xml:space="preserve"> </v>
      </c>
      <c r="N400" s="145" t="str">
        <f>IF(Formulario!J408&lt;&gt;"",IF(Formulario!J408=" "," ",Formulario!J408),IF(G400=".",".","Falta Fecha"))</f>
        <v>.</v>
      </c>
      <c r="O400" s="155">
        <f>Formulario!L408</f>
        <v>0</v>
      </c>
      <c r="P400" s="146">
        <f>IF(O400=1,"09:00",Formulario!M408)</f>
        <v>0</v>
      </c>
      <c r="Q400" s="146">
        <f>IF(O400=1,"18:30",Formulario!N408)</f>
        <v>0</v>
      </c>
      <c r="R400" s="146" t="str">
        <f>IF(Formulario!O408&lt;&gt;"",IF(Formulario!O408=" ",".",Formulario!O408),".")</f>
        <v>Post Venta</v>
      </c>
      <c r="S400" s="141" t="s">
        <v>131</v>
      </c>
    </row>
    <row r="401" spans="1:19">
      <c r="A401" s="141">
        <f>Formulario!B409</f>
        <v>0</v>
      </c>
      <c r="B401" s="144" t="str">
        <f>IF(G401="."," ",Formulario!D$5)</f>
        <v xml:space="preserve"> </v>
      </c>
      <c r="C401" s="144" t="str">
        <f>IF(G401=".","",Formulario!D$6)</f>
        <v/>
      </c>
      <c r="D401" s="144" t="str">
        <f>IF(H401=".","",Formulario!D$7)</f>
        <v/>
      </c>
      <c r="E401" s="144" t="str">
        <f>IF(G401=".","",Formulario!J$5)</f>
        <v/>
      </c>
      <c r="F401" s="145" t="str">
        <f>IF(G401=".","",Formulario!J$6)</f>
        <v/>
      </c>
      <c r="G401" s="180" t="str">
        <f>IF(Formulario!C409&lt;&gt;"",IF(Formulario!C409=" ","Falta Depto",IF(H401=".","Error En Descripción",Formulario!C409)),IF(H401=".",".","Falta Datos"))</f>
        <v>.</v>
      </c>
      <c r="H401" s="144" t="str">
        <f>IF(Formulario!D409&lt;&gt;"",IF(Formulario!D409=" ",".",Formulario!D409),".")</f>
        <v>.</v>
      </c>
      <c r="I401" s="144" t="str">
        <f>IF(Formulario!E409&lt;&gt;"",IF(Formulario!E409=" "," ",Formulario!E409),IF(G401=".",".","Falta Propietario"))</f>
        <v>.</v>
      </c>
      <c r="J401" s="144" t="str">
        <f>IF(Formulario!F409&lt;&gt;"",IF(Formulario!F409=" "," ",Formulario!F409)," ")</f>
        <v xml:space="preserve"> </v>
      </c>
      <c r="K401" s="144" t="str">
        <f>IF(Formulario!G409&lt;&gt;"",IF(Formulario!G409=" "," ",Formulario!G409)," ")</f>
        <v xml:space="preserve"> </v>
      </c>
      <c r="L401" s="144" t="str">
        <f>IF(Formulario!H409&lt;&gt;"",IF(Formulario!H409=" "," ",Formulario!H409)," ")</f>
        <v xml:space="preserve"> </v>
      </c>
      <c r="M401" s="144" t="str">
        <f>IF(Formulario!I409&lt;&gt;"",IF(Formulario!I409=" "," ",Formulario!I409)," ")</f>
        <v xml:space="preserve"> </v>
      </c>
      <c r="N401" s="145" t="str">
        <f>IF(Formulario!J409&lt;&gt;"",IF(Formulario!J409=" "," ",Formulario!J409),IF(G401=".",".","Falta Fecha"))</f>
        <v>.</v>
      </c>
      <c r="O401" s="155">
        <f>Formulario!L409</f>
        <v>0</v>
      </c>
      <c r="P401" s="146">
        <f>IF(O401=1,"09:00",Formulario!M409)</f>
        <v>0</v>
      </c>
      <c r="Q401" s="146">
        <f>IF(O401=1,"18:30",Formulario!N409)</f>
        <v>0</v>
      </c>
      <c r="R401" s="146" t="str">
        <f>IF(Formulario!O409&lt;&gt;"",IF(Formulario!O409=" ",".",Formulario!O409),".")</f>
        <v>Post Venta</v>
      </c>
      <c r="S401" s="141" t="s">
        <v>131</v>
      </c>
    </row>
    <row r="402" spans="1:19">
      <c r="A402" s="141">
        <f>Formulario!B410</f>
        <v>0</v>
      </c>
      <c r="B402" s="144" t="str">
        <f>IF(G402="."," ",Formulario!D$5)</f>
        <v xml:space="preserve"> </v>
      </c>
      <c r="C402" s="144" t="str">
        <f>IF(G402=".","",Formulario!D$6)</f>
        <v/>
      </c>
      <c r="D402" s="144" t="str">
        <f>IF(H402=".","",Formulario!D$7)</f>
        <v/>
      </c>
      <c r="E402" s="144" t="str">
        <f>IF(G402=".","",Formulario!J$5)</f>
        <v/>
      </c>
      <c r="F402" s="145" t="str">
        <f>IF(G402=".","",Formulario!J$6)</f>
        <v/>
      </c>
      <c r="G402" s="180" t="str">
        <f>IF(Formulario!C410&lt;&gt;"",IF(Formulario!C410=" ","Falta Depto",IF(H402=".","Error En Descripción",Formulario!C410)),IF(H402=".",".","Falta Datos"))</f>
        <v>.</v>
      </c>
      <c r="H402" s="144" t="str">
        <f>IF(Formulario!D410&lt;&gt;"",IF(Formulario!D410=" ",".",Formulario!D410),".")</f>
        <v>.</v>
      </c>
      <c r="I402" s="144" t="str">
        <f>IF(Formulario!E410&lt;&gt;"",IF(Formulario!E410=" "," ",Formulario!E410),IF(G402=".",".","Falta Propietario"))</f>
        <v>.</v>
      </c>
      <c r="J402" s="144" t="str">
        <f>IF(Formulario!F410&lt;&gt;"",IF(Formulario!F410=" "," ",Formulario!F410)," ")</f>
        <v xml:space="preserve"> </v>
      </c>
      <c r="K402" s="144" t="str">
        <f>IF(Formulario!G410&lt;&gt;"",IF(Formulario!G410=" "," ",Formulario!G410)," ")</f>
        <v xml:space="preserve"> </v>
      </c>
      <c r="L402" s="144" t="str">
        <f>IF(Formulario!H410&lt;&gt;"",IF(Formulario!H410=" "," ",Formulario!H410)," ")</f>
        <v xml:space="preserve"> </v>
      </c>
      <c r="M402" s="144" t="str">
        <f>IF(Formulario!I410&lt;&gt;"",IF(Formulario!I410=" "," ",Formulario!I410)," ")</f>
        <v xml:space="preserve"> </v>
      </c>
      <c r="N402" s="145" t="str">
        <f>IF(Formulario!J410&lt;&gt;"",IF(Formulario!J410=" "," ",Formulario!J410),IF(G402=".",".","Falta Fecha"))</f>
        <v>.</v>
      </c>
      <c r="O402" s="155">
        <f>Formulario!L410</f>
        <v>0</v>
      </c>
      <c r="P402" s="146">
        <f>IF(O402=1,"09:00",Formulario!M410)</f>
        <v>0</v>
      </c>
      <c r="Q402" s="146">
        <f>IF(O402=1,"18:30",Formulario!N410)</f>
        <v>0</v>
      </c>
      <c r="R402" s="146" t="str">
        <f>IF(Formulario!O410&lt;&gt;"",IF(Formulario!O410=" ",".",Formulario!O410),".")</f>
        <v>Post Venta</v>
      </c>
      <c r="S402" s="141" t="s">
        <v>131</v>
      </c>
    </row>
    <row r="403" spans="1:19">
      <c r="A403" s="141">
        <f>Formulario!B411</f>
        <v>0</v>
      </c>
      <c r="B403" s="144" t="str">
        <f>IF(G403="."," ",Formulario!D$5)</f>
        <v xml:space="preserve"> </v>
      </c>
      <c r="C403" s="144" t="str">
        <f>IF(G403=".","",Formulario!D$6)</f>
        <v/>
      </c>
      <c r="D403" s="144" t="str">
        <f>IF(H403=".","",Formulario!D$7)</f>
        <v/>
      </c>
      <c r="E403" s="144" t="str">
        <f>IF(G403=".","",Formulario!J$5)</f>
        <v/>
      </c>
      <c r="F403" s="145" t="str">
        <f>IF(G403=".","",Formulario!J$6)</f>
        <v/>
      </c>
      <c r="G403" s="180" t="str">
        <f>IF(Formulario!C411&lt;&gt;"",IF(Formulario!C411=" ","Falta Depto",IF(H403=".","Error En Descripción",Formulario!C411)),IF(H403=".",".","Falta Datos"))</f>
        <v>.</v>
      </c>
      <c r="H403" s="144" t="str">
        <f>IF(Formulario!D411&lt;&gt;"",IF(Formulario!D411=" ",".",Formulario!D411),".")</f>
        <v>.</v>
      </c>
      <c r="I403" s="144" t="str">
        <f>IF(Formulario!E411&lt;&gt;"",IF(Formulario!E411=" "," ",Formulario!E411),IF(G403=".",".","Falta Propietario"))</f>
        <v>.</v>
      </c>
      <c r="J403" s="144" t="str">
        <f>IF(Formulario!F411&lt;&gt;"",IF(Formulario!F411=" "," ",Formulario!F411)," ")</f>
        <v xml:space="preserve"> </v>
      </c>
      <c r="K403" s="144" t="str">
        <f>IF(Formulario!G411&lt;&gt;"",IF(Formulario!G411=" "," ",Formulario!G411)," ")</f>
        <v xml:space="preserve"> </v>
      </c>
      <c r="L403" s="144" t="str">
        <f>IF(Formulario!H411&lt;&gt;"",IF(Formulario!H411=" "," ",Formulario!H411)," ")</f>
        <v xml:space="preserve"> </v>
      </c>
      <c r="M403" s="144" t="str">
        <f>IF(Formulario!I411&lt;&gt;"",IF(Formulario!I411=" "," ",Formulario!I411)," ")</f>
        <v xml:space="preserve"> </v>
      </c>
      <c r="N403" s="145" t="str">
        <f>IF(Formulario!J411&lt;&gt;"",IF(Formulario!J411=" "," ",Formulario!J411),IF(G403=".",".","Falta Fecha"))</f>
        <v>.</v>
      </c>
      <c r="O403" s="155">
        <f>Formulario!L411</f>
        <v>0</v>
      </c>
      <c r="P403" s="146">
        <f>IF(O403=1,"09:00",Formulario!M411)</f>
        <v>0</v>
      </c>
      <c r="Q403" s="146">
        <f>IF(O403=1,"18:30",Formulario!N411)</f>
        <v>0</v>
      </c>
      <c r="R403" s="146" t="str">
        <f>IF(Formulario!O411&lt;&gt;"",IF(Formulario!O411=" ",".",Formulario!O411),".")</f>
        <v>Post Venta</v>
      </c>
      <c r="S403" s="141" t="s">
        <v>131</v>
      </c>
    </row>
    <row r="404" spans="1:19">
      <c r="A404" s="141">
        <f>Formulario!B412</f>
        <v>0</v>
      </c>
      <c r="B404" s="144" t="str">
        <f>IF(G404="."," ",Formulario!D$5)</f>
        <v xml:space="preserve"> </v>
      </c>
      <c r="C404" s="144" t="str">
        <f>IF(G404=".","",Formulario!D$6)</f>
        <v/>
      </c>
      <c r="D404" s="144" t="str">
        <f>IF(H404=".","",Formulario!D$7)</f>
        <v/>
      </c>
      <c r="E404" s="144" t="str">
        <f>IF(G404=".","",Formulario!J$5)</f>
        <v/>
      </c>
      <c r="F404" s="145" t="str">
        <f>IF(G404=".","",Formulario!J$6)</f>
        <v/>
      </c>
      <c r="G404" s="180" t="str">
        <f>IF(Formulario!C412&lt;&gt;"",IF(Formulario!C412=" ","Falta Depto",IF(H404=".","Error En Descripción",Formulario!C412)),IF(H404=".",".","Falta Datos"))</f>
        <v>.</v>
      </c>
      <c r="H404" s="144" t="str">
        <f>IF(Formulario!D412&lt;&gt;"",IF(Formulario!D412=" ",".",Formulario!D412),".")</f>
        <v>.</v>
      </c>
      <c r="I404" s="144" t="str">
        <f>IF(Formulario!E412&lt;&gt;"",IF(Formulario!E412=" "," ",Formulario!E412),IF(G404=".",".","Falta Propietario"))</f>
        <v>.</v>
      </c>
      <c r="J404" s="144" t="str">
        <f>IF(Formulario!F412&lt;&gt;"",IF(Formulario!F412=" "," ",Formulario!F412)," ")</f>
        <v xml:space="preserve"> </v>
      </c>
      <c r="K404" s="144" t="str">
        <f>IF(Formulario!G412&lt;&gt;"",IF(Formulario!G412=" "," ",Formulario!G412)," ")</f>
        <v xml:space="preserve"> </v>
      </c>
      <c r="L404" s="144" t="str">
        <f>IF(Formulario!H412&lt;&gt;"",IF(Formulario!H412=" "," ",Formulario!H412)," ")</f>
        <v xml:space="preserve"> </v>
      </c>
      <c r="M404" s="144" t="str">
        <f>IF(Formulario!I412&lt;&gt;"",IF(Formulario!I412=" "," ",Formulario!I412)," ")</f>
        <v xml:space="preserve"> </v>
      </c>
      <c r="N404" s="145" t="str">
        <f>IF(Formulario!J412&lt;&gt;"",IF(Formulario!J412=" "," ",Formulario!J412),IF(G404=".",".","Falta Fecha"))</f>
        <v>.</v>
      </c>
      <c r="O404" s="155">
        <f>Formulario!L412</f>
        <v>0</v>
      </c>
      <c r="P404" s="146">
        <f>IF(O404=1,"09:00",Formulario!M412)</f>
        <v>0</v>
      </c>
      <c r="Q404" s="146">
        <f>IF(O404=1,"18:30",Formulario!N412)</f>
        <v>0</v>
      </c>
      <c r="R404" s="146" t="str">
        <f>IF(Formulario!O412&lt;&gt;"",IF(Formulario!O412=" ",".",Formulario!O412),".")</f>
        <v>Post Venta</v>
      </c>
      <c r="S404" s="141" t="s">
        <v>131</v>
      </c>
    </row>
    <row r="405" spans="1:19">
      <c r="A405" s="141">
        <f>Formulario!B413</f>
        <v>0</v>
      </c>
      <c r="B405" s="144" t="str">
        <f>IF(G405="."," ",Formulario!D$5)</f>
        <v xml:space="preserve"> </v>
      </c>
      <c r="C405" s="144" t="str">
        <f>IF(G405=".","",Formulario!D$6)</f>
        <v/>
      </c>
      <c r="D405" s="144" t="str">
        <f>IF(H405=".","",Formulario!D$7)</f>
        <v/>
      </c>
      <c r="E405" s="144" t="str">
        <f>IF(G405=".","",Formulario!J$5)</f>
        <v/>
      </c>
      <c r="F405" s="145" t="str">
        <f>IF(G405=".","",Formulario!J$6)</f>
        <v/>
      </c>
      <c r="G405" s="180" t="str">
        <f>IF(Formulario!C413&lt;&gt;"",IF(Formulario!C413=" ","Falta Depto",IF(H405=".","Error En Descripción",Formulario!C413)),IF(H405=".",".","Falta Datos"))</f>
        <v>.</v>
      </c>
      <c r="H405" s="144" t="str">
        <f>IF(Formulario!D413&lt;&gt;"",IF(Formulario!D413=" ",".",Formulario!D413),".")</f>
        <v>.</v>
      </c>
      <c r="I405" s="144" t="str">
        <f>IF(Formulario!E413&lt;&gt;"",IF(Formulario!E413=" "," ",Formulario!E413),IF(G405=".",".","Falta Propietario"))</f>
        <v>.</v>
      </c>
      <c r="J405" s="144" t="str">
        <f>IF(Formulario!F413&lt;&gt;"",IF(Formulario!F413=" "," ",Formulario!F413)," ")</f>
        <v xml:space="preserve"> </v>
      </c>
      <c r="K405" s="144" t="str">
        <f>IF(Formulario!G413&lt;&gt;"",IF(Formulario!G413=" "," ",Formulario!G413)," ")</f>
        <v xml:space="preserve"> </v>
      </c>
      <c r="L405" s="144" t="str">
        <f>IF(Formulario!H413&lt;&gt;"",IF(Formulario!H413=" "," ",Formulario!H413)," ")</f>
        <v xml:space="preserve"> </v>
      </c>
      <c r="M405" s="144" t="str">
        <f>IF(Formulario!I413&lt;&gt;"",IF(Formulario!I413=" "," ",Formulario!I413)," ")</f>
        <v xml:space="preserve"> </v>
      </c>
      <c r="N405" s="145" t="str">
        <f>IF(Formulario!J413&lt;&gt;"",IF(Formulario!J413=" "," ",Formulario!J413),IF(G405=".",".","Falta Fecha"))</f>
        <v>.</v>
      </c>
      <c r="O405" s="155">
        <f>Formulario!L413</f>
        <v>0</v>
      </c>
      <c r="P405" s="146">
        <f>IF(O405=1,"09:00",Formulario!M413)</f>
        <v>0</v>
      </c>
      <c r="Q405" s="146">
        <f>IF(O405=1,"18:30",Formulario!N413)</f>
        <v>0</v>
      </c>
      <c r="R405" s="146" t="str">
        <f>IF(Formulario!O413&lt;&gt;"",IF(Formulario!O413=" ",".",Formulario!O413),".")</f>
        <v>Post Venta</v>
      </c>
      <c r="S405" s="141" t="s">
        <v>131</v>
      </c>
    </row>
    <row r="406" spans="1:19">
      <c r="A406" s="141">
        <f>Formulario!B414</f>
        <v>0</v>
      </c>
      <c r="B406" s="144" t="str">
        <f>IF(G406="."," ",Formulario!D$5)</f>
        <v xml:space="preserve"> </v>
      </c>
      <c r="C406" s="144" t="str">
        <f>IF(G406=".","",Formulario!D$6)</f>
        <v/>
      </c>
      <c r="D406" s="144" t="str">
        <f>IF(H406=".","",Formulario!D$7)</f>
        <v/>
      </c>
      <c r="E406" s="144" t="str">
        <f>IF(G406=".","",Formulario!J$5)</f>
        <v/>
      </c>
      <c r="F406" s="145" t="str">
        <f>IF(G406=".","",Formulario!J$6)</f>
        <v/>
      </c>
      <c r="G406" s="180" t="str">
        <f>IF(Formulario!C414&lt;&gt;"",IF(Formulario!C414=" ","Falta Depto",IF(H406=".","Error En Descripción",Formulario!C414)),IF(H406=".",".","Falta Datos"))</f>
        <v>.</v>
      </c>
      <c r="H406" s="144" t="str">
        <f>IF(Formulario!D414&lt;&gt;"",IF(Formulario!D414=" ",".",Formulario!D414),".")</f>
        <v>.</v>
      </c>
      <c r="I406" s="144" t="str">
        <f>IF(Formulario!E414&lt;&gt;"",IF(Formulario!E414=" "," ",Formulario!E414),IF(G406=".",".","Falta Propietario"))</f>
        <v>.</v>
      </c>
      <c r="J406" s="144" t="str">
        <f>IF(Formulario!F414&lt;&gt;"",IF(Formulario!F414=" "," ",Formulario!F414)," ")</f>
        <v xml:space="preserve"> </v>
      </c>
      <c r="K406" s="144" t="str">
        <f>IF(Formulario!G414&lt;&gt;"",IF(Formulario!G414=" "," ",Formulario!G414)," ")</f>
        <v xml:space="preserve"> </v>
      </c>
      <c r="L406" s="144" t="str">
        <f>IF(Formulario!H414&lt;&gt;"",IF(Formulario!H414=" "," ",Formulario!H414)," ")</f>
        <v xml:space="preserve"> </v>
      </c>
      <c r="M406" s="144" t="str">
        <f>IF(Formulario!I414&lt;&gt;"",IF(Formulario!I414=" "," ",Formulario!I414)," ")</f>
        <v xml:space="preserve"> </v>
      </c>
      <c r="N406" s="145" t="str">
        <f>IF(Formulario!J414&lt;&gt;"",IF(Formulario!J414=" "," ",Formulario!J414),IF(G406=".",".","Falta Fecha"))</f>
        <v>.</v>
      </c>
      <c r="O406" s="155">
        <f>Formulario!L414</f>
        <v>0</v>
      </c>
      <c r="P406" s="146">
        <f>IF(O406=1,"09:00",Formulario!M414)</f>
        <v>0</v>
      </c>
      <c r="Q406" s="146">
        <f>IF(O406=1,"18:30",Formulario!N414)</f>
        <v>0</v>
      </c>
      <c r="R406" s="146" t="str">
        <f>IF(Formulario!O414&lt;&gt;"",IF(Formulario!O414=" ",".",Formulario!O414),".")</f>
        <v>Post Venta</v>
      </c>
      <c r="S406" s="141" t="s">
        <v>131</v>
      </c>
    </row>
    <row r="407" spans="1:19">
      <c r="A407" s="141">
        <f>Formulario!B415</f>
        <v>0</v>
      </c>
      <c r="B407" s="144" t="str">
        <f>IF(G407="."," ",Formulario!D$5)</f>
        <v xml:space="preserve"> </v>
      </c>
      <c r="C407" s="144" t="str">
        <f>IF(G407=".","",Formulario!D$6)</f>
        <v/>
      </c>
      <c r="D407" s="144" t="str">
        <f>IF(H407=".","",Formulario!D$7)</f>
        <v/>
      </c>
      <c r="E407" s="144" t="str">
        <f>IF(G407=".","",Formulario!J$5)</f>
        <v/>
      </c>
      <c r="F407" s="145" t="str">
        <f>IF(G407=".","",Formulario!J$6)</f>
        <v/>
      </c>
      <c r="G407" s="180" t="str">
        <f>IF(Formulario!C415&lt;&gt;"",IF(Formulario!C415=" ","Falta Depto",IF(H407=".","Error En Descripción",Formulario!C415)),IF(H407=".",".","Falta Datos"))</f>
        <v>.</v>
      </c>
      <c r="H407" s="144" t="str">
        <f>IF(Formulario!D415&lt;&gt;"",IF(Formulario!D415=" ",".",Formulario!D415),".")</f>
        <v>.</v>
      </c>
      <c r="I407" s="144" t="str">
        <f>IF(Formulario!E415&lt;&gt;"",IF(Formulario!E415=" "," ",Formulario!E415),IF(G407=".",".","Falta Propietario"))</f>
        <v>.</v>
      </c>
      <c r="J407" s="144" t="str">
        <f>IF(Formulario!F415&lt;&gt;"",IF(Formulario!F415=" "," ",Formulario!F415)," ")</f>
        <v xml:space="preserve"> </v>
      </c>
      <c r="K407" s="144" t="str">
        <f>IF(Formulario!G415&lt;&gt;"",IF(Formulario!G415=" "," ",Formulario!G415)," ")</f>
        <v xml:space="preserve"> </v>
      </c>
      <c r="L407" s="144" t="str">
        <f>IF(Formulario!H415&lt;&gt;"",IF(Formulario!H415=" "," ",Formulario!H415)," ")</f>
        <v xml:space="preserve"> </v>
      </c>
      <c r="M407" s="144" t="str">
        <f>IF(Formulario!I415&lt;&gt;"",IF(Formulario!I415=" "," ",Formulario!I415)," ")</f>
        <v xml:space="preserve"> </v>
      </c>
      <c r="N407" s="145" t="str">
        <f>IF(Formulario!J415&lt;&gt;"",IF(Formulario!J415=" "," ",Formulario!J415),IF(G407=".",".","Falta Fecha"))</f>
        <v>.</v>
      </c>
      <c r="O407" s="155">
        <f>Formulario!L415</f>
        <v>0</v>
      </c>
      <c r="P407" s="146">
        <f>IF(O407=1,"09:00",Formulario!M415)</f>
        <v>0</v>
      </c>
      <c r="Q407" s="146">
        <f>IF(O407=1,"18:30",Formulario!N415)</f>
        <v>0</v>
      </c>
      <c r="R407" s="146" t="str">
        <f>IF(Formulario!O415&lt;&gt;"",IF(Formulario!O415=" ",".",Formulario!O415),".")</f>
        <v>Post Venta</v>
      </c>
      <c r="S407" s="141" t="s">
        <v>131</v>
      </c>
    </row>
    <row r="408" spans="1:19">
      <c r="A408" s="141">
        <f>Formulario!B416</f>
        <v>0</v>
      </c>
      <c r="B408" s="144" t="str">
        <f>IF(G408="."," ",Formulario!D$5)</f>
        <v xml:space="preserve"> </v>
      </c>
      <c r="C408" s="144" t="str">
        <f>IF(G408=".","",Formulario!D$6)</f>
        <v/>
      </c>
      <c r="D408" s="144" t="str">
        <f>IF(H408=".","",Formulario!D$7)</f>
        <v/>
      </c>
      <c r="E408" s="144" t="str">
        <f>IF(G408=".","",Formulario!J$5)</f>
        <v/>
      </c>
      <c r="F408" s="145" t="str">
        <f>IF(G408=".","",Formulario!J$6)</f>
        <v/>
      </c>
      <c r="G408" s="180" t="str">
        <f>IF(Formulario!C416&lt;&gt;"",IF(Formulario!C416=" ","Falta Depto",IF(H408=".","Error En Descripción",Formulario!C416)),IF(H408=".",".","Falta Datos"))</f>
        <v>.</v>
      </c>
      <c r="H408" s="144" t="str">
        <f>IF(Formulario!D416&lt;&gt;"",IF(Formulario!D416=" ",".",Formulario!D416),".")</f>
        <v>.</v>
      </c>
      <c r="I408" s="144" t="str">
        <f>IF(Formulario!E416&lt;&gt;"",IF(Formulario!E416=" "," ",Formulario!E416),IF(G408=".",".","Falta Propietario"))</f>
        <v>.</v>
      </c>
      <c r="J408" s="144" t="str">
        <f>IF(Formulario!F416&lt;&gt;"",IF(Formulario!F416=" "," ",Formulario!F416)," ")</f>
        <v xml:space="preserve"> </v>
      </c>
      <c r="K408" s="144" t="str">
        <f>IF(Formulario!G416&lt;&gt;"",IF(Formulario!G416=" "," ",Formulario!G416)," ")</f>
        <v xml:space="preserve"> </v>
      </c>
      <c r="L408" s="144" t="str">
        <f>IF(Formulario!H416&lt;&gt;"",IF(Formulario!H416=" "," ",Formulario!H416)," ")</f>
        <v xml:space="preserve"> </v>
      </c>
      <c r="M408" s="144" t="str">
        <f>IF(Formulario!I416&lt;&gt;"",IF(Formulario!I416=" "," ",Formulario!I416)," ")</f>
        <v xml:space="preserve"> </v>
      </c>
      <c r="N408" s="145" t="str">
        <f>IF(Formulario!J416&lt;&gt;"",IF(Formulario!J416=" "," ",Formulario!J416),IF(G408=".",".","Falta Fecha"))</f>
        <v>.</v>
      </c>
      <c r="O408" s="155">
        <f>Formulario!L416</f>
        <v>0</v>
      </c>
      <c r="P408" s="146">
        <f>IF(O408=1,"09:00",Formulario!M416)</f>
        <v>0</v>
      </c>
      <c r="Q408" s="146">
        <f>IF(O408=1,"18:30",Formulario!N416)</f>
        <v>0</v>
      </c>
      <c r="R408" s="146" t="str">
        <f>IF(Formulario!O416&lt;&gt;"",IF(Formulario!O416=" ",".",Formulario!O416),".")</f>
        <v>Post Venta</v>
      </c>
      <c r="S408" s="141" t="s">
        <v>131</v>
      </c>
    </row>
    <row r="409" spans="1:19">
      <c r="A409" s="141">
        <f>Formulario!B417</f>
        <v>0</v>
      </c>
      <c r="B409" s="144" t="str">
        <f>IF(G409="."," ",Formulario!D$5)</f>
        <v xml:space="preserve"> </v>
      </c>
      <c r="C409" s="144" t="str">
        <f>IF(G409=".","",Formulario!D$6)</f>
        <v/>
      </c>
      <c r="D409" s="144" t="str">
        <f>IF(H409=".","",Formulario!D$7)</f>
        <v/>
      </c>
      <c r="E409" s="144" t="str">
        <f>IF(G409=".","",Formulario!J$5)</f>
        <v/>
      </c>
      <c r="F409" s="145" t="str">
        <f>IF(G409=".","",Formulario!J$6)</f>
        <v/>
      </c>
      <c r="G409" s="180" t="str">
        <f>IF(Formulario!C417&lt;&gt;"",IF(Formulario!C417=" ","Falta Depto",IF(H409=".","Error En Descripción",Formulario!C417)),IF(H409=".",".","Falta Datos"))</f>
        <v>.</v>
      </c>
      <c r="H409" s="144" t="str">
        <f>IF(Formulario!D417&lt;&gt;"",IF(Formulario!D417=" ",".",Formulario!D417),".")</f>
        <v>.</v>
      </c>
      <c r="I409" s="144" t="str">
        <f>IF(Formulario!E417&lt;&gt;"",IF(Formulario!E417=" "," ",Formulario!E417),IF(G409=".",".","Falta Propietario"))</f>
        <v>.</v>
      </c>
      <c r="J409" s="144" t="str">
        <f>IF(Formulario!F417&lt;&gt;"",IF(Formulario!F417=" "," ",Formulario!F417)," ")</f>
        <v xml:space="preserve"> </v>
      </c>
      <c r="K409" s="144" t="str">
        <f>IF(Formulario!G417&lt;&gt;"",IF(Formulario!G417=" "," ",Formulario!G417)," ")</f>
        <v xml:space="preserve"> </v>
      </c>
      <c r="L409" s="144" t="str">
        <f>IF(Formulario!H417&lt;&gt;"",IF(Formulario!H417=" "," ",Formulario!H417)," ")</f>
        <v xml:space="preserve"> </v>
      </c>
      <c r="M409" s="144" t="str">
        <f>IF(Formulario!I417&lt;&gt;"",IF(Formulario!I417=" "," ",Formulario!I417)," ")</f>
        <v xml:space="preserve"> </v>
      </c>
      <c r="N409" s="145" t="str">
        <f>IF(Formulario!J417&lt;&gt;"",IF(Formulario!J417=" "," ",Formulario!J417),IF(G409=".",".","Falta Fecha"))</f>
        <v>.</v>
      </c>
      <c r="O409" s="155">
        <f>Formulario!L417</f>
        <v>0</v>
      </c>
      <c r="P409" s="146">
        <f>IF(O409=1,"09:00",Formulario!M417)</f>
        <v>0</v>
      </c>
      <c r="Q409" s="146">
        <f>IF(O409=1,"18:30",Formulario!N417)</f>
        <v>0</v>
      </c>
      <c r="R409" s="146" t="str">
        <f>IF(Formulario!O417&lt;&gt;"",IF(Formulario!O417=" ",".",Formulario!O417),".")</f>
        <v>Post Venta</v>
      </c>
      <c r="S409" s="141" t="s">
        <v>131</v>
      </c>
    </row>
    <row r="410" spans="1:19">
      <c r="A410" s="141">
        <f>Formulario!B418</f>
        <v>0</v>
      </c>
      <c r="B410" s="144" t="str">
        <f>IF(G410="."," ",Formulario!D$5)</f>
        <v xml:space="preserve"> </v>
      </c>
      <c r="C410" s="144" t="str">
        <f>IF(G410=".","",Formulario!D$6)</f>
        <v/>
      </c>
      <c r="D410" s="144" t="str">
        <f>IF(H410=".","",Formulario!D$7)</f>
        <v/>
      </c>
      <c r="E410" s="144" t="str">
        <f>IF(G410=".","",Formulario!J$5)</f>
        <v/>
      </c>
      <c r="F410" s="145" t="str">
        <f>IF(G410=".","",Formulario!J$6)</f>
        <v/>
      </c>
      <c r="G410" s="180" t="str">
        <f>IF(Formulario!C418&lt;&gt;"",IF(Formulario!C418=" ","Falta Depto",IF(H410=".","Error En Descripción",Formulario!C418)),IF(H410=".",".","Falta Datos"))</f>
        <v>.</v>
      </c>
      <c r="H410" s="144" t="str">
        <f>IF(Formulario!D418&lt;&gt;"",IF(Formulario!D418=" ",".",Formulario!D418),".")</f>
        <v>.</v>
      </c>
      <c r="I410" s="144" t="str">
        <f>IF(Formulario!E418&lt;&gt;"",IF(Formulario!E418=" "," ",Formulario!E418),IF(G410=".",".","Falta Propietario"))</f>
        <v>.</v>
      </c>
      <c r="J410" s="144" t="str">
        <f>IF(Formulario!F418&lt;&gt;"",IF(Formulario!F418=" "," ",Formulario!F418)," ")</f>
        <v xml:space="preserve"> </v>
      </c>
      <c r="K410" s="144" t="str">
        <f>IF(Formulario!G418&lt;&gt;"",IF(Formulario!G418=" "," ",Formulario!G418)," ")</f>
        <v xml:space="preserve"> </v>
      </c>
      <c r="L410" s="144" t="str">
        <f>IF(Formulario!H418&lt;&gt;"",IF(Formulario!H418=" "," ",Formulario!H418)," ")</f>
        <v xml:space="preserve"> </v>
      </c>
      <c r="M410" s="144" t="str">
        <f>IF(Formulario!I418&lt;&gt;"",IF(Formulario!I418=" "," ",Formulario!I418)," ")</f>
        <v xml:space="preserve"> </v>
      </c>
      <c r="N410" s="145" t="str">
        <f>IF(Formulario!J418&lt;&gt;"",IF(Formulario!J418=" "," ",Formulario!J418),IF(G410=".",".","Falta Fecha"))</f>
        <v>.</v>
      </c>
      <c r="O410" s="155">
        <f>Formulario!L418</f>
        <v>0</v>
      </c>
      <c r="P410" s="146">
        <f>IF(O410=1,"09:00",Formulario!M418)</f>
        <v>0</v>
      </c>
      <c r="Q410" s="146">
        <f>IF(O410=1,"18:30",Formulario!N418)</f>
        <v>0</v>
      </c>
      <c r="R410" s="146" t="str">
        <f>IF(Formulario!O418&lt;&gt;"",IF(Formulario!O418=" ",".",Formulario!O418),".")</f>
        <v>Post Venta</v>
      </c>
      <c r="S410" s="141" t="s">
        <v>131</v>
      </c>
    </row>
    <row r="411" spans="1:19">
      <c r="A411" s="141">
        <f>Formulario!B419</f>
        <v>0</v>
      </c>
      <c r="B411" s="144" t="str">
        <f>IF(G411="."," ",Formulario!D$5)</f>
        <v xml:space="preserve"> </v>
      </c>
      <c r="C411" s="144" t="str">
        <f>IF(G411=".","",Formulario!D$6)</f>
        <v/>
      </c>
      <c r="D411" s="144" t="str">
        <f>IF(H411=".","",Formulario!D$7)</f>
        <v/>
      </c>
      <c r="E411" s="144" t="str">
        <f>IF(G411=".","",Formulario!J$5)</f>
        <v/>
      </c>
      <c r="F411" s="145" t="str">
        <f>IF(G411=".","",Formulario!J$6)</f>
        <v/>
      </c>
      <c r="G411" s="180" t="str">
        <f>IF(Formulario!C419&lt;&gt;"",IF(Formulario!C419=" ","Falta Depto",IF(H411=".","Error En Descripción",Formulario!C419)),IF(H411=".",".","Falta Datos"))</f>
        <v>.</v>
      </c>
      <c r="H411" s="144" t="str">
        <f>IF(Formulario!D419&lt;&gt;"",IF(Formulario!D419=" ",".",Formulario!D419),".")</f>
        <v>.</v>
      </c>
      <c r="I411" s="144" t="str">
        <f>IF(Formulario!E419&lt;&gt;"",IF(Formulario!E419=" "," ",Formulario!E419),IF(G411=".",".","Falta Propietario"))</f>
        <v>.</v>
      </c>
      <c r="J411" s="144" t="str">
        <f>IF(Formulario!F419&lt;&gt;"",IF(Formulario!F419=" "," ",Formulario!F419)," ")</f>
        <v xml:space="preserve"> </v>
      </c>
      <c r="K411" s="144" t="str">
        <f>IF(Formulario!G419&lt;&gt;"",IF(Formulario!G419=" "," ",Formulario!G419)," ")</f>
        <v xml:space="preserve"> </v>
      </c>
      <c r="L411" s="144" t="str">
        <f>IF(Formulario!H419&lt;&gt;"",IF(Formulario!H419=" "," ",Formulario!H419)," ")</f>
        <v xml:space="preserve"> </v>
      </c>
      <c r="M411" s="144" t="str">
        <f>IF(Formulario!I419&lt;&gt;"",IF(Formulario!I419=" "," ",Formulario!I419)," ")</f>
        <v xml:space="preserve"> </v>
      </c>
      <c r="N411" s="145" t="str">
        <f>IF(Formulario!J419&lt;&gt;"",IF(Formulario!J419=" "," ",Formulario!J419),IF(G411=".",".","Falta Fecha"))</f>
        <v>.</v>
      </c>
      <c r="O411" s="155">
        <f>Formulario!L419</f>
        <v>0</v>
      </c>
      <c r="P411" s="146">
        <f>IF(O411=1,"09:00",Formulario!M419)</f>
        <v>0</v>
      </c>
      <c r="Q411" s="146">
        <f>IF(O411=1,"18:30",Formulario!N419)</f>
        <v>0</v>
      </c>
      <c r="R411" s="146" t="str">
        <f>IF(Formulario!O419&lt;&gt;"",IF(Formulario!O419=" ",".",Formulario!O419),".")</f>
        <v>Post Venta</v>
      </c>
      <c r="S411" s="141" t="s">
        <v>131</v>
      </c>
    </row>
    <row r="412" spans="1:19">
      <c r="A412" s="141">
        <f>Formulario!B420</f>
        <v>0</v>
      </c>
      <c r="B412" s="144" t="str">
        <f>IF(G412="."," ",Formulario!D$5)</f>
        <v xml:space="preserve"> </v>
      </c>
      <c r="C412" s="144" t="str">
        <f>IF(G412=".","",Formulario!D$6)</f>
        <v/>
      </c>
      <c r="D412" s="144" t="str">
        <f>IF(H412=".","",Formulario!D$7)</f>
        <v/>
      </c>
      <c r="E412" s="144" t="str">
        <f>IF(G412=".","",Formulario!J$5)</f>
        <v/>
      </c>
      <c r="F412" s="145" t="str">
        <f>IF(G412=".","",Formulario!J$6)</f>
        <v/>
      </c>
      <c r="G412" s="180" t="str">
        <f>IF(Formulario!C420&lt;&gt;"",IF(Formulario!C420=" ","Falta Depto",IF(H412=".","Error En Descripción",Formulario!C420)),IF(H412=".",".","Falta Datos"))</f>
        <v>.</v>
      </c>
      <c r="H412" s="144" t="str">
        <f>IF(Formulario!D420&lt;&gt;"",IF(Formulario!D420=" ",".",Formulario!D420),".")</f>
        <v>.</v>
      </c>
      <c r="I412" s="144" t="str">
        <f>IF(Formulario!E420&lt;&gt;"",IF(Formulario!E420=" "," ",Formulario!E420),IF(G412=".",".","Falta Propietario"))</f>
        <v>.</v>
      </c>
      <c r="J412" s="144" t="str">
        <f>IF(Formulario!F420&lt;&gt;"",IF(Formulario!F420=" "," ",Formulario!F420)," ")</f>
        <v xml:space="preserve"> </v>
      </c>
      <c r="K412" s="144" t="str">
        <f>IF(Formulario!G420&lt;&gt;"",IF(Formulario!G420=" "," ",Formulario!G420)," ")</f>
        <v xml:space="preserve"> </v>
      </c>
      <c r="L412" s="144" t="str">
        <f>IF(Formulario!H420&lt;&gt;"",IF(Formulario!H420=" "," ",Formulario!H420)," ")</f>
        <v xml:space="preserve"> </v>
      </c>
      <c r="M412" s="144" t="str">
        <f>IF(Formulario!I420&lt;&gt;"",IF(Formulario!I420=" "," ",Formulario!I420)," ")</f>
        <v xml:space="preserve"> </v>
      </c>
      <c r="N412" s="145" t="str">
        <f>IF(Formulario!J420&lt;&gt;"",IF(Formulario!J420=" "," ",Formulario!J420),IF(G412=".",".","Falta Fecha"))</f>
        <v>.</v>
      </c>
      <c r="O412" s="155">
        <f>Formulario!L420</f>
        <v>0</v>
      </c>
      <c r="P412" s="146">
        <f>IF(O412=1,"09:00",Formulario!M420)</f>
        <v>0</v>
      </c>
      <c r="Q412" s="146">
        <f>IF(O412=1,"18:30",Formulario!N420)</f>
        <v>0</v>
      </c>
      <c r="R412" s="146" t="str">
        <f>IF(Formulario!O420&lt;&gt;"",IF(Formulario!O420=" ",".",Formulario!O420),".")</f>
        <v>Post Venta</v>
      </c>
      <c r="S412" s="141" t="s">
        <v>131</v>
      </c>
    </row>
    <row r="413" spans="1:19">
      <c r="A413" s="141">
        <f>Formulario!B421</f>
        <v>0</v>
      </c>
      <c r="B413" s="144" t="str">
        <f>IF(G413="."," ",Formulario!D$5)</f>
        <v xml:space="preserve"> </v>
      </c>
      <c r="C413" s="144" t="str">
        <f>IF(G413=".","",Formulario!D$6)</f>
        <v/>
      </c>
      <c r="D413" s="144" t="str">
        <f>IF(H413=".","",Formulario!D$7)</f>
        <v/>
      </c>
      <c r="E413" s="144" t="str">
        <f>IF(G413=".","",Formulario!J$5)</f>
        <v/>
      </c>
      <c r="F413" s="145" t="str">
        <f>IF(G413=".","",Formulario!J$6)</f>
        <v/>
      </c>
      <c r="G413" s="180" t="str">
        <f>IF(Formulario!C421&lt;&gt;"",IF(Formulario!C421=" ","Falta Depto",IF(H413=".","Error En Descripción",Formulario!C421)),IF(H413=".",".","Falta Datos"))</f>
        <v>.</v>
      </c>
      <c r="H413" s="144" t="str">
        <f>IF(Formulario!D421&lt;&gt;"",IF(Formulario!D421=" ",".",Formulario!D421),".")</f>
        <v>.</v>
      </c>
      <c r="I413" s="144" t="str">
        <f>IF(Formulario!E421&lt;&gt;"",IF(Formulario!E421=" "," ",Formulario!E421),IF(G413=".",".","Falta Propietario"))</f>
        <v>.</v>
      </c>
      <c r="J413" s="144" t="str">
        <f>IF(Formulario!F421&lt;&gt;"",IF(Formulario!F421=" "," ",Formulario!F421)," ")</f>
        <v xml:space="preserve"> </v>
      </c>
      <c r="K413" s="144" t="str">
        <f>IF(Formulario!G421&lt;&gt;"",IF(Formulario!G421=" "," ",Formulario!G421)," ")</f>
        <v xml:space="preserve"> </v>
      </c>
      <c r="L413" s="144" t="str">
        <f>IF(Formulario!H421&lt;&gt;"",IF(Formulario!H421=" "," ",Formulario!H421)," ")</f>
        <v xml:space="preserve"> </v>
      </c>
      <c r="M413" s="144" t="str">
        <f>IF(Formulario!I421&lt;&gt;"",IF(Formulario!I421=" "," ",Formulario!I421)," ")</f>
        <v xml:space="preserve"> </v>
      </c>
      <c r="N413" s="145" t="str">
        <f>IF(Formulario!J421&lt;&gt;"",IF(Formulario!J421=" "," ",Formulario!J421),IF(G413=".",".","Falta Fecha"))</f>
        <v>.</v>
      </c>
      <c r="O413" s="155">
        <f>Formulario!L421</f>
        <v>0</v>
      </c>
      <c r="P413" s="146">
        <f>IF(O413=1,"09:00",Formulario!M421)</f>
        <v>0</v>
      </c>
      <c r="Q413" s="146">
        <f>IF(O413=1,"18:30",Formulario!N421)</f>
        <v>0</v>
      </c>
      <c r="R413" s="146" t="str">
        <f>IF(Formulario!O421&lt;&gt;"",IF(Formulario!O421=" ",".",Formulario!O421),".")</f>
        <v>Post Venta</v>
      </c>
      <c r="S413" s="141" t="s">
        <v>131</v>
      </c>
    </row>
    <row r="414" spans="1:19">
      <c r="A414" s="141">
        <f>Formulario!B422</f>
        <v>0</v>
      </c>
      <c r="B414" s="144" t="str">
        <f>IF(G414="."," ",Formulario!D$5)</f>
        <v xml:space="preserve"> </v>
      </c>
      <c r="C414" s="144" t="str">
        <f>IF(G414=".","",Formulario!D$6)</f>
        <v/>
      </c>
      <c r="D414" s="144" t="str">
        <f>IF(H414=".","",Formulario!D$7)</f>
        <v/>
      </c>
      <c r="E414" s="144" t="str">
        <f>IF(G414=".","",Formulario!J$5)</f>
        <v/>
      </c>
      <c r="F414" s="145" t="str">
        <f>IF(G414=".","",Formulario!J$6)</f>
        <v/>
      </c>
      <c r="G414" s="180" t="str">
        <f>IF(Formulario!C422&lt;&gt;"",IF(Formulario!C422=" ","Falta Depto",IF(H414=".","Error En Descripción",Formulario!C422)),IF(H414=".",".","Falta Datos"))</f>
        <v>.</v>
      </c>
      <c r="H414" s="144" t="str">
        <f>IF(Formulario!D422&lt;&gt;"",IF(Formulario!D422=" ",".",Formulario!D422),".")</f>
        <v>.</v>
      </c>
      <c r="I414" s="144" t="str">
        <f>IF(Formulario!E422&lt;&gt;"",IF(Formulario!E422=" "," ",Formulario!E422),IF(G414=".",".","Falta Propietario"))</f>
        <v>.</v>
      </c>
      <c r="J414" s="144" t="str">
        <f>IF(Formulario!F422&lt;&gt;"",IF(Formulario!F422=" "," ",Formulario!F422)," ")</f>
        <v xml:space="preserve"> </v>
      </c>
      <c r="K414" s="144" t="str">
        <f>IF(Formulario!G422&lt;&gt;"",IF(Formulario!G422=" "," ",Formulario!G422)," ")</f>
        <v xml:space="preserve"> </v>
      </c>
      <c r="L414" s="144" t="str">
        <f>IF(Formulario!H422&lt;&gt;"",IF(Formulario!H422=" "," ",Formulario!H422)," ")</f>
        <v xml:space="preserve"> </v>
      </c>
      <c r="M414" s="144" t="str">
        <f>IF(Formulario!I422&lt;&gt;"",IF(Formulario!I422=" "," ",Formulario!I422)," ")</f>
        <v xml:space="preserve"> </v>
      </c>
      <c r="N414" s="145" t="str">
        <f>IF(Formulario!J422&lt;&gt;"",IF(Formulario!J422=" "," ",Formulario!J422),IF(G414=".",".","Falta Fecha"))</f>
        <v>.</v>
      </c>
      <c r="O414" s="155">
        <f>Formulario!L422</f>
        <v>0</v>
      </c>
      <c r="P414" s="146">
        <f>IF(O414=1,"09:00",Formulario!M422)</f>
        <v>0</v>
      </c>
      <c r="Q414" s="146">
        <f>IF(O414=1,"18:30",Formulario!N422)</f>
        <v>0</v>
      </c>
      <c r="R414" s="146" t="str">
        <f>IF(Formulario!O422&lt;&gt;"",IF(Formulario!O422=" ",".",Formulario!O422),".")</f>
        <v>Post Venta</v>
      </c>
      <c r="S414" s="141" t="s">
        <v>131</v>
      </c>
    </row>
    <row r="415" spans="1:19">
      <c r="A415" s="141">
        <f>Formulario!B423</f>
        <v>0</v>
      </c>
      <c r="B415" s="144" t="str">
        <f>IF(G415="."," ",Formulario!D$5)</f>
        <v xml:space="preserve"> </v>
      </c>
      <c r="C415" s="144" t="str">
        <f>IF(G415=".","",Formulario!D$6)</f>
        <v/>
      </c>
      <c r="D415" s="144" t="str">
        <f>IF(H415=".","",Formulario!D$7)</f>
        <v/>
      </c>
      <c r="E415" s="144" t="str">
        <f>IF(G415=".","",Formulario!J$5)</f>
        <v/>
      </c>
      <c r="F415" s="145" t="str">
        <f>IF(G415=".","",Formulario!J$6)</f>
        <v/>
      </c>
      <c r="G415" s="180" t="str">
        <f>IF(Formulario!C423&lt;&gt;"",IF(Formulario!C423=" ","Falta Depto",IF(H415=".","Error En Descripción",Formulario!C423)),IF(H415=".",".","Falta Datos"))</f>
        <v>.</v>
      </c>
      <c r="H415" s="144" t="str">
        <f>IF(Formulario!D423&lt;&gt;"",IF(Formulario!D423=" ",".",Formulario!D423),".")</f>
        <v>.</v>
      </c>
      <c r="I415" s="144" t="str">
        <f>IF(Formulario!E423&lt;&gt;"",IF(Formulario!E423=" "," ",Formulario!E423),IF(G415=".",".","Falta Propietario"))</f>
        <v>.</v>
      </c>
      <c r="J415" s="144" t="str">
        <f>IF(Formulario!F423&lt;&gt;"",IF(Formulario!F423=" "," ",Formulario!F423)," ")</f>
        <v xml:space="preserve"> </v>
      </c>
      <c r="K415" s="144" t="str">
        <f>IF(Formulario!G423&lt;&gt;"",IF(Formulario!G423=" "," ",Formulario!G423)," ")</f>
        <v xml:space="preserve"> </v>
      </c>
      <c r="L415" s="144" t="str">
        <f>IF(Formulario!H423&lt;&gt;"",IF(Formulario!H423=" "," ",Formulario!H423)," ")</f>
        <v xml:space="preserve"> </v>
      </c>
      <c r="M415" s="144" t="str">
        <f>IF(Formulario!I423&lt;&gt;"",IF(Formulario!I423=" "," ",Formulario!I423)," ")</f>
        <v xml:space="preserve"> </v>
      </c>
      <c r="N415" s="145" t="str">
        <f>IF(Formulario!J423&lt;&gt;"",IF(Formulario!J423=" "," ",Formulario!J423),IF(G415=".",".","Falta Fecha"))</f>
        <v>.</v>
      </c>
      <c r="O415" s="155">
        <f>Formulario!L423</f>
        <v>0</v>
      </c>
      <c r="P415" s="146">
        <f>IF(O415=1,"09:00",Formulario!M423)</f>
        <v>0</v>
      </c>
      <c r="Q415" s="146">
        <f>IF(O415=1,"18:30",Formulario!N423)</f>
        <v>0</v>
      </c>
      <c r="R415" s="146" t="str">
        <f>IF(Formulario!O423&lt;&gt;"",IF(Formulario!O423=" ",".",Formulario!O423),".")</f>
        <v>Post Venta</v>
      </c>
      <c r="S415" s="141" t="s">
        <v>131</v>
      </c>
    </row>
    <row r="416" spans="1:19">
      <c r="A416" s="141">
        <f>Formulario!B424</f>
        <v>0</v>
      </c>
      <c r="B416" s="144" t="str">
        <f>IF(G416="."," ",Formulario!D$5)</f>
        <v xml:space="preserve"> </v>
      </c>
      <c r="C416" s="144" t="str">
        <f>IF(G416=".","",Formulario!D$6)</f>
        <v/>
      </c>
      <c r="D416" s="144" t="str">
        <f>IF(H416=".","",Formulario!D$7)</f>
        <v/>
      </c>
      <c r="E416" s="144" t="str">
        <f>IF(G416=".","",Formulario!J$5)</f>
        <v/>
      </c>
      <c r="F416" s="145" t="str">
        <f>IF(G416=".","",Formulario!J$6)</f>
        <v/>
      </c>
      <c r="G416" s="180" t="str">
        <f>IF(Formulario!C424&lt;&gt;"",IF(Formulario!C424=" ","Falta Depto",IF(H416=".","Error En Descripción",Formulario!C424)),IF(H416=".",".","Falta Datos"))</f>
        <v>.</v>
      </c>
      <c r="H416" s="144" t="str">
        <f>IF(Formulario!D424&lt;&gt;"",IF(Formulario!D424=" ",".",Formulario!D424),".")</f>
        <v>.</v>
      </c>
      <c r="I416" s="144" t="str">
        <f>IF(Formulario!E424&lt;&gt;"",IF(Formulario!E424=" "," ",Formulario!E424),IF(G416=".",".","Falta Propietario"))</f>
        <v>.</v>
      </c>
      <c r="J416" s="144" t="str">
        <f>IF(Formulario!F424&lt;&gt;"",IF(Formulario!F424=" "," ",Formulario!F424)," ")</f>
        <v xml:space="preserve"> </v>
      </c>
      <c r="K416" s="144" t="str">
        <f>IF(Formulario!G424&lt;&gt;"",IF(Formulario!G424=" "," ",Formulario!G424)," ")</f>
        <v xml:space="preserve"> </v>
      </c>
      <c r="L416" s="144" t="str">
        <f>IF(Formulario!H424&lt;&gt;"",IF(Formulario!H424=" "," ",Formulario!H424)," ")</f>
        <v xml:space="preserve"> </v>
      </c>
      <c r="M416" s="144" t="str">
        <f>IF(Formulario!I424&lt;&gt;"",IF(Formulario!I424=" "," ",Formulario!I424)," ")</f>
        <v xml:space="preserve"> </v>
      </c>
      <c r="N416" s="145" t="str">
        <f>IF(Formulario!J424&lt;&gt;"",IF(Formulario!J424=" "," ",Formulario!J424),IF(G416=".",".","Falta Fecha"))</f>
        <v>.</v>
      </c>
      <c r="O416" s="155">
        <f>Formulario!L424</f>
        <v>0</v>
      </c>
      <c r="P416" s="146">
        <f>IF(O416=1,"09:00",Formulario!M424)</f>
        <v>0</v>
      </c>
      <c r="Q416" s="146">
        <f>IF(O416=1,"18:30",Formulario!N424)</f>
        <v>0</v>
      </c>
      <c r="R416" s="146" t="str">
        <f>IF(Formulario!O424&lt;&gt;"",IF(Formulario!O424=" ",".",Formulario!O424),".")</f>
        <v>Post Venta</v>
      </c>
      <c r="S416" s="141" t="s">
        <v>131</v>
      </c>
    </row>
    <row r="417" spans="1:19">
      <c r="A417" s="141">
        <f>Formulario!B425</f>
        <v>0</v>
      </c>
      <c r="B417" s="144" t="str">
        <f>IF(G417="."," ",Formulario!D$5)</f>
        <v xml:space="preserve"> </v>
      </c>
      <c r="C417" s="144" t="str">
        <f>IF(G417=".","",Formulario!D$6)</f>
        <v/>
      </c>
      <c r="D417" s="144" t="str">
        <f>IF(H417=".","",Formulario!D$7)</f>
        <v/>
      </c>
      <c r="E417" s="144" t="str">
        <f>IF(G417=".","",Formulario!J$5)</f>
        <v/>
      </c>
      <c r="F417" s="145" t="str">
        <f>IF(G417=".","",Formulario!J$6)</f>
        <v/>
      </c>
      <c r="G417" s="180" t="str">
        <f>IF(Formulario!C425&lt;&gt;"",IF(Formulario!C425=" ","Falta Depto",IF(H417=".","Error En Descripción",Formulario!C425)),IF(H417=".",".","Falta Datos"))</f>
        <v>.</v>
      </c>
      <c r="H417" s="144" t="str">
        <f>IF(Formulario!D425&lt;&gt;"",IF(Formulario!D425=" ",".",Formulario!D425),".")</f>
        <v>.</v>
      </c>
      <c r="I417" s="144" t="str">
        <f>IF(Formulario!E425&lt;&gt;"",IF(Formulario!E425=" "," ",Formulario!E425),IF(G417=".",".","Falta Propietario"))</f>
        <v>.</v>
      </c>
      <c r="J417" s="144" t="str">
        <f>IF(Formulario!F425&lt;&gt;"",IF(Formulario!F425=" "," ",Formulario!F425)," ")</f>
        <v xml:space="preserve"> </v>
      </c>
      <c r="K417" s="144" t="str">
        <f>IF(Formulario!G425&lt;&gt;"",IF(Formulario!G425=" "," ",Formulario!G425)," ")</f>
        <v xml:space="preserve"> </v>
      </c>
      <c r="L417" s="144" t="str">
        <f>IF(Formulario!H425&lt;&gt;"",IF(Formulario!H425=" "," ",Formulario!H425)," ")</f>
        <v xml:space="preserve"> </v>
      </c>
      <c r="M417" s="144" t="str">
        <f>IF(Formulario!I425&lt;&gt;"",IF(Formulario!I425=" "," ",Formulario!I425)," ")</f>
        <v xml:space="preserve"> </v>
      </c>
      <c r="N417" s="145" t="str">
        <f>IF(Formulario!J425&lt;&gt;"",IF(Formulario!J425=" "," ",Formulario!J425),IF(G417=".",".","Falta Fecha"))</f>
        <v>.</v>
      </c>
      <c r="O417" s="155">
        <f>Formulario!L425</f>
        <v>0</v>
      </c>
      <c r="P417" s="146">
        <f>IF(O417=1,"09:00",Formulario!M425)</f>
        <v>0</v>
      </c>
      <c r="Q417" s="146">
        <f>IF(O417=1,"18:30",Formulario!N425)</f>
        <v>0</v>
      </c>
      <c r="R417" s="146" t="str">
        <f>IF(Formulario!O425&lt;&gt;"",IF(Formulario!O425=" ",".",Formulario!O425),".")</f>
        <v>Post Venta</v>
      </c>
      <c r="S417" s="141" t="s">
        <v>131</v>
      </c>
    </row>
    <row r="418" spans="1:19">
      <c r="A418" s="141">
        <f>Formulario!B426</f>
        <v>0</v>
      </c>
      <c r="B418" s="144" t="str">
        <f>IF(G418="."," ",Formulario!D$5)</f>
        <v xml:space="preserve"> </v>
      </c>
      <c r="C418" s="144" t="str">
        <f>IF(G418=".","",Formulario!D$6)</f>
        <v/>
      </c>
      <c r="D418" s="144" t="str">
        <f>IF(H418=".","",Formulario!D$7)</f>
        <v/>
      </c>
      <c r="E418" s="144" t="str">
        <f>IF(G418=".","",Formulario!J$5)</f>
        <v/>
      </c>
      <c r="F418" s="145" t="str">
        <f>IF(G418=".","",Formulario!J$6)</f>
        <v/>
      </c>
      <c r="G418" s="180" t="str">
        <f>IF(Formulario!C426&lt;&gt;"",IF(Formulario!C426=" ","Falta Depto",IF(H418=".","Error En Descripción",Formulario!C426)),IF(H418=".",".","Falta Datos"))</f>
        <v>.</v>
      </c>
      <c r="H418" s="144" t="str">
        <f>IF(Formulario!D426&lt;&gt;"",IF(Formulario!D426=" ",".",Formulario!D426),".")</f>
        <v>.</v>
      </c>
      <c r="I418" s="144" t="str">
        <f>IF(Formulario!E426&lt;&gt;"",IF(Formulario!E426=" "," ",Formulario!E426),IF(G418=".",".","Falta Propietario"))</f>
        <v>.</v>
      </c>
      <c r="J418" s="144" t="str">
        <f>IF(Formulario!F426&lt;&gt;"",IF(Formulario!F426=" "," ",Formulario!F426)," ")</f>
        <v xml:space="preserve"> </v>
      </c>
      <c r="K418" s="144" t="str">
        <f>IF(Formulario!G426&lt;&gt;"",IF(Formulario!G426=" "," ",Formulario!G426)," ")</f>
        <v xml:space="preserve"> </v>
      </c>
      <c r="L418" s="144" t="str">
        <f>IF(Formulario!H426&lt;&gt;"",IF(Formulario!H426=" "," ",Formulario!H426)," ")</f>
        <v xml:space="preserve"> </v>
      </c>
      <c r="M418" s="144" t="str">
        <f>IF(Formulario!I426&lt;&gt;"",IF(Formulario!I426=" "," ",Formulario!I426)," ")</f>
        <v xml:space="preserve"> </v>
      </c>
      <c r="N418" s="145" t="str">
        <f>IF(Formulario!J426&lt;&gt;"",IF(Formulario!J426=" "," ",Formulario!J426),IF(G418=".",".","Falta Fecha"))</f>
        <v>.</v>
      </c>
      <c r="O418" s="155">
        <f>Formulario!L426</f>
        <v>0</v>
      </c>
      <c r="P418" s="146">
        <f>IF(O418=1,"09:00",Formulario!M426)</f>
        <v>0</v>
      </c>
      <c r="Q418" s="146">
        <f>IF(O418=1,"18:30",Formulario!N426)</f>
        <v>0</v>
      </c>
      <c r="R418" s="146" t="str">
        <f>IF(Formulario!O426&lt;&gt;"",IF(Formulario!O426=" ",".",Formulario!O426),".")</f>
        <v>Post Venta</v>
      </c>
      <c r="S418" s="141" t="s">
        <v>131</v>
      </c>
    </row>
    <row r="419" spans="1:19">
      <c r="A419" s="141">
        <f>Formulario!B427</f>
        <v>0</v>
      </c>
      <c r="B419" s="144" t="str">
        <f>IF(G419="."," ",Formulario!D$5)</f>
        <v xml:space="preserve"> </v>
      </c>
      <c r="C419" s="144" t="str">
        <f>IF(G419=".","",Formulario!D$6)</f>
        <v/>
      </c>
      <c r="D419" s="144" t="str">
        <f>IF(H419=".","",Formulario!D$7)</f>
        <v/>
      </c>
      <c r="E419" s="144" t="str">
        <f>IF(G419=".","",Formulario!J$5)</f>
        <v/>
      </c>
      <c r="F419" s="145" t="str">
        <f>IF(G419=".","",Formulario!J$6)</f>
        <v/>
      </c>
      <c r="G419" s="180" t="str">
        <f>IF(Formulario!C427&lt;&gt;"",IF(Formulario!C427=" ","Falta Depto",IF(H419=".","Error En Descripción",Formulario!C427)),IF(H419=".",".","Falta Datos"))</f>
        <v>.</v>
      </c>
      <c r="H419" s="144" t="str">
        <f>IF(Formulario!D427&lt;&gt;"",IF(Formulario!D427=" ",".",Formulario!D427),".")</f>
        <v>.</v>
      </c>
      <c r="I419" s="144" t="str">
        <f>IF(Formulario!E427&lt;&gt;"",IF(Formulario!E427=" "," ",Formulario!E427),IF(G419=".",".","Falta Propietario"))</f>
        <v>.</v>
      </c>
      <c r="J419" s="144" t="str">
        <f>IF(Formulario!F427&lt;&gt;"",IF(Formulario!F427=" "," ",Formulario!F427)," ")</f>
        <v xml:space="preserve"> </v>
      </c>
      <c r="K419" s="144" t="str">
        <f>IF(Formulario!G427&lt;&gt;"",IF(Formulario!G427=" "," ",Formulario!G427)," ")</f>
        <v xml:space="preserve"> </v>
      </c>
      <c r="L419" s="144" t="str">
        <f>IF(Formulario!H427&lt;&gt;"",IF(Formulario!H427=" "," ",Formulario!H427)," ")</f>
        <v xml:space="preserve"> </v>
      </c>
      <c r="M419" s="144" t="str">
        <f>IF(Formulario!I427&lt;&gt;"",IF(Formulario!I427=" "," ",Formulario!I427)," ")</f>
        <v xml:space="preserve"> </v>
      </c>
      <c r="N419" s="145" t="str">
        <f>IF(Formulario!J427&lt;&gt;"",IF(Formulario!J427=" "," ",Formulario!J427),IF(G419=".",".","Falta Fecha"))</f>
        <v>.</v>
      </c>
      <c r="O419" s="155">
        <f>Formulario!L427</f>
        <v>0</v>
      </c>
      <c r="P419" s="146">
        <f>IF(O419=1,"09:00",Formulario!M427)</f>
        <v>0</v>
      </c>
      <c r="Q419" s="146">
        <f>IF(O419=1,"18:30",Formulario!N427)</f>
        <v>0</v>
      </c>
      <c r="R419" s="146" t="str">
        <f>IF(Formulario!O427&lt;&gt;"",IF(Formulario!O427=" ",".",Formulario!O427),".")</f>
        <v>Post Venta</v>
      </c>
      <c r="S419" s="141" t="s">
        <v>131</v>
      </c>
    </row>
    <row r="420" spans="1:19">
      <c r="A420" s="141">
        <f>Formulario!B428</f>
        <v>0</v>
      </c>
      <c r="B420" s="144" t="str">
        <f>IF(G420="."," ",Formulario!D$5)</f>
        <v xml:space="preserve"> </v>
      </c>
      <c r="C420" s="144" t="str">
        <f>IF(G420=".","",Formulario!D$6)</f>
        <v/>
      </c>
      <c r="D420" s="144" t="str">
        <f>IF(H420=".","",Formulario!D$7)</f>
        <v/>
      </c>
      <c r="E420" s="144" t="str">
        <f>IF(G420=".","",Formulario!J$5)</f>
        <v/>
      </c>
      <c r="F420" s="145" t="str">
        <f>IF(G420=".","",Formulario!J$6)</f>
        <v/>
      </c>
      <c r="G420" s="180" t="str">
        <f>IF(Formulario!C428&lt;&gt;"",IF(Formulario!C428=" ","Falta Depto",IF(H420=".","Error En Descripción",Formulario!C428)),IF(H420=".",".","Falta Datos"))</f>
        <v>.</v>
      </c>
      <c r="H420" s="144" t="str">
        <f>IF(Formulario!D428&lt;&gt;"",IF(Formulario!D428=" ",".",Formulario!D428),".")</f>
        <v>.</v>
      </c>
      <c r="I420" s="144" t="str">
        <f>IF(Formulario!E428&lt;&gt;"",IF(Formulario!E428=" "," ",Formulario!E428),IF(G420=".",".","Falta Propietario"))</f>
        <v>.</v>
      </c>
      <c r="J420" s="144" t="str">
        <f>IF(Formulario!F428&lt;&gt;"",IF(Formulario!F428=" "," ",Formulario!F428)," ")</f>
        <v xml:space="preserve"> </v>
      </c>
      <c r="K420" s="144" t="str">
        <f>IF(Formulario!G428&lt;&gt;"",IF(Formulario!G428=" "," ",Formulario!G428)," ")</f>
        <v xml:space="preserve"> </v>
      </c>
      <c r="L420" s="144" t="str">
        <f>IF(Formulario!H428&lt;&gt;"",IF(Formulario!H428=" "," ",Formulario!H428)," ")</f>
        <v xml:space="preserve"> </v>
      </c>
      <c r="M420" s="144" t="str">
        <f>IF(Formulario!I428&lt;&gt;"",IF(Formulario!I428=" "," ",Formulario!I428)," ")</f>
        <v xml:space="preserve"> </v>
      </c>
      <c r="N420" s="145" t="str">
        <f>IF(Formulario!J428&lt;&gt;"",IF(Formulario!J428=" "," ",Formulario!J428),IF(G420=".",".","Falta Fecha"))</f>
        <v>.</v>
      </c>
      <c r="O420" s="155">
        <f>Formulario!L428</f>
        <v>0</v>
      </c>
      <c r="P420" s="146">
        <f>IF(O420=1,"09:00",Formulario!M428)</f>
        <v>0</v>
      </c>
      <c r="Q420" s="146">
        <f>IF(O420=1,"18:30",Formulario!N428)</f>
        <v>0</v>
      </c>
      <c r="R420" s="146" t="str">
        <f>IF(Formulario!O428&lt;&gt;"",IF(Formulario!O428=" ",".",Formulario!O428),".")</f>
        <v>Post Venta</v>
      </c>
      <c r="S420" s="141" t="s">
        <v>131</v>
      </c>
    </row>
    <row r="421" spans="1:19">
      <c r="A421" s="141">
        <f>Formulario!B429</f>
        <v>0</v>
      </c>
      <c r="B421" s="144" t="str">
        <f>IF(G421="."," ",Formulario!D$5)</f>
        <v xml:space="preserve"> </v>
      </c>
      <c r="C421" s="144" t="str">
        <f>IF(G421=".","",Formulario!D$6)</f>
        <v/>
      </c>
      <c r="D421" s="144" t="str">
        <f>IF(H421=".","",Formulario!D$7)</f>
        <v/>
      </c>
      <c r="E421" s="144" t="str">
        <f>IF(G421=".","",Formulario!J$5)</f>
        <v/>
      </c>
      <c r="F421" s="145" t="str">
        <f>IF(G421=".","",Formulario!J$6)</f>
        <v/>
      </c>
      <c r="G421" s="180" t="str">
        <f>IF(Formulario!C429&lt;&gt;"",IF(Formulario!C429=" ","Falta Depto",IF(H421=".","Error En Descripción",Formulario!C429)),IF(H421=".",".","Falta Datos"))</f>
        <v>.</v>
      </c>
      <c r="H421" s="144" t="str">
        <f>IF(Formulario!D429&lt;&gt;"",IF(Formulario!D429=" ",".",Formulario!D429),".")</f>
        <v>.</v>
      </c>
      <c r="I421" s="144" t="str">
        <f>IF(Formulario!E429&lt;&gt;"",IF(Formulario!E429=" "," ",Formulario!E429),IF(G421=".",".","Falta Propietario"))</f>
        <v>.</v>
      </c>
      <c r="J421" s="144" t="str">
        <f>IF(Formulario!F429&lt;&gt;"",IF(Formulario!F429=" "," ",Formulario!F429)," ")</f>
        <v xml:space="preserve"> </v>
      </c>
      <c r="K421" s="144" t="str">
        <f>IF(Formulario!G429&lt;&gt;"",IF(Formulario!G429=" "," ",Formulario!G429)," ")</f>
        <v xml:space="preserve"> </v>
      </c>
      <c r="L421" s="144" t="str">
        <f>IF(Formulario!H429&lt;&gt;"",IF(Formulario!H429=" "," ",Formulario!H429)," ")</f>
        <v xml:space="preserve"> </v>
      </c>
      <c r="M421" s="144" t="str">
        <f>IF(Formulario!I429&lt;&gt;"",IF(Formulario!I429=" "," ",Formulario!I429)," ")</f>
        <v xml:space="preserve"> </v>
      </c>
      <c r="N421" s="145" t="str">
        <f>IF(Formulario!J429&lt;&gt;"",IF(Formulario!J429=" "," ",Formulario!J429),IF(G421=".",".","Falta Fecha"))</f>
        <v>.</v>
      </c>
      <c r="O421" s="155">
        <f>Formulario!L429</f>
        <v>0</v>
      </c>
      <c r="P421" s="146">
        <f>IF(O421=1,"09:00",Formulario!M429)</f>
        <v>0</v>
      </c>
      <c r="Q421" s="146">
        <f>IF(O421=1,"18:30",Formulario!N429)</f>
        <v>0</v>
      </c>
      <c r="R421" s="146" t="str">
        <f>IF(Formulario!O429&lt;&gt;"",IF(Formulario!O429=" ",".",Formulario!O429),".")</f>
        <v>Post Venta</v>
      </c>
      <c r="S421" s="141" t="s">
        <v>131</v>
      </c>
    </row>
    <row r="422" spans="1:19">
      <c r="A422" s="141">
        <f>Formulario!B430</f>
        <v>0</v>
      </c>
      <c r="B422" s="144" t="str">
        <f>IF(G422="."," ",Formulario!D$5)</f>
        <v xml:space="preserve"> </v>
      </c>
      <c r="C422" s="144" t="str">
        <f>IF(G422=".","",Formulario!D$6)</f>
        <v/>
      </c>
      <c r="D422" s="144" t="str">
        <f>IF(H422=".","",Formulario!D$7)</f>
        <v/>
      </c>
      <c r="E422" s="144" t="str">
        <f>IF(G422=".","",Formulario!J$5)</f>
        <v/>
      </c>
      <c r="F422" s="145" t="str">
        <f>IF(G422=".","",Formulario!J$6)</f>
        <v/>
      </c>
      <c r="G422" s="180" t="str">
        <f>IF(Formulario!C430&lt;&gt;"",IF(Formulario!C430=" ","Falta Depto",IF(H422=".","Error En Descripción",Formulario!C430)),IF(H422=".",".","Falta Datos"))</f>
        <v>.</v>
      </c>
      <c r="H422" s="144" t="str">
        <f>IF(Formulario!D430&lt;&gt;"",IF(Formulario!D430=" ",".",Formulario!D430),".")</f>
        <v>.</v>
      </c>
      <c r="I422" s="144" t="str">
        <f>IF(Formulario!E430&lt;&gt;"",IF(Formulario!E430=" "," ",Formulario!E430),IF(G422=".",".","Falta Propietario"))</f>
        <v>.</v>
      </c>
      <c r="J422" s="144" t="str">
        <f>IF(Formulario!F430&lt;&gt;"",IF(Formulario!F430=" "," ",Formulario!F430)," ")</f>
        <v xml:space="preserve"> </v>
      </c>
      <c r="K422" s="144" t="str">
        <f>IF(Formulario!G430&lt;&gt;"",IF(Formulario!G430=" "," ",Formulario!G430)," ")</f>
        <v xml:space="preserve"> </v>
      </c>
      <c r="L422" s="144" t="str">
        <f>IF(Formulario!H430&lt;&gt;"",IF(Formulario!H430=" "," ",Formulario!H430)," ")</f>
        <v xml:space="preserve"> </v>
      </c>
      <c r="M422" s="144" t="str">
        <f>IF(Formulario!I430&lt;&gt;"",IF(Formulario!I430=" "," ",Formulario!I430)," ")</f>
        <v xml:space="preserve"> </v>
      </c>
      <c r="N422" s="145" t="str">
        <f>IF(Formulario!J430&lt;&gt;"",IF(Formulario!J430=" "," ",Formulario!J430),IF(G422=".",".","Falta Fecha"))</f>
        <v>.</v>
      </c>
      <c r="O422" s="155">
        <f>Formulario!L430</f>
        <v>0</v>
      </c>
      <c r="P422" s="146">
        <f>IF(O422=1,"09:00",Formulario!M430)</f>
        <v>0</v>
      </c>
      <c r="Q422" s="146">
        <f>IF(O422=1,"18:30",Formulario!N430)</f>
        <v>0</v>
      </c>
      <c r="R422" s="146" t="str">
        <f>IF(Formulario!O430&lt;&gt;"",IF(Formulario!O430=" ",".",Formulario!O430),".")</f>
        <v>Post Venta</v>
      </c>
      <c r="S422" s="141" t="s">
        <v>131</v>
      </c>
    </row>
    <row r="423" spans="1:19">
      <c r="A423" s="141">
        <f>Formulario!B431</f>
        <v>0</v>
      </c>
      <c r="B423" s="144" t="str">
        <f>IF(G423="."," ",Formulario!D$5)</f>
        <v xml:space="preserve"> </v>
      </c>
      <c r="C423" s="144" t="str">
        <f>IF(G423=".","",Formulario!D$6)</f>
        <v/>
      </c>
      <c r="D423" s="144" t="str">
        <f>IF(H423=".","",Formulario!D$7)</f>
        <v/>
      </c>
      <c r="E423" s="144" t="str">
        <f>IF(G423=".","",Formulario!J$5)</f>
        <v/>
      </c>
      <c r="F423" s="145" t="str">
        <f>IF(G423=".","",Formulario!J$6)</f>
        <v/>
      </c>
      <c r="G423" s="180" t="str">
        <f>IF(Formulario!C431&lt;&gt;"",IF(Formulario!C431=" ","Falta Depto",IF(H423=".","Error En Descripción",Formulario!C431)),IF(H423=".",".","Falta Datos"))</f>
        <v>.</v>
      </c>
      <c r="H423" s="144" t="str">
        <f>IF(Formulario!D431&lt;&gt;"",IF(Formulario!D431=" ",".",Formulario!D431),".")</f>
        <v>.</v>
      </c>
      <c r="I423" s="144" t="str">
        <f>IF(Formulario!E431&lt;&gt;"",IF(Formulario!E431=" "," ",Formulario!E431),IF(G423=".",".","Falta Propietario"))</f>
        <v>.</v>
      </c>
      <c r="J423" s="144" t="str">
        <f>IF(Formulario!F431&lt;&gt;"",IF(Formulario!F431=" "," ",Formulario!F431)," ")</f>
        <v xml:space="preserve"> </v>
      </c>
      <c r="K423" s="144" t="str">
        <f>IF(Formulario!G431&lt;&gt;"",IF(Formulario!G431=" "," ",Formulario!G431)," ")</f>
        <v xml:space="preserve"> </v>
      </c>
      <c r="L423" s="144" t="str">
        <f>IF(Formulario!H431&lt;&gt;"",IF(Formulario!H431=" "," ",Formulario!H431)," ")</f>
        <v xml:space="preserve"> </v>
      </c>
      <c r="M423" s="144" t="str">
        <f>IF(Formulario!I431&lt;&gt;"",IF(Formulario!I431=" "," ",Formulario!I431)," ")</f>
        <v xml:space="preserve"> </v>
      </c>
      <c r="N423" s="145" t="str">
        <f>IF(Formulario!J431&lt;&gt;"",IF(Formulario!J431=" "," ",Formulario!J431),IF(G423=".",".","Falta Fecha"))</f>
        <v>.</v>
      </c>
      <c r="O423" s="155">
        <f>Formulario!L431</f>
        <v>0</v>
      </c>
      <c r="P423" s="146">
        <f>IF(O423=1,"09:00",Formulario!M431)</f>
        <v>0</v>
      </c>
      <c r="Q423" s="146">
        <f>IF(O423=1,"18:30",Formulario!N431)</f>
        <v>0</v>
      </c>
      <c r="R423" s="146" t="str">
        <f>IF(Formulario!O431&lt;&gt;"",IF(Formulario!O431=" ",".",Formulario!O431),".")</f>
        <v>Post Venta</v>
      </c>
      <c r="S423" s="141" t="s">
        <v>131</v>
      </c>
    </row>
    <row r="424" spans="1:19">
      <c r="A424" s="141">
        <f>Formulario!B432</f>
        <v>0</v>
      </c>
      <c r="B424" s="144" t="str">
        <f>IF(G424="."," ",Formulario!D$5)</f>
        <v xml:space="preserve"> </v>
      </c>
      <c r="C424" s="144" t="str">
        <f>IF(G424=".","",Formulario!D$6)</f>
        <v/>
      </c>
      <c r="D424" s="144" t="str">
        <f>IF(H424=".","",Formulario!D$7)</f>
        <v/>
      </c>
      <c r="E424" s="144" t="str">
        <f>IF(G424=".","",Formulario!J$5)</f>
        <v/>
      </c>
      <c r="F424" s="145" t="str">
        <f>IF(G424=".","",Formulario!J$6)</f>
        <v/>
      </c>
      <c r="G424" s="180" t="str">
        <f>IF(Formulario!C432&lt;&gt;"",IF(Formulario!C432=" ","Falta Depto",IF(H424=".","Error En Descripción",Formulario!C432)),IF(H424=".",".","Falta Datos"))</f>
        <v>.</v>
      </c>
      <c r="H424" s="144" t="str">
        <f>IF(Formulario!D432&lt;&gt;"",IF(Formulario!D432=" ",".",Formulario!D432),".")</f>
        <v>.</v>
      </c>
      <c r="I424" s="144" t="str">
        <f>IF(Formulario!E432&lt;&gt;"",IF(Formulario!E432=" "," ",Formulario!E432),IF(G424=".",".","Falta Propietario"))</f>
        <v>.</v>
      </c>
      <c r="J424" s="144" t="str">
        <f>IF(Formulario!F432&lt;&gt;"",IF(Formulario!F432=" "," ",Formulario!F432)," ")</f>
        <v xml:space="preserve"> </v>
      </c>
      <c r="K424" s="144" t="str">
        <f>IF(Formulario!G432&lt;&gt;"",IF(Formulario!G432=" "," ",Formulario!G432)," ")</f>
        <v xml:space="preserve"> </v>
      </c>
      <c r="L424" s="144" t="str">
        <f>IF(Formulario!H432&lt;&gt;"",IF(Formulario!H432=" "," ",Formulario!H432)," ")</f>
        <v xml:space="preserve"> </v>
      </c>
      <c r="M424" s="144" t="str">
        <f>IF(Formulario!I432&lt;&gt;"",IF(Formulario!I432=" "," ",Formulario!I432)," ")</f>
        <v xml:space="preserve"> </v>
      </c>
      <c r="N424" s="145" t="str">
        <f>IF(Formulario!J432&lt;&gt;"",IF(Formulario!J432=" "," ",Formulario!J432),IF(G424=".",".","Falta Fecha"))</f>
        <v>.</v>
      </c>
      <c r="O424" s="155">
        <f>Formulario!L432</f>
        <v>0</v>
      </c>
      <c r="P424" s="146">
        <f>IF(O424=1,"09:00",Formulario!M432)</f>
        <v>0</v>
      </c>
      <c r="Q424" s="146">
        <f>IF(O424=1,"18:30",Formulario!N432)</f>
        <v>0</v>
      </c>
      <c r="R424" s="146" t="str">
        <f>IF(Formulario!O432&lt;&gt;"",IF(Formulario!O432=" ",".",Formulario!O432),".")</f>
        <v>Post Venta</v>
      </c>
      <c r="S424" s="141" t="s">
        <v>131</v>
      </c>
    </row>
    <row r="425" spans="1:19">
      <c r="A425" s="141">
        <f>Formulario!B433</f>
        <v>0</v>
      </c>
      <c r="B425" s="144" t="str">
        <f>IF(G425="."," ",Formulario!D$5)</f>
        <v xml:space="preserve"> </v>
      </c>
      <c r="C425" s="144" t="str">
        <f>IF(G425=".","",Formulario!D$6)</f>
        <v/>
      </c>
      <c r="D425" s="144" t="str">
        <f>IF(H425=".","",Formulario!D$7)</f>
        <v/>
      </c>
      <c r="E425" s="144" t="str">
        <f>IF(G425=".","",Formulario!J$5)</f>
        <v/>
      </c>
      <c r="F425" s="145" t="str">
        <f>IF(G425=".","",Formulario!J$6)</f>
        <v/>
      </c>
      <c r="G425" s="180" t="str">
        <f>IF(Formulario!C433&lt;&gt;"",IF(Formulario!C433=" ","Falta Depto",IF(H425=".","Error En Descripción",Formulario!C433)),IF(H425=".",".","Falta Datos"))</f>
        <v>.</v>
      </c>
      <c r="H425" s="144" t="str">
        <f>IF(Formulario!D433&lt;&gt;"",IF(Formulario!D433=" ",".",Formulario!D433),".")</f>
        <v>.</v>
      </c>
      <c r="I425" s="144" t="str">
        <f>IF(Formulario!E433&lt;&gt;"",IF(Formulario!E433=" "," ",Formulario!E433),IF(G425=".",".","Falta Propietario"))</f>
        <v>.</v>
      </c>
      <c r="J425" s="144" t="str">
        <f>IF(Formulario!F433&lt;&gt;"",IF(Formulario!F433=" "," ",Formulario!F433)," ")</f>
        <v xml:space="preserve"> </v>
      </c>
      <c r="K425" s="144" t="str">
        <f>IF(Formulario!G433&lt;&gt;"",IF(Formulario!G433=" "," ",Formulario!G433)," ")</f>
        <v xml:space="preserve"> </v>
      </c>
      <c r="L425" s="144" t="str">
        <f>IF(Formulario!H433&lt;&gt;"",IF(Formulario!H433=" "," ",Formulario!H433)," ")</f>
        <v xml:space="preserve"> </v>
      </c>
      <c r="M425" s="144" t="str">
        <f>IF(Formulario!I433&lt;&gt;"",IF(Formulario!I433=" "," ",Formulario!I433)," ")</f>
        <v xml:space="preserve"> </v>
      </c>
      <c r="N425" s="145" t="str">
        <f>IF(Formulario!J433&lt;&gt;"",IF(Formulario!J433=" "," ",Formulario!J433),IF(G425=".",".","Falta Fecha"))</f>
        <v>.</v>
      </c>
      <c r="O425" s="155">
        <f>Formulario!L433</f>
        <v>0</v>
      </c>
      <c r="P425" s="146">
        <f>IF(O425=1,"09:00",Formulario!M433)</f>
        <v>0</v>
      </c>
      <c r="Q425" s="146">
        <f>IF(O425=1,"18:30",Formulario!N433)</f>
        <v>0</v>
      </c>
      <c r="R425" s="146" t="str">
        <f>IF(Formulario!O433&lt;&gt;"",IF(Formulario!O433=" ",".",Formulario!O433),".")</f>
        <v>Post Venta</v>
      </c>
      <c r="S425" s="141" t="s">
        <v>131</v>
      </c>
    </row>
    <row r="426" spans="1:19">
      <c r="A426" s="141">
        <f>Formulario!B434</f>
        <v>0</v>
      </c>
      <c r="B426" s="144" t="str">
        <f>IF(G426="."," ",Formulario!D$5)</f>
        <v xml:space="preserve"> </v>
      </c>
      <c r="C426" s="144" t="str">
        <f>IF(G426=".","",Formulario!D$6)</f>
        <v/>
      </c>
      <c r="D426" s="144" t="str">
        <f>IF(H426=".","",Formulario!D$7)</f>
        <v/>
      </c>
      <c r="E426" s="144" t="str">
        <f>IF(G426=".","",Formulario!J$5)</f>
        <v/>
      </c>
      <c r="F426" s="145" t="str">
        <f>IF(G426=".","",Formulario!J$6)</f>
        <v/>
      </c>
      <c r="G426" s="180" t="str">
        <f>IF(Formulario!C434&lt;&gt;"",IF(Formulario!C434=" ","Falta Depto",IF(H426=".","Error En Descripción",Formulario!C434)),IF(H426=".",".","Falta Datos"))</f>
        <v>.</v>
      </c>
      <c r="H426" s="144" t="str">
        <f>IF(Formulario!D434&lt;&gt;"",IF(Formulario!D434=" ",".",Formulario!D434),".")</f>
        <v>.</v>
      </c>
      <c r="I426" s="144" t="str">
        <f>IF(Formulario!E434&lt;&gt;"",IF(Formulario!E434=" "," ",Formulario!E434),IF(G426=".",".","Falta Propietario"))</f>
        <v>.</v>
      </c>
      <c r="J426" s="144" t="str">
        <f>IF(Formulario!F434&lt;&gt;"",IF(Formulario!F434=" "," ",Formulario!F434)," ")</f>
        <v xml:space="preserve"> </v>
      </c>
      <c r="K426" s="144" t="str">
        <f>IF(Formulario!G434&lt;&gt;"",IF(Formulario!G434=" "," ",Formulario!G434)," ")</f>
        <v xml:space="preserve"> </v>
      </c>
      <c r="L426" s="144" t="str">
        <f>IF(Formulario!H434&lt;&gt;"",IF(Formulario!H434=" "," ",Formulario!H434)," ")</f>
        <v xml:space="preserve"> </v>
      </c>
      <c r="M426" s="144" t="str">
        <f>IF(Formulario!I434&lt;&gt;"",IF(Formulario!I434=" "," ",Formulario!I434)," ")</f>
        <v xml:space="preserve"> </v>
      </c>
      <c r="N426" s="145" t="str">
        <f>IF(Formulario!J434&lt;&gt;"",IF(Formulario!J434=" "," ",Formulario!J434),IF(G426=".",".","Falta Fecha"))</f>
        <v>.</v>
      </c>
      <c r="O426" s="155">
        <f>Formulario!L434</f>
        <v>0</v>
      </c>
      <c r="P426" s="146">
        <f>IF(O426=1,"09:00",Formulario!M434)</f>
        <v>0</v>
      </c>
      <c r="Q426" s="146">
        <f>IF(O426=1,"18:30",Formulario!N434)</f>
        <v>0</v>
      </c>
      <c r="R426" s="146" t="str">
        <f>IF(Formulario!O434&lt;&gt;"",IF(Formulario!O434=" ",".",Formulario!O434),".")</f>
        <v>Post Venta</v>
      </c>
      <c r="S426" s="141" t="s">
        <v>131</v>
      </c>
    </row>
    <row r="427" spans="1:19">
      <c r="A427" s="141">
        <f>Formulario!B435</f>
        <v>0</v>
      </c>
      <c r="B427" s="144" t="str">
        <f>IF(G427="."," ",Formulario!D$5)</f>
        <v xml:space="preserve"> </v>
      </c>
      <c r="C427" s="144" t="str">
        <f>IF(G427=".","",Formulario!D$6)</f>
        <v/>
      </c>
      <c r="D427" s="144" t="str">
        <f>IF(H427=".","",Formulario!D$7)</f>
        <v/>
      </c>
      <c r="E427" s="144" t="str">
        <f>IF(G427=".","",Formulario!J$5)</f>
        <v/>
      </c>
      <c r="F427" s="145" t="str">
        <f>IF(G427=".","",Formulario!J$6)</f>
        <v/>
      </c>
      <c r="G427" s="180" t="str">
        <f>IF(Formulario!C435&lt;&gt;"",IF(Formulario!C435=" ","Falta Depto",IF(H427=".","Error En Descripción",Formulario!C435)),IF(H427=".",".","Falta Datos"))</f>
        <v>.</v>
      </c>
      <c r="H427" s="144" t="str">
        <f>IF(Formulario!D435&lt;&gt;"",IF(Formulario!D435=" ",".",Formulario!D435),".")</f>
        <v>.</v>
      </c>
      <c r="I427" s="144" t="str">
        <f>IF(Formulario!E435&lt;&gt;"",IF(Formulario!E435=" "," ",Formulario!E435),IF(G427=".",".","Falta Propietario"))</f>
        <v>.</v>
      </c>
      <c r="J427" s="144" t="str">
        <f>IF(Formulario!F435&lt;&gt;"",IF(Formulario!F435=" "," ",Formulario!F435)," ")</f>
        <v xml:space="preserve"> </v>
      </c>
      <c r="K427" s="144" t="str">
        <f>IF(Formulario!G435&lt;&gt;"",IF(Formulario!G435=" "," ",Formulario!G435)," ")</f>
        <v xml:space="preserve"> </v>
      </c>
      <c r="L427" s="144" t="str">
        <f>IF(Formulario!H435&lt;&gt;"",IF(Formulario!H435=" "," ",Formulario!H435)," ")</f>
        <v xml:space="preserve"> </v>
      </c>
      <c r="M427" s="144" t="str">
        <f>IF(Formulario!I435&lt;&gt;"",IF(Formulario!I435=" "," ",Formulario!I435)," ")</f>
        <v xml:space="preserve"> </v>
      </c>
      <c r="N427" s="145" t="str">
        <f>IF(Formulario!J435&lt;&gt;"",IF(Formulario!J435=" "," ",Formulario!J435),IF(G427=".",".","Falta Fecha"))</f>
        <v>.</v>
      </c>
      <c r="O427" s="155">
        <f>Formulario!L435</f>
        <v>0</v>
      </c>
      <c r="P427" s="146">
        <f>IF(O427=1,"09:00",Formulario!M435)</f>
        <v>0</v>
      </c>
      <c r="Q427" s="146">
        <f>IF(O427=1,"18:30",Formulario!N435)</f>
        <v>0</v>
      </c>
      <c r="R427" s="146" t="str">
        <f>IF(Formulario!O435&lt;&gt;"",IF(Formulario!O435=" ",".",Formulario!O435),".")</f>
        <v>Post Venta</v>
      </c>
      <c r="S427" s="141" t="s">
        <v>131</v>
      </c>
    </row>
    <row r="428" spans="1:19">
      <c r="A428" s="141">
        <f>Formulario!B436</f>
        <v>0</v>
      </c>
      <c r="B428" s="144" t="str">
        <f>IF(G428="."," ",Formulario!D$5)</f>
        <v xml:space="preserve"> </v>
      </c>
      <c r="C428" s="144" t="str">
        <f>IF(G428=".","",Formulario!D$6)</f>
        <v/>
      </c>
      <c r="D428" s="144" t="str">
        <f>IF(H428=".","",Formulario!D$7)</f>
        <v/>
      </c>
      <c r="E428" s="144" t="str">
        <f>IF(G428=".","",Formulario!J$5)</f>
        <v/>
      </c>
      <c r="F428" s="145" t="str">
        <f>IF(G428=".","",Formulario!J$6)</f>
        <v/>
      </c>
      <c r="G428" s="180" t="str">
        <f>IF(Formulario!C436&lt;&gt;"",IF(Formulario!C436=" ","Falta Depto",IF(H428=".","Error En Descripción",Formulario!C436)),IF(H428=".",".","Falta Datos"))</f>
        <v>.</v>
      </c>
      <c r="H428" s="144" t="str">
        <f>IF(Formulario!D436&lt;&gt;"",IF(Formulario!D436=" ",".",Formulario!D436),".")</f>
        <v>.</v>
      </c>
      <c r="I428" s="144" t="str">
        <f>IF(Formulario!E436&lt;&gt;"",IF(Formulario!E436=" "," ",Formulario!E436),IF(G428=".",".","Falta Propietario"))</f>
        <v>.</v>
      </c>
      <c r="J428" s="144" t="str">
        <f>IF(Formulario!F436&lt;&gt;"",IF(Formulario!F436=" "," ",Formulario!F436)," ")</f>
        <v xml:space="preserve"> </v>
      </c>
      <c r="K428" s="144" t="str">
        <f>IF(Formulario!G436&lt;&gt;"",IF(Formulario!G436=" "," ",Formulario!G436)," ")</f>
        <v xml:space="preserve"> </v>
      </c>
      <c r="L428" s="144" t="str">
        <f>IF(Formulario!H436&lt;&gt;"",IF(Formulario!H436=" "," ",Formulario!H436)," ")</f>
        <v xml:space="preserve"> </v>
      </c>
      <c r="M428" s="144" t="str">
        <f>IF(Formulario!I436&lt;&gt;"",IF(Formulario!I436=" "," ",Formulario!I436)," ")</f>
        <v xml:space="preserve"> </v>
      </c>
      <c r="N428" s="145" t="str">
        <f>IF(Formulario!J436&lt;&gt;"",IF(Formulario!J436=" "," ",Formulario!J436),IF(G428=".",".","Falta Fecha"))</f>
        <v>.</v>
      </c>
      <c r="O428" s="155">
        <f>Formulario!L436</f>
        <v>0</v>
      </c>
      <c r="P428" s="146">
        <f>IF(O428=1,"09:00",Formulario!M436)</f>
        <v>0</v>
      </c>
      <c r="Q428" s="146">
        <f>IF(O428=1,"18:30",Formulario!N436)</f>
        <v>0</v>
      </c>
      <c r="R428" s="146" t="str">
        <f>IF(Formulario!O436&lt;&gt;"",IF(Formulario!O436=" ",".",Formulario!O436),".")</f>
        <v>Post Venta</v>
      </c>
      <c r="S428" s="141" t="s">
        <v>131</v>
      </c>
    </row>
    <row r="429" spans="1:19">
      <c r="A429" s="141">
        <f>Formulario!B437</f>
        <v>0</v>
      </c>
      <c r="B429" s="144" t="str">
        <f>IF(G429="."," ",Formulario!D$5)</f>
        <v xml:space="preserve"> </v>
      </c>
      <c r="C429" s="144" t="str">
        <f>IF(G429=".","",Formulario!D$6)</f>
        <v/>
      </c>
      <c r="D429" s="144" t="str">
        <f>IF(H429=".","",Formulario!D$7)</f>
        <v/>
      </c>
      <c r="E429" s="144" t="str">
        <f>IF(G429=".","",Formulario!J$5)</f>
        <v/>
      </c>
      <c r="F429" s="145" t="str">
        <f>IF(G429=".","",Formulario!J$6)</f>
        <v/>
      </c>
      <c r="G429" s="180" t="str">
        <f>IF(Formulario!C437&lt;&gt;"",IF(Formulario!C437=" ","Falta Depto",IF(H429=".","Error En Descripción",Formulario!C437)),IF(H429=".",".","Falta Datos"))</f>
        <v>.</v>
      </c>
      <c r="H429" s="144" t="str">
        <f>IF(Formulario!D437&lt;&gt;"",IF(Formulario!D437=" ",".",Formulario!D437),".")</f>
        <v>.</v>
      </c>
      <c r="I429" s="144" t="str">
        <f>IF(Formulario!E437&lt;&gt;"",IF(Formulario!E437=" "," ",Formulario!E437),IF(G429=".",".","Falta Propietario"))</f>
        <v>.</v>
      </c>
      <c r="J429" s="144" t="str">
        <f>IF(Formulario!F437&lt;&gt;"",IF(Formulario!F437=" "," ",Formulario!F437)," ")</f>
        <v xml:space="preserve"> </v>
      </c>
      <c r="K429" s="144" t="str">
        <f>IF(Formulario!G437&lt;&gt;"",IF(Formulario!G437=" "," ",Formulario!G437)," ")</f>
        <v xml:space="preserve"> </v>
      </c>
      <c r="L429" s="144" t="str">
        <f>IF(Formulario!H437&lt;&gt;"",IF(Formulario!H437=" "," ",Formulario!H437)," ")</f>
        <v xml:space="preserve"> </v>
      </c>
      <c r="M429" s="144" t="str">
        <f>IF(Formulario!I437&lt;&gt;"",IF(Formulario!I437=" "," ",Formulario!I437)," ")</f>
        <v xml:space="preserve"> </v>
      </c>
      <c r="N429" s="145" t="str">
        <f>IF(Formulario!J437&lt;&gt;"",IF(Formulario!J437=" "," ",Formulario!J437),IF(G429=".",".","Falta Fecha"))</f>
        <v>.</v>
      </c>
      <c r="O429" s="155">
        <f>Formulario!L437</f>
        <v>0</v>
      </c>
      <c r="P429" s="146">
        <f>IF(O429=1,"09:00",Formulario!M437)</f>
        <v>0</v>
      </c>
      <c r="Q429" s="146">
        <f>IF(O429=1,"18:30",Formulario!N437)</f>
        <v>0</v>
      </c>
      <c r="R429" s="146" t="str">
        <f>IF(Formulario!O437&lt;&gt;"",IF(Formulario!O437=" ",".",Formulario!O437),".")</f>
        <v>Post Venta</v>
      </c>
      <c r="S429" s="141" t="s">
        <v>131</v>
      </c>
    </row>
    <row r="430" spans="1:19">
      <c r="A430" s="141">
        <f>Formulario!B438</f>
        <v>0</v>
      </c>
      <c r="B430" s="144" t="str">
        <f>IF(G430="."," ",Formulario!D$5)</f>
        <v xml:space="preserve"> </v>
      </c>
      <c r="C430" s="144" t="str">
        <f>IF(G430=".","",Formulario!D$6)</f>
        <v/>
      </c>
      <c r="D430" s="144" t="str">
        <f>IF(H430=".","",Formulario!D$7)</f>
        <v/>
      </c>
      <c r="E430" s="144" t="str">
        <f>IF(G430=".","",Formulario!J$5)</f>
        <v/>
      </c>
      <c r="F430" s="145" t="str">
        <f>IF(G430=".","",Formulario!J$6)</f>
        <v/>
      </c>
      <c r="G430" s="180" t="str">
        <f>IF(Formulario!C438&lt;&gt;"",IF(Formulario!C438=" ","Falta Depto",IF(H430=".","Error En Descripción",Formulario!C438)),IF(H430=".",".","Falta Datos"))</f>
        <v>.</v>
      </c>
      <c r="H430" s="144" t="str">
        <f>IF(Formulario!D438&lt;&gt;"",IF(Formulario!D438=" ",".",Formulario!D438),".")</f>
        <v>.</v>
      </c>
      <c r="I430" s="144" t="str">
        <f>IF(Formulario!E438&lt;&gt;"",IF(Formulario!E438=" "," ",Formulario!E438),IF(G430=".",".","Falta Propietario"))</f>
        <v>.</v>
      </c>
      <c r="J430" s="144" t="str">
        <f>IF(Formulario!F438&lt;&gt;"",IF(Formulario!F438=" "," ",Formulario!F438)," ")</f>
        <v xml:space="preserve"> </v>
      </c>
      <c r="K430" s="144" t="str">
        <f>IF(Formulario!G438&lt;&gt;"",IF(Formulario!G438=" "," ",Formulario!G438)," ")</f>
        <v xml:space="preserve"> </v>
      </c>
      <c r="L430" s="144" t="str">
        <f>IF(Formulario!H438&lt;&gt;"",IF(Formulario!H438=" "," ",Formulario!H438)," ")</f>
        <v xml:space="preserve"> </v>
      </c>
      <c r="M430" s="144" t="str">
        <f>IF(Formulario!I438&lt;&gt;"",IF(Formulario!I438=" "," ",Formulario!I438)," ")</f>
        <v xml:space="preserve"> </v>
      </c>
      <c r="N430" s="145" t="str">
        <f>IF(Formulario!J438&lt;&gt;"",IF(Formulario!J438=" "," ",Formulario!J438),IF(G430=".",".","Falta Fecha"))</f>
        <v>.</v>
      </c>
      <c r="O430" s="155">
        <f>Formulario!L438</f>
        <v>0</v>
      </c>
      <c r="P430" s="146">
        <f>IF(O430=1,"09:00",Formulario!M438)</f>
        <v>0</v>
      </c>
      <c r="Q430" s="146">
        <f>IF(O430=1,"18:30",Formulario!N438)</f>
        <v>0</v>
      </c>
      <c r="R430" s="146" t="str">
        <f>IF(Formulario!O438&lt;&gt;"",IF(Formulario!O438=" ",".",Formulario!O438),".")</f>
        <v>Post Venta</v>
      </c>
      <c r="S430" s="141" t="s">
        <v>131</v>
      </c>
    </row>
    <row r="431" spans="1:19">
      <c r="A431" s="141">
        <f>Formulario!B439</f>
        <v>0</v>
      </c>
      <c r="B431" s="144" t="str">
        <f>IF(G431="."," ",Formulario!D$5)</f>
        <v xml:space="preserve"> </v>
      </c>
      <c r="C431" s="144" t="str">
        <f>IF(G431=".","",Formulario!D$6)</f>
        <v/>
      </c>
      <c r="D431" s="144" t="str">
        <f>IF(H431=".","",Formulario!D$7)</f>
        <v/>
      </c>
      <c r="E431" s="144" t="str">
        <f>IF(G431=".","",Formulario!J$5)</f>
        <v/>
      </c>
      <c r="F431" s="145" t="str">
        <f>IF(G431=".","",Formulario!J$6)</f>
        <v/>
      </c>
      <c r="G431" s="180" t="str">
        <f>IF(Formulario!C439&lt;&gt;"",IF(Formulario!C439=" ","Falta Depto",IF(H431=".","Error En Descripción",Formulario!C439)),IF(H431=".",".","Falta Datos"))</f>
        <v>.</v>
      </c>
      <c r="H431" s="144" t="str">
        <f>IF(Formulario!D439&lt;&gt;"",IF(Formulario!D439=" ",".",Formulario!D439),".")</f>
        <v>.</v>
      </c>
      <c r="I431" s="144" t="str">
        <f>IF(Formulario!E439&lt;&gt;"",IF(Formulario!E439=" "," ",Formulario!E439),IF(G431=".",".","Falta Propietario"))</f>
        <v>.</v>
      </c>
      <c r="J431" s="144" t="str">
        <f>IF(Formulario!F439&lt;&gt;"",IF(Formulario!F439=" "," ",Formulario!F439)," ")</f>
        <v xml:space="preserve"> </v>
      </c>
      <c r="K431" s="144" t="str">
        <f>IF(Formulario!G439&lt;&gt;"",IF(Formulario!G439=" "," ",Formulario!G439)," ")</f>
        <v xml:space="preserve"> </v>
      </c>
      <c r="L431" s="144" t="str">
        <f>IF(Formulario!H439&lt;&gt;"",IF(Formulario!H439=" "," ",Formulario!H439)," ")</f>
        <v xml:space="preserve"> </v>
      </c>
      <c r="M431" s="144" t="str">
        <f>IF(Formulario!I439&lt;&gt;"",IF(Formulario!I439=" "," ",Formulario!I439)," ")</f>
        <v xml:space="preserve"> </v>
      </c>
      <c r="N431" s="145" t="str">
        <f>IF(Formulario!J439&lt;&gt;"",IF(Formulario!J439=" "," ",Formulario!J439),IF(G431=".",".","Falta Fecha"))</f>
        <v>.</v>
      </c>
      <c r="O431" s="155">
        <f>Formulario!L439</f>
        <v>0</v>
      </c>
      <c r="P431" s="146">
        <f>IF(O431=1,"09:00",Formulario!M439)</f>
        <v>0</v>
      </c>
      <c r="Q431" s="146">
        <f>IF(O431=1,"18:30",Formulario!N439)</f>
        <v>0</v>
      </c>
      <c r="R431" s="146" t="str">
        <f>IF(Formulario!O439&lt;&gt;"",IF(Formulario!O439=" ",".",Formulario!O439),".")</f>
        <v>Post Venta</v>
      </c>
      <c r="S431" s="141" t="s">
        <v>131</v>
      </c>
    </row>
    <row r="432" spans="1:19">
      <c r="A432" s="141">
        <f>Formulario!B440</f>
        <v>0</v>
      </c>
      <c r="B432" s="144" t="str">
        <f>IF(G432="."," ",Formulario!D$5)</f>
        <v xml:space="preserve"> </v>
      </c>
      <c r="C432" s="144" t="str">
        <f>IF(G432=".","",Formulario!D$6)</f>
        <v/>
      </c>
      <c r="D432" s="144" t="str">
        <f>IF(H432=".","",Formulario!D$7)</f>
        <v/>
      </c>
      <c r="E432" s="144" t="str">
        <f>IF(G432=".","",Formulario!J$5)</f>
        <v/>
      </c>
      <c r="F432" s="145" t="str">
        <f>IF(G432=".","",Formulario!J$6)</f>
        <v/>
      </c>
      <c r="G432" s="180" t="str">
        <f>IF(Formulario!C440&lt;&gt;"",IF(Formulario!C440=" ","Falta Depto",IF(H432=".","Error En Descripción",Formulario!C440)),IF(H432=".",".","Falta Datos"))</f>
        <v>.</v>
      </c>
      <c r="H432" s="144" t="str">
        <f>IF(Formulario!D440&lt;&gt;"",IF(Formulario!D440=" ",".",Formulario!D440),".")</f>
        <v>.</v>
      </c>
      <c r="I432" s="144" t="str">
        <f>IF(Formulario!E440&lt;&gt;"",IF(Formulario!E440=" "," ",Formulario!E440),IF(G432=".",".","Falta Propietario"))</f>
        <v>.</v>
      </c>
      <c r="J432" s="144" t="str">
        <f>IF(Formulario!F440&lt;&gt;"",IF(Formulario!F440=" "," ",Formulario!F440)," ")</f>
        <v xml:space="preserve"> </v>
      </c>
      <c r="K432" s="144" t="str">
        <f>IF(Formulario!G440&lt;&gt;"",IF(Formulario!G440=" "," ",Formulario!G440)," ")</f>
        <v xml:space="preserve"> </v>
      </c>
      <c r="L432" s="144" t="str">
        <f>IF(Formulario!H440&lt;&gt;"",IF(Formulario!H440=" "," ",Formulario!H440)," ")</f>
        <v xml:space="preserve"> </v>
      </c>
      <c r="M432" s="144" t="str">
        <f>IF(Formulario!I440&lt;&gt;"",IF(Formulario!I440=" "," ",Formulario!I440)," ")</f>
        <v xml:space="preserve"> </v>
      </c>
      <c r="N432" s="145" t="str">
        <f>IF(Formulario!J440&lt;&gt;"",IF(Formulario!J440=" "," ",Formulario!J440),IF(G432=".",".","Falta Fecha"))</f>
        <v>.</v>
      </c>
      <c r="O432" s="155">
        <f>Formulario!L440</f>
        <v>0</v>
      </c>
      <c r="P432" s="146">
        <f>IF(O432=1,"09:00",Formulario!M440)</f>
        <v>0</v>
      </c>
      <c r="Q432" s="146">
        <f>IF(O432=1,"18:30",Formulario!N440)</f>
        <v>0</v>
      </c>
      <c r="R432" s="146" t="str">
        <f>IF(Formulario!O440&lt;&gt;"",IF(Formulario!O440=" ",".",Formulario!O440),".")</f>
        <v>Post Venta</v>
      </c>
      <c r="S432" s="141" t="s">
        <v>131</v>
      </c>
    </row>
    <row r="433" spans="1:19">
      <c r="A433" s="141">
        <f>Formulario!B441</f>
        <v>0</v>
      </c>
      <c r="B433" s="144" t="str">
        <f>IF(G433="."," ",Formulario!D$5)</f>
        <v xml:space="preserve"> </v>
      </c>
      <c r="C433" s="144" t="str">
        <f>IF(G433=".","",Formulario!D$6)</f>
        <v/>
      </c>
      <c r="D433" s="144" t="str">
        <f>IF(H433=".","",Formulario!D$7)</f>
        <v/>
      </c>
      <c r="E433" s="144" t="str">
        <f>IF(G433=".","",Formulario!J$5)</f>
        <v/>
      </c>
      <c r="F433" s="145" t="str">
        <f>IF(G433=".","",Formulario!J$6)</f>
        <v/>
      </c>
      <c r="G433" s="180" t="str">
        <f>IF(Formulario!C441&lt;&gt;"",IF(Formulario!C441=" ","Falta Depto",IF(H433=".","Error En Descripción",Formulario!C441)),IF(H433=".",".","Falta Datos"))</f>
        <v>.</v>
      </c>
      <c r="H433" s="144" t="str">
        <f>IF(Formulario!D441&lt;&gt;"",IF(Formulario!D441=" ",".",Formulario!D441),".")</f>
        <v>.</v>
      </c>
      <c r="I433" s="144" t="str">
        <f>IF(Formulario!E441&lt;&gt;"",IF(Formulario!E441=" "," ",Formulario!E441),IF(G433=".",".","Falta Propietario"))</f>
        <v>.</v>
      </c>
      <c r="J433" s="144" t="str">
        <f>IF(Formulario!F441&lt;&gt;"",IF(Formulario!F441=" "," ",Formulario!F441)," ")</f>
        <v xml:space="preserve"> </v>
      </c>
      <c r="K433" s="144" t="str">
        <f>IF(Formulario!G441&lt;&gt;"",IF(Formulario!G441=" "," ",Formulario!G441)," ")</f>
        <v xml:space="preserve"> </v>
      </c>
      <c r="L433" s="144" t="str">
        <f>IF(Formulario!H441&lt;&gt;"",IF(Formulario!H441=" "," ",Formulario!H441)," ")</f>
        <v xml:space="preserve"> </v>
      </c>
      <c r="M433" s="144" t="str">
        <f>IF(Formulario!I441&lt;&gt;"",IF(Formulario!I441=" "," ",Formulario!I441)," ")</f>
        <v xml:space="preserve"> </v>
      </c>
      <c r="N433" s="145" t="str">
        <f>IF(Formulario!J441&lt;&gt;"",IF(Formulario!J441=" "," ",Formulario!J441),IF(G433=".",".","Falta Fecha"))</f>
        <v>.</v>
      </c>
      <c r="O433" s="155">
        <f>Formulario!L441</f>
        <v>0</v>
      </c>
      <c r="P433" s="146">
        <f>IF(O433=1,"09:00",Formulario!M441)</f>
        <v>0</v>
      </c>
      <c r="Q433" s="146">
        <f>IF(O433=1,"18:30",Formulario!N441)</f>
        <v>0</v>
      </c>
      <c r="R433" s="146" t="str">
        <f>IF(Formulario!O441&lt;&gt;"",IF(Formulario!O441=" ",".",Formulario!O441),".")</f>
        <v>Post Venta</v>
      </c>
      <c r="S433" s="141" t="s">
        <v>131</v>
      </c>
    </row>
    <row r="434" spans="1:19">
      <c r="A434" s="141">
        <f>Formulario!B442</f>
        <v>0</v>
      </c>
      <c r="B434" s="144" t="str">
        <f>IF(G434="."," ",Formulario!D$5)</f>
        <v xml:space="preserve"> </v>
      </c>
      <c r="C434" s="144" t="str">
        <f>IF(G434=".","",Formulario!D$6)</f>
        <v/>
      </c>
      <c r="D434" s="144" t="str">
        <f>IF(H434=".","",Formulario!D$7)</f>
        <v/>
      </c>
      <c r="E434" s="144" t="str">
        <f>IF(G434=".","",Formulario!J$5)</f>
        <v/>
      </c>
      <c r="F434" s="145" t="str">
        <f>IF(G434=".","",Formulario!J$6)</f>
        <v/>
      </c>
      <c r="G434" s="180" t="str">
        <f>IF(Formulario!C442&lt;&gt;"",IF(Formulario!C442=" ","Falta Depto",IF(H434=".","Error En Descripción",Formulario!C442)),IF(H434=".",".","Falta Datos"))</f>
        <v>.</v>
      </c>
      <c r="H434" s="144" t="str">
        <f>IF(Formulario!D442&lt;&gt;"",IF(Formulario!D442=" ",".",Formulario!D442),".")</f>
        <v>.</v>
      </c>
      <c r="I434" s="144" t="str">
        <f>IF(Formulario!E442&lt;&gt;"",IF(Formulario!E442=" "," ",Formulario!E442),IF(G434=".",".","Falta Propietario"))</f>
        <v>.</v>
      </c>
      <c r="J434" s="144" t="str">
        <f>IF(Formulario!F442&lt;&gt;"",IF(Formulario!F442=" "," ",Formulario!F442)," ")</f>
        <v xml:space="preserve"> </v>
      </c>
      <c r="K434" s="144" t="str">
        <f>IF(Formulario!G442&lt;&gt;"",IF(Formulario!G442=" "," ",Formulario!G442)," ")</f>
        <v xml:space="preserve"> </v>
      </c>
      <c r="L434" s="144" t="str">
        <f>IF(Formulario!H442&lt;&gt;"",IF(Formulario!H442=" "," ",Formulario!H442)," ")</f>
        <v xml:space="preserve"> </v>
      </c>
      <c r="M434" s="144" t="str">
        <f>IF(Formulario!I442&lt;&gt;"",IF(Formulario!I442=" "," ",Formulario!I442)," ")</f>
        <v xml:space="preserve"> </v>
      </c>
      <c r="N434" s="145" t="str">
        <f>IF(Formulario!J442&lt;&gt;"",IF(Formulario!J442=" "," ",Formulario!J442),IF(G434=".",".","Falta Fecha"))</f>
        <v>.</v>
      </c>
      <c r="O434" s="155">
        <f>Formulario!L442</f>
        <v>0</v>
      </c>
      <c r="P434" s="146">
        <f>IF(O434=1,"09:00",Formulario!M442)</f>
        <v>0</v>
      </c>
      <c r="Q434" s="146">
        <f>IF(O434=1,"18:30",Formulario!N442)</f>
        <v>0</v>
      </c>
      <c r="R434" s="146" t="str">
        <f>IF(Formulario!O442&lt;&gt;"",IF(Formulario!O442=" ",".",Formulario!O442),".")</f>
        <v>Post Venta</v>
      </c>
      <c r="S434" s="141" t="s">
        <v>131</v>
      </c>
    </row>
    <row r="435" spans="1:19">
      <c r="A435" s="141">
        <f>Formulario!B443</f>
        <v>0</v>
      </c>
      <c r="B435" s="144" t="str">
        <f>IF(G435="."," ",Formulario!D$5)</f>
        <v xml:space="preserve"> </v>
      </c>
      <c r="C435" s="144" t="str">
        <f>IF(G435=".","",Formulario!D$6)</f>
        <v/>
      </c>
      <c r="D435" s="144" t="str">
        <f>IF(H435=".","",Formulario!D$7)</f>
        <v/>
      </c>
      <c r="E435" s="144" t="str">
        <f>IF(G435=".","",Formulario!J$5)</f>
        <v/>
      </c>
      <c r="F435" s="145" t="str">
        <f>IF(G435=".","",Formulario!J$6)</f>
        <v/>
      </c>
      <c r="G435" s="180" t="str">
        <f>IF(Formulario!C443&lt;&gt;"",IF(Formulario!C443=" ","Falta Depto",IF(H435=".","Error En Descripción",Formulario!C443)),IF(H435=".",".","Falta Datos"))</f>
        <v>.</v>
      </c>
      <c r="H435" s="144" t="str">
        <f>IF(Formulario!D443&lt;&gt;"",IF(Formulario!D443=" ",".",Formulario!D443),".")</f>
        <v>.</v>
      </c>
      <c r="I435" s="144" t="str">
        <f>IF(Formulario!E443&lt;&gt;"",IF(Formulario!E443=" "," ",Formulario!E443),IF(G435=".",".","Falta Propietario"))</f>
        <v>.</v>
      </c>
      <c r="J435" s="144" t="str">
        <f>IF(Formulario!F443&lt;&gt;"",IF(Formulario!F443=" "," ",Formulario!F443)," ")</f>
        <v xml:space="preserve"> </v>
      </c>
      <c r="K435" s="144" t="str">
        <f>IF(Formulario!G443&lt;&gt;"",IF(Formulario!G443=" "," ",Formulario!G443)," ")</f>
        <v xml:space="preserve"> </v>
      </c>
      <c r="L435" s="144" t="str">
        <f>IF(Formulario!H443&lt;&gt;"",IF(Formulario!H443=" "," ",Formulario!H443)," ")</f>
        <v xml:space="preserve"> </v>
      </c>
      <c r="M435" s="144" t="str">
        <f>IF(Formulario!I443&lt;&gt;"",IF(Formulario!I443=" "," ",Formulario!I443)," ")</f>
        <v xml:space="preserve"> </v>
      </c>
      <c r="N435" s="145" t="str">
        <f>IF(Formulario!J443&lt;&gt;"",IF(Formulario!J443=" "," ",Formulario!J443),IF(G435=".",".","Falta Fecha"))</f>
        <v>.</v>
      </c>
      <c r="O435" s="155">
        <f>Formulario!L443</f>
        <v>0</v>
      </c>
      <c r="P435" s="146">
        <f>IF(O435=1,"09:00",Formulario!M443)</f>
        <v>0</v>
      </c>
      <c r="Q435" s="146">
        <f>IF(O435=1,"18:30",Formulario!N443)</f>
        <v>0</v>
      </c>
      <c r="R435" s="146" t="str">
        <f>IF(Formulario!O443&lt;&gt;"",IF(Formulario!O443=" ",".",Formulario!O443),".")</f>
        <v>Post Venta</v>
      </c>
      <c r="S435" s="141" t="s">
        <v>131</v>
      </c>
    </row>
    <row r="436" spans="1:19">
      <c r="A436" s="141">
        <f>Formulario!B444</f>
        <v>0</v>
      </c>
      <c r="B436" s="144" t="str">
        <f>IF(G436="."," ",Formulario!D$5)</f>
        <v xml:space="preserve"> </v>
      </c>
      <c r="C436" s="144" t="str">
        <f>IF(G436=".","",Formulario!D$6)</f>
        <v/>
      </c>
      <c r="D436" s="144" t="str">
        <f>IF(H436=".","",Formulario!D$7)</f>
        <v/>
      </c>
      <c r="E436" s="144" t="str">
        <f>IF(G436=".","",Formulario!J$5)</f>
        <v/>
      </c>
      <c r="F436" s="145" t="str">
        <f>IF(G436=".","",Formulario!J$6)</f>
        <v/>
      </c>
      <c r="G436" s="180" t="str">
        <f>IF(Formulario!C444&lt;&gt;"",IF(Formulario!C444=" ","Falta Depto",IF(H436=".","Error En Descripción",Formulario!C444)),IF(H436=".",".","Falta Datos"))</f>
        <v>.</v>
      </c>
      <c r="H436" s="144" t="str">
        <f>IF(Formulario!D444&lt;&gt;"",IF(Formulario!D444=" ",".",Formulario!D444),".")</f>
        <v>.</v>
      </c>
      <c r="I436" s="144" t="str">
        <f>IF(Formulario!E444&lt;&gt;"",IF(Formulario!E444=" "," ",Formulario!E444),IF(G436=".",".","Falta Propietario"))</f>
        <v>.</v>
      </c>
      <c r="J436" s="144" t="str">
        <f>IF(Formulario!F444&lt;&gt;"",IF(Formulario!F444=" "," ",Formulario!F444)," ")</f>
        <v xml:space="preserve"> </v>
      </c>
      <c r="K436" s="144" t="str">
        <f>IF(Formulario!G444&lt;&gt;"",IF(Formulario!G444=" "," ",Formulario!G444)," ")</f>
        <v xml:space="preserve"> </v>
      </c>
      <c r="L436" s="144" t="str">
        <f>IF(Formulario!H444&lt;&gt;"",IF(Formulario!H444=" "," ",Formulario!H444)," ")</f>
        <v xml:space="preserve"> </v>
      </c>
      <c r="M436" s="144" t="str">
        <f>IF(Formulario!I444&lt;&gt;"",IF(Formulario!I444=" "," ",Formulario!I444)," ")</f>
        <v xml:space="preserve"> </v>
      </c>
      <c r="N436" s="145" t="str">
        <f>IF(Formulario!J444&lt;&gt;"",IF(Formulario!J444=" "," ",Formulario!J444),IF(G436=".",".","Falta Fecha"))</f>
        <v>.</v>
      </c>
      <c r="O436" s="155">
        <f>Formulario!L444</f>
        <v>0</v>
      </c>
      <c r="P436" s="146">
        <f>IF(O436=1,"09:00",Formulario!M444)</f>
        <v>0</v>
      </c>
      <c r="Q436" s="146">
        <f>IF(O436=1,"18:30",Formulario!N444)</f>
        <v>0</v>
      </c>
      <c r="R436" s="146" t="str">
        <f>IF(Formulario!O444&lt;&gt;"",IF(Formulario!O444=" ",".",Formulario!O444),".")</f>
        <v>Post Venta</v>
      </c>
      <c r="S436" s="141" t="s">
        <v>131</v>
      </c>
    </row>
    <row r="437" spans="1:19">
      <c r="A437" s="141">
        <f>Formulario!B445</f>
        <v>0</v>
      </c>
      <c r="B437" s="144" t="str">
        <f>IF(G437="."," ",Formulario!D$5)</f>
        <v xml:space="preserve"> </v>
      </c>
      <c r="C437" s="144" t="str">
        <f>IF(G437=".","",Formulario!D$6)</f>
        <v/>
      </c>
      <c r="D437" s="144" t="str">
        <f>IF(H437=".","",Formulario!D$7)</f>
        <v/>
      </c>
      <c r="E437" s="144" t="str">
        <f>IF(G437=".","",Formulario!J$5)</f>
        <v/>
      </c>
      <c r="F437" s="145" t="str">
        <f>IF(G437=".","",Formulario!J$6)</f>
        <v/>
      </c>
      <c r="G437" s="180" t="str">
        <f>IF(Formulario!C445&lt;&gt;"",IF(Formulario!C445=" ","Falta Depto",IF(H437=".","Error En Descripción",Formulario!C445)),IF(H437=".",".","Falta Datos"))</f>
        <v>.</v>
      </c>
      <c r="H437" s="144" t="str">
        <f>IF(Formulario!D445&lt;&gt;"",IF(Formulario!D445=" ",".",Formulario!D445),".")</f>
        <v>.</v>
      </c>
      <c r="I437" s="144" t="str">
        <f>IF(Formulario!E445&lt;&gt;"",IF(Formulario!E445=" "," ",Formulario!E445),IF(G437=".",".","Falta Propietario"))</f>
        <v>.</v>
      </c>
      <c r="J437" s="144" t="str">
        <f>IF(Formulario!F445&lt;&gt;"",IF(Formulario!F445=" "," ",Formulario!F445)," ")</f>
        <v xml:space="preserve"> </v>
      </c>
      <c r="K437" s="144" t="str">
        <f>IF(Formulario!G445&lt;&gt;"",IF(Formulario!G445=" "," ",Formulario!G445)," ")</f>
        <v xml:space="preserve"> </v>
      </c>
      <c r="L437" s="144" t="str">
        <f>IF(Formulario!H445&lt;&gt;"",IF(Formulario!H445=" "," ",Formulario!H445)," ")</f>
        <v xml:space="preserve"> </v>
      </c>
      <c r="M437" s="144" t="str">
        <f>IF(Formulario!I445&lt;&gt;"",IF(Formulario!I445=" "," ",Formulario!I445)," ")</f>
        <v xml:space="preserve"> </v>
      </c>
      <c r="N437" s="145" t="str">
        <f>IF(Formulario!J445&lt;&gt;"",IF(Formulario!J445=" "," ",Formulario!J445),IF(G437=".",".","Falta Fecha"))</f>
        <v>.</v>
      </c>
      <c r="O437" s="155">
        <f>Formulario!L445</f>
        <v>0</v>
      </c>
      <c r="P437" s="146">
        <f>IF(O437=1,"09:00",Formulario!M445)</f>
        <v>0</v>
      </c>
      <c r="Q437" s="146">
        <f>IF(O437=1,"18:30",Formulario!N445)</f>
        <v>0</v>
      </c>
      <c r="R437" s="146" t="str">
        <f>IF(Formulario!O445&lt;&gt;"",IF(Formulario!O445=" ",".",Formulario!O445),".")</f>
        <v>Post Venta</v>
      </c>
      <c r="S437" s="141" t="s">
        <v>131</v>
      </c>
    </row>
    <row r="438" spans="1:19">
      <c r="A438" s="141">
        <f>Formulario!B446</f>
        <v>0</v>
      </c>
      <c r="B438" s="144" t="str">
        <f>IF(G438="."," ",Formulario!D$5)</f>
        <v xml:space="preserve"> </v>
      </c>
      <c r="C438" s="144" t="str">
        <f>IF(G438=".","",Formulario!D$6)</f>
        <v/>
      </c>
      <c r="D438" s="144" t="str">
        <f>IF(H438=".","",Formulario!D$7)</f>
        <v/>
      </c>
      <c r="E438" s="144" t="str">
        <f>IF(G438=".","",Formulario!J$5)</f>
        <v/>
      </c>
      <c r="F438" s="145" t="str">
        <f>IF(G438=".","",Formulario!J$6)</f>
        <v/>
      </c>
      <c r="G438" s="180" t="str">
        <f>IF(Formulario!C446&lt;&gt;"",IF(Formulario!C446=" ","Falta Depto",IF(H438=".","Error En Descripción",Formulario!C446)),IF(H438=".",".","Falta Datos"))</f>
        <v>.</v>
      </c>
      <c r="H438" s="144" t="str">
        <f>IF(Formulario!D446&lt;&gt;"",IF(Formulario!D446=" ",".",Formulario!D446),".")</f>
        <v>.</v>
      </c>
      <c r="I438" s="144" t="str">
        <f>IF(Formulario!E446&lt;&gt;"",IF(Formulario!E446=" "," ",Formulario!E446),IF(G438=".",".","Falta Propietario"))</f>
        <v>.</v>
      </c>
      <c r="J438" s="144" t="str">
        <f>IF(Formulario!F446&lt;&gt;"",IF(Formulario!F446=" "," ",Formulario!F446)," ")</f>
        <v xml:space="preserve"> </v>
      </c>
      <c r="K438" s="144" t="str">
        <f>IF(Formulario!G446&lt;&gt;"",IF(Formulario!G446=" "," ",Formulario!G446)," ")</f>
        <v xml:space="preserve"> </v>
      </c>
      <c r="L438" s="144" t="str">
        <f>IF(Formulario!H446&lt;&gt;"",IF(Formulario!H446=" "," ",Formulario!H446)," ")</f>
        <v xml:space="preserve"> </v>
      </c>
      <c r="M438" s="144" t="str">
        <f>IF(Formulario!I446&lt;&gt;"",IF(Formulario!I446=" "," ",Formulario!I446)," ")</f>
        <v xml:space="preserve"> </v>
      </c>
      <c r="N438" s="145" t="str">
        <f>IF(Formulario!J446&lt;&gt;"",IF(Formulario!J446=" "," ",Formulario!J446),IF(G438=".",".","Falta Fecha"))</f>
        <v>.</v>
      </c>
      <c r="O438" s="155">
        <f>Formulario!L446</f>
        <v>0</v>
      </c>
      <c r="P438" s="146">
        <f>IF(O438=1,"09:00",Formulario!M446)</f>
        <v>0</v>
      </c>
      <c r="Q438" s="146">
        <f>IF(O438=1,"18:30",Formulario!N446)</f>
        <v>0</v>
      </c>
      <c r="R438" s="146" t="str">
        <f>IF(Formulario!O446&lt;&gt;"",IF(Formulario!O446=" ",".",Formulario!O446),".")</f>
        <v>Post Venta</v>
      </c>
      <c r="S438" s="141" t="s">
        <v>131</v>
      </c>
    </row>
    <row r="439" spans="1:19">
      <c r="A439" s="141">
        <f>Formulario!B447</f>
        <v>0</v>
      </c>
      <c r="B439" s="144" t="str">
        <f>IF(G439="."," ",Formulario!D$5)</f>
        <v xml:space="preserve"> </v>
      </c>
      <c r="C439" s="144" t="str">
        <f>IF(G439=".","",Formulario!D$6)</f>
        <v/>
      </c>
      <c r="D439" s="144" t="str">
        <f>IF(H439=".","",Formulario!D$7)</f>
        <v/>
      </c>
      <c r="E439" s="144" t="str">
        <f>IF(G439=".","",Formulario!J$5)</f>
        <v/>
      </c>
      <c r="F439" s="145" t="str">
        <f>IF(G439=".","",Formulario!J$6)</f>
        <v/>
      </c>
      <c r="G439" s="180" t="str">
        <f>IF(Formulario!C447&lt;&gt;"",IF(Formulario!C447=" ","Falta Depto",IF(H439=".","Error En Descripción",Formulario!C447)),IF(H439=".",".","Falta Datos"))</f>
        <v>.</v>
      </c>
      <c r="H439" s="144" t="str">
        <f>IF(Formulario!D447&lt;&gt;"",IF(Formulario!D447=" ",".",Formulario!D447),".")</f>
        <v>.</v>
      </c>
      <c r="I439" s="144" t="str">
        <f>IF(Formulario!E447&lt;&gt;"",IF(Formulario!E447=" "," ",Formulario!E447),IF(G439=".",".","Falta Propietario"))</f>
        <v>.</v>
      </c>
      <c r="J439" s="144" t="str">
        <f>IF(Formulario!F447&lt;&gt;"",IF(Formulario!F447=" "," ",Formulario!F447)," ")</f>
        <v xml:space="preserve"> </v>
      </c>
      <c r="K439" s="144" t="str">
        <f>IF(Formulario!G447&lt;&gt;"",IF(Formulario!G447=" "," ",Formulario!G447)," ")</f>
        <v xml:space="preserve"> </v>
      </c>
      <c r="L439" s="144" t="str">
        <f>IF(Formulario!H447&lt;&gt;"",IF(Formulario!H447=" "," ",Formulario!H447)," ")</f>
        <v xml:space="preserve"> </v>
      </c>
      <c r="M439" s="144" t="str">
        <f>IF(Formulario!I447&lt;&gt;"",IF(Formulario!I447=" "," ",Formulario!I447)," ")</f>
        <v xml:space="preserve"> </v>
      </c>
      <c r="N439" s="145" t="str">
        <f>IF(Formulario!J447&lt;&gt;"",IF(Formulario!J447=" "," ",Formulario!J447),IF(G439=".",".","Falta Fecha"))</f>
        <v>.</v>
      </c>
      <c r="O439" s="155">
        <f>Formulario!L447</f>
        <v>0</v>
      </c>
      <c r="P439" s="146">
        <f>IF(O439=1,"09:00",Formulario!M447)</f>
        <v>0</v>
      </c>
      <c r="Q439" s="146">
        <f>IF(O439=1,"18:30",Formulario!N447)</f>
        <v>0</v>
      </c>
      <c r="R439" s="146" t="str">
        <f>IF(Formulario!O447&lt;&gt;"",IF(Formulario!O447=" ",".",Formulario!O447),".")</f>
        <v>Post Venta</v>
      </c>
      <c r="S439" s="141" t="s">
        <v>131</v>
      </c>
    </row>
    <row r="440" spans="1:19">
      <c r="A440" s="141">
        <f>Formulario!B448</f>
        <v>0</v>
      </c>
      <c r="B440" s="144" t="str">
        <f>IF(G440="."," ",Formulario!D$5)</f>
        <v xml:space="preserve"> </v>
      </c>
      <c r="C440" s="144" t="str">
        <f>IF(G440=".","",Formulario!D$6)</f>
        <v/>
      </c>
      <c r="D440" s="144" t="str">
        <f>IF(H440=".","",Formulario!D$7)</f>
        <v/>
      </c>
      <c r="E440" s="144" t="str">
        <f>IF(G440=".","",Formulario!J$5)</f>
        <v/>
      </c>
      <c r="F440" s="145" t="str">
        <f>IF(G440=".","",Formulario!J$6)</f>
        <v/>
      </c>
      <c r="G440" s="180" t="str">
        <f>IF(Formulario!C448&lt;&gt;"",IF(Formulario!C448=" ","Falta Depto",IF(H440=".","Error En Descripción",Formulario!C448)),IF(H440=".",".","Falta Datos"))</f>
        <v>.</v>
      </c>
      <c r="H440" s="144" t="str">
        <f>IF(Formulario!D448&lt;&gt;"",IF(Formulario!D448=" ",".",Formulario!D448),".")</f>
        <v>.</v>
      </c>
      <c r="I440" s="144" t="str">
        <f>IF(Formulario!E448&lt;&gt;"",IF(Formulario!E448=" "," ",Formulario!E448),IF(G440=".",".","Falta Propietario"))</f>
        <v>.</v>
      </c>
      <c r="J440" s="144" t="str">
        <f>IF(Formulario!F448&lt;&gt;"",IF(Formulario!F448=" "," ",Formulario!F448)," ")</f>
        <v xml:space="preserve"> </v>
      </c>
      <c r="K440" s="144" t="str">
        <f>IF(Formulario!G448&lt;&gt;"",IF(Formulario!G448=" "," ",Formulario!G448)," ")</f>
        <v xml:space="preserve"> </v>
      </c>
      <c r="L440" s="144" t="str">
        <f>IF(Formulario!H448&lt;&gt;"",IF(Formulario!H448=" "," ",Formulario!H448)," ")</f>
        <v xml:space="preserve"> </v>
      </c>
      <c r="M440" s="144" t="str">
        <f>IF(Formulario!I448&lt;&gt;"",IF(Formulario!I448=" "," ",Formulario!I448)," ")</f>
        <v xml:space="preserve"> </v>
      </c>
      <c r="N440" s="145" t="str">
        <f>IF(Formulario!J448&lt;&gt;"",IF(Formulario!J448=" "," ",Formulario!J448),IF(G440=".",".","Falta Fecha"))</f>
        <v>.</v>
      </c>
      <c r="O440" s="155">
        <f>Formulario!L448</f>
        <v>0</v>
      </c>
      <c r="P440" s="146">
        <f>IF(O440=1,"09:00",Formulario!M448)</f>
        <v>0</v>
      </c>
      <c r="Q440" s="146">
        <f>IF(O440=1,"18:30",Formulario!N448)</f>
        <v>0</v>
      </c>
      <c r="R440" s="146" t="str">
        <f>IF(Formulario!O448&lt;&gt;"",IF(Formulario!O448=" ",".",Formulario!O448),".")</f>
        <v>Post Venta</v>
      </c>
      <c r="S440" s="141" t="s">
        <v>131</v>
      </c>
    </row>
    <row r="441" spans="1:19">
      <c r="A441" s="141">
        <f>Formulario!B449</f>
        <v>0</v>
      </c>
      <c r="B441" s="144" t="str">
        <f>IF(G441="."," ",Formulario!D$5)</f>
        <v xml:space="preserve"> </v>
      </c>
      <c r="C441" s="144" t="str">
        <f>IF(G441=".","",Formulario!D$6)</f>
        <v/>
      </c>
      <c r="D441" s="144" t="str">
        <f>IF(H441=".","",Formulario!D$7)</f>
        <v/>
      </c>
      <c r="E441" s="144" t="str">
        <f>IF(G441=".","",Formulario!J$5)</f>
        <v/>
      </c>
      <c r="F441" s="145" t="str">
        <f>IF(G441=".","",Formulario!J$6)</f>
        <v/>
      </c>
      <c r="G441" s="180" t="str">
        <f>IF(Formulario!C449&lt;&gt;"",IF(Formulario!C449=" ","Falta Depto",IF(H441=".","Error En Descripción",Formulario!C449)),IF(H441=".",".","Falta Datos"))</f>
        <v>.</v>
      </c>
      <c r="H441" s="144" t="str">
        <f>IF(Formulario!D449&lt;&gt;"",IF(Formulario!D449=" ",".",Formulario!D449),".")</f>
        <v>.</v>
      </c>
      <c r="I441" s="144" t="str">
        <f>IF(Formulario!E449&lt;&gt;"",IF(Formulario!E449=" "," ",Formulario!E449),IF(G441=".",".","Falta Propietario"))</f>
        <v>.</v>
      </c>
      <c r="J441" s="144" t="str">
        <f>IF(Formulario!F449&lt;&gt;"",IF(Formulario!F449=" "," ",Formulario!F449)," ")</f>
        <v xml:space="preserve"> </v>
      </c>
      <c r="K441" s="144" t="str">
        <f>IF(Formulario!G449&lt;&gt;"",IF(Formulario!G449=" "," ",Formulario!G449)," ")</f>
        <v xml:space="preserve"> </v>
      </c>
      <c r="L441" s="144" t="str">
        <f>IF(Formulario!H449&lt;&gt;"",IF(Formulario!H449=" "," ",Formulario!H449)," ")</f>
        <v xml:space="preserve"> </v>
      </c>
      <c r="M441" s="144" t="str">
        <f>IF(Formulario!I449&lt;&gt;"",IF(Formulario!I449=" "," ",Formulario!I449)," ")</f>
        <v xml:space="preserve"> </v>
      </c>
      <c r="N441" s="145" t="str">
        <f>IF(Formulario!J449&lt;&gt;"",IF(Formulario!J449=" "," ",Formulario!J449),IF(G441=".",".","Falta Fecha"))</f>
        <v>.</v>
      </c>
      <c r="O441" s="155">
        <f>Formulario!L449</f>
        <v>0</v>
      </c>
      <c r="P441" s="146">
        <f>IF(O441=1,"09:00",Formulario!M449)</f>
        <v>0</v>
      </c>
      <c r="Q441" s="146">
        <f>IF(O441=1,"18:30",Formulario!N449)</f>
        <v>0</v>
      </c>
      <c r="R441" s="146" t="str">
        <f>IF(Formulario!O449&lt;&gt;"",IF(Formulario!O449=" ",".",Formulario!O449),".")</f>
        <v>Post Venta</v>
      </c>
      <c r="S441" s="141" t="s">
        <v>131</v>
      </c>
    </row>
    <row r="442" spans="1:19">
      <c r="A442" s="141">
        <f>Formulario!B450</f>
        <v>0</v>
      </c>
      <c r="B442" s="144" t="str">
        <f>IF(G442="."," ",Formulario!D$5)</f>
        <v xml:space="preserve"> </v>
      </c>
      <c r="C442" s="144" t="str">
        <f>IF(G442=".","",Formulario!D$6)</f>
        <v/>
      </c>
      <c r="D442" s="144" t="str">
        <f>IF(H442=".","",Formulario!D$7)</f>
        <v/>
      </c>
      <c r="E442" s="144" t="str">
        <f>IF(G442=".","",Formulario!J$5)</f>
        <v/>
      </c>
      <c r="F442" s="145" t="str">
        <f>IF(G442=".","",Formulario!J$6)</f>
        <v/>
      </c>
      <c r="G442" s="180" t="str">
        <f>IF(Formulario!C450&lt;&gt;"",IF(Formulario!C450=" ","Falta Depto",IF(H442=".","Error En Descripción",Formulario!C450)),IF(H442=".",".","Falta Datos"))</f>
        <v>.</v>
      </c>
      <c r="H442" s="144" t="str">
        <f>IF(Formulario!D450&lt;&gt;"",IF(Formulario!D450=" ",".",Formulario!D450),".")</f>
        <v>.</v>
      </c>
      <c r="I442" s="144" t="str">
        <f>IF(Formulario!E450&lt;&gt;"",IF(Formulario!E450=" "," ",Formulario!E450),IF(G442=".",".","Falta Propietario"))</f>
        <v>.</v>
      </c>
      <c r="J442" s="144" t="str">
        <f>IF(Formulario!F450&lt;&gt;"",IF(Formulario!F450=" "," ",Formulario!F450)," ")</f>
        <v xml:space="preserve"> </v>
      </c>
      <c r="K442" s="144" t="str">
        <f>IF(Formulario!G450&lt;&gt;"",IF(Formulario!G450=" "," ",Formulario!G450)," ")</f>
        <v xml:space="preserve"> </v>
      </c>
      <c r="L442" s="144" t="str">
        <f>IF(Formulario!H450&lt;&gt;"",IF(Formulario!H450=" "," ",Formulario!H450)," ")</f>
        <v xml:space="preserve"> </v>
      </c>
      <c r="M442" s="144" t="str">
        <f>IF(Formulario!I450&lt;&gt;"",IF(Formulario!I450=" "," ",Formulario!I450)," ")</f>
        <v xml:space="preserve"> </v>
      </c>
      <c r="N442" s="145" t="str">
        <f>IF(Formulario!J450&lt;&gt;"",IF(Formulario!J450=" "," ",Formulario!J450),IF(G442=".",".","Falta Fecha"))</f>
        <v>.</v>
      </c>
      <c r="O442" s="155">
        <f>Formulario!L450</f>
        <v>0</v>
      </c>
      <c r="P442" s="146">
        <f>IF(O442=1,"09:00",Formulario!M450)</f>
        <v>0</v>
      </c>
      <c r="Q442" s="146">
        <f>IF(O442=1,"18:30",Formulario!N450)</f>
        <v>0</v>
      </c>
      <c r="R442" s="146" t="str">
        <f>IF(Formulario!O450&lt;&gt;"",IF(Formulario!O450=" ",".",Formulario!O450),".")</f>
        <v>Post Venta</v>
      </c>
      <c r="S442" s="141" t="s">
        <v>131</v>
      </c>
    </row>
    <row r="443" spans="1:19">
      <c r="A443" s="141">
        <f>Formulario!B451</f>
        <v>0</v>
      </c>
      <c r="B443" s="144" t="str">
        <f>IF(G443="."," ",Formulario!D$5)</f>
        <v xml:space="preserve"> </v>
      </c>
      <c r="C443" s="144" t="str">
        <f>IF(G443=".","",Formulario!D$6)</f>
        <v/>
      </c>
      <c r="D443" s="144" t="str">
        <f>IF(H443=".","",Formulario!D$7)</f>
        <v/>
      </c>
      <c r="E443" s="144" t="str">
        <f>IF(G443=".","",Formulario!J$5)</f>
        <v/>
      </c>
      <c r="F443" s="145" t="str">
        <f>IF(G443=".","",Formulario!J$6)</f>
        <v/>
      </c>
      <c r="G443" s="180" t="str">
        <f>IF(Formulario!C451&lt;&gt;"",IF(Formulario!C451=" ","Falta Depto",IF(H443=".","Error En Descripción",Formulario!C451)),IF(H443=".",".","Falta Datos"))</f>
        <v>.</v>
      </c>
      <c r="H443" s="144" t="str">
        <f>IF(Formulario!D451&lt;&gt;"",IF(Formulario!D451=" ",".",Formulario!D451),".")</f>
        <v>.</v>
      </c>
      <c r="I443" s="144" t="str">
        <f>IF(Formulario!E451&lt;&gt;"",IF(Formulario!E451=" "," ",Formulario!E451),IF(G443=".",".","Falta Propietario"))</f>
        <v>.</v>
      </c>
      <c r="J443" s="144" t="str">
        <f>IF(Formulario!F451&lt;&gt;"",IF(Formulario!F451=" "," ",Formulario!F451)," ")</f>
        <v xml:space="preserve"> </v>
      </c>
      <c r="K443" s="144" t="str">
        <f>IF(Formulario!G451&lt;&gt;"",IF(Formulario!G451=" "," ",Formulario!G451)," ")</f>
        <v xml:space="preserve"> </v>
      </c>
      <c r="L443" s="144" t="str">
        <f>IF(Formulario!H451&lt;&gt;"",IF(Formulario!H451=" "," ",Formulario!H451)," ")</f>
        <v xml:space="preserve"> </v>
      </c>
      <c r="M443" s="144" t="str">
        <f>IF(Formulario!I451&lt;&gt;"",IF(Formulario!I451=" "," ",Formulario!I451)," ")</f>
        <v xml:space="preserve"> </v>
      </c>
      <c r="N443" s="145" t="str">
        <f>IF(Formulario!J451&lt;&gt;"",IF(Formulario!J451=" "," ",Formulario!J451),IF(G443=".",".","Falta Fecha"))</f>
        <v>.</v>
      </c>
      <c r="O443" s="155">
        <f>Formulario!L451</f>
        <v>0</v>
      </c>
      <c r="P443" s="146">
        <f>IF(O443=1,"09:00",Formulario!M451)</f>
        <v>0</v>
      </c>
      <c r="Q443" s="146">
        <f>IF(O443=1,"18:30",Formulario!N451)</f>
        <v>0</v>
      </c>
      <c r="R443" s="146" t="str">
        <f>IF(Formulario!O451&lt;&gt;"",IF(Formulario!O451=" ",".",Formulario!O451),".")</f>
        <v>Post Venta</v>
      </c>
      <c r="S443" s="141" t="s">
        <v>131</v>
      </c>
    </row>
    <row r="444" spans="1:19">
      <c r="A444" s="141">
        <f>Formulario!B452</f>
        <v>0</v>
      </c>
      <c r="B444" s="144" t="str">
        <f>IF(G444="."," ",Formulario!D$5)</f>
        <v xml:space="preserve"> </v>
      </c>
      <c r="C444" s="144" t="str">
        <f>IF(G444=".","",Formulario!D$6)</f>
        <v/>
      </c>
      <c r="D444" s="144" t="str">
        <f>IF(H444=".","",Formulario!D$7)</f>
        <v/>
      </c>
      <c r="E444" s="144" t="str">
        <f>IF(G444=".","",Formulario!J$5)</f>
        <v/>
      </c>
      <c r="F444" s="145" t="str">
        <f>IF(G444=".","",Formulario!J$6)</f>
        <v/>
      </c>
      <c r="G444" s="180" t="str">
        <f>IF(Formulario!C452&lt;&gt;"",IF(Formulario!C452=" ","Falta Depto",IF(H444=".","Error En Descripción",Formulario!C452)),IF(H444=".",".","Falta Datos"))</f>
        <v>.</v>
      </c>
      <c r="H444" s="144" t="str">
        <f>IF(Formulario!D452&lt;&gt;"",IF(Formulario!D452=" ",".",Formulario!D452),".")</f>
        <v>.</v>
      </c>
      <c r="I444" s="144" t="str">
        <f>IF(Formulario!E452&lt;&gt;"",IF(Formulario!E452=" "," ",Formulario!E452),IF(G444=".",".","Falta Propietario"))</f>
        <v>.</v>
      </c>
      <c r="J444" s="144" t="str">
        <f>IF(Formulario!F452&lt;&gt;"",IF(Formulario!F452=" "," ",Formulario!F452)," ")</f>
        <v xml:space="preserve"> </v>
      </c>
      <c r="K444" s="144" t="str">
        <f>IF(Formulario!G452&lt;&gt;"",IF(Formulario!G452=" "," ",Formulario!G452)," ")</f>
        <v xml:space="preserve"> </v>
      </c>
      <c r="L444" s="144" t="str">
        <f>IF(Formulario!H452&lt;&gt;"",IF(Formulario!H452=" "," ",Formulario!H452)," ")</f>
        <v xml:space="preserve"> </v>
      </c>
      <c r="M444" s="144" t="str">
        <f>IF(Formulario!I452&lt;&gt;"",IF(Formulario!I452=" "," ",Formulario!I452)," ")</f>
        <v xml:space="preserve"> </v>
      </c>
      <c r="N444" s="145" t="str">
        <f>IF(Formulario!J452&lt;&gt;"",IF(Formulario!J452=" "," ",Formulario!J452),IF(G444=".",".","Falta Fecha"))</f>
        <v>.</v>
      </c>
      <c r="O444" s="155">
        <f>Formulario!L452</f>
        <v>0</v>
      </c>
      <c r="P444" s="146">
        <f>IF(O444=1,"09:00",Formulario!M452)</f>
        <v>0</v>
      </c>
      <c r="Q444" s="146">
        <f>IF(O444=1,"18:30",Formulario!N452)</f>
        <v>0</v>
      </c>
      <c r="R444" s="146" t="str">
        <f>IF(Formulario!O452&lt;&gt;"",IF(Formulario!O452=" ",".",Formulario!O452),".")</f>
        <v>Post Venta</v>
      </c>
      <c r="S444" s="141" t="s">
        <v>131</v>
      </c>
    </row>
    <row r="445" spans="1:19">
      <c r="A445" s="141">
        <f>Formulario!B453</f>
        <v>0</v>
      </c>
      <c r="B445" s="144" t="str">
        <f>IF(G445="."," ",Formulario!D$5)</f>
        <v xml:space="preserve"> </v>
      </c>
      <c r="C445" s="144" t="str">
        <f>IF(G445=".","",Formulario!D$6)</f>
        <v/>
      </c>
      <c r="D445" s="144" t="str">
        <f>IF(H445=".","",Formulario!D$7)</f>
        <v/>
      </c>
      <c r="E445" s="144" t="str">
        <f>IF(G445=".","",Formulario!J$5)</f>
        <v/>
      </c>
      <c r="F445" s="145" t="str">
        <f>IF(G445=".","",Formulario!J$6)</f>
        <v/>
      </c>
      <c r="G445" s="180" t="str">
        <f>IF(Formulario!C453&lt;&gt;"",IF(Formulario!C453=" ","Falta Depto",IF(H445=".","Error En Descripción",Formulario!C453)),IF(H445=".",".","Falta Datos"))</f>
        <v>.</v>
      </c>
      <c r="H445" s="144" t="str">
        <f>IF(Formulario!D453&lt;&gt;"",IF(Formulario!D453=" ",".",Formulario!D453),".")</f>
        <v>.</v>
      </c>
      <c r="I445" s="144" t="str">
        <f>IF(Formulario!E453&lt;&gt;"",IF(Formulario!E453=" "," ",Formulario!E453),IF(G445=".",".","Falta Propietario"))</f>
        <v>.</v>
      </c>
      <c r="J445" s="144" t="str">
        <f>IF(Formulario!F453&lt;&gt;"",IF(Formulario!F453=" "," ",Formulario!F453)," ")</f>
        <v xml:space="preserve"> </v>
      </c>
      <c r="K445" s="144" t="str">
        <f>IF(Formulario!G453&lt;&gt;"",IF(Formulario!G453=" "," ",Formulario!G453)," ")</f>
        <v xml:space="preserve"> </v>
      </c>
      <c r="L445" s="144" t="str">
        <f>IF(Formulario!H453&lt;&gt;"",IF(Formulario!H453=" "," ",Formulario!H453)," ")</f>
        <v xml:space="preserve"> </v>
      </c>
      <c r="M445" s="144" t="str">
        <f>IF(Formulario!I453&lt;&gt;"",IF(Formulario!I453=" "," ",Formulario!I453)," ")</f>
        <v xml:space="preserve"> </v>
      </c>
      <c r="N445" s="145" t="str">
        <f>IF(Formulario!J453&lt;&gt;"",IF(Formulario!J453=" "," ",Formulario!J453),IF(G445=".",".","Falta Fecha"))</f>
        <v>.</v>
      </c>
      <c r="O445" s="155">
        <f>Formulario!L453</f>
        <v>0</v>
      </c>
      <c r="P445" s="146">
        <f>IF(O445=1,"09:00",Formulario!M453)</f>
        <v>0</v>
      </c>
      <c r="Q445" s="146">
        <f>IF(O445=1,"18:30",Formulario!N453)</f>
        <v>0</v>
      </c>
      <c r="R445" s="146" t="str">
        <f>IF(Formulario!O453&lt;&gt;"",IF(Formulario!O453=" ",".",Formulario!O453),".")</f>
        <v>Post Venta</v>
      </c>
      <c r="S445" s="141" t="s">
        <v>131</v>
      </c>
    </row>
    <row r="446" spans="1:19">
      <c r="A446" s="141">
        <f>Formulario!B454</f>
        <v>0</v>
      </c>
      <c r="B446" s="144" t="str">
        <f>IF(G446="."," ",Formulario!D$5)</f>
        <v xml:space="preserve"> </v>
      </c>
      <c r="C446" s="144" t="str">
        <f>IF(G446=".","",Formulario!D$6)</f>
        <v/>
      </c>
      <c r="D446" s="144" t="str">
        <f>IF(H446=".","",Formulario!D$7)</f>
        <v/>
      </c>
      <c r="E446" s="144" t="str">
        <f>IF(G446=".","",Formulario!J$5)</f>
        <v/>
      </c>
      <c r="F446" s="145" t="str">
        <f>IF(G446=".","",Formulario!J$6)</f>
        <v/>
      </c>
      <c r="G446" s="180" t="str">
        <f>IF(Formulario!C454&lt;&gt;"",IF(Formulario!C454=" ","Falta Depto",IF(H446=".","Error En Descripción",Formulario!C454)),IF(H446=".",".","Falta Datos"))</f>
        <v>.</v>
      </c>
      <c r="H446" s="144" t="str">
        <f>IF(Formulario!D454&lt;&gt;"",IF(Formulario!D454=" ",".",Formulario!D454),".")</f>
        <v>.</v>
      </c>
      <c r="I446" s="144" t="str">
        <f>IF(Formulario!E454&lt;&gt;"",IF(Formulario!E454=" "," ",Formulario!E454),IF(G446=".",".","Falta Propietario"))</f>
        <v>.</v>
      </c>
      <c r="J446" s="144" t="str">
        <f>IF(Formulario!F454&lt;&gt;"",IF(Formulario!F454=" "," ",Formulario!F454)," ")</f>
        <v xml:space="preserve"> </v>
      </c>
      <c r="K446" s="144" t="str">
        <f>IF(Formulario!G454&lt;&gt;"",IF(Formulario!G454=" "," ",Formulario!G454)," ")</f>
        <v xml:space="preserve"> </v>
      </c>
      <c r="L446" s="144" t="str">
        <f>IF(Formulario!H454&lt;&gt;"",IF(Formulario!H454=" "," ",Formulario!H454)," ")</f>
        <v xml:space="preserve"> </v>
      </c>
      <c r="M446" s="144" t="str">
        <f>IF(Formulario!I454&lt;&gt;"",IF(Formulario!I454=" "," ",Formulario!I454)," ")</f>
        <v xml:space="preserve"> </v>
      </c>
      <c r="N446" s="145" t="str">
        <f>IF(Formulario!J454&lt;&gt;"",IF(Formulario!J454=" "," ",Formulario!J454),IF(G446=".",".","Falta Fecha"))</f>
        <v>.</v>
      </c>
      <c r="O446" s="155">
        <f>Formulario!L454</f>
        <v>0</v>
      </c>
      <c r="P446" s="146">
        <f>IF(O446=1,"09:00",Formulario!M454)</f>
        <v>0</v>
      </c>
      <c r="Q446" s="146">
        <f>IF(O446=1,"18:30",Formulario!N454)</f>
        <v>0</v>
      </c>
      <c r="R446" s="146" t="str">
        <f>IF(Formulario!O454&lt;&gt;"",IF(Formulario!O454=" ",".",Formulario!O454),".")</f>
        <v>Post Venta</v>
      </c>
      <c r="S446" s="141" t="s">
        <v>131</v>
      </c>
    </row>
    <row r="447" spans="1:19">
      <c r="A447" s="141">
        <f>Formulario!B455</f>
        <v>0</v>
      </c>
      <c r="B447" s="144" t="str">
        <f>IF(G447="."," ",Formulario!D$5)</f>
        <v xml:space="preserve"> </v>
      </c>
      <c r="C447" s="144" t="str">
        <f>IF(G447=".","",Formulario!D$6)</f>
        <v/>
      </c>
      <c r="D447" s="144" t="str">
        <f>IF(H447=".","",Formulario!D$7)</f>
        <v/>
      </c>
      <c r="E447" s="144" t="str">
        <f>IF(G447=".","",Formulario!J$5)</f>
        <v/>
      </c>
      <c r="F447" s="145" t="str">
        <f>IF(G447=".","",Formulario!J$6)</f>
        <v/>
      </c>
      <c r="G447" s="180" t="str">
        <f>IF(Formulario!C455&lt;&gt;"",IF(Formulario!C455=" ","Falta Depto",IF(H447=".","Error En Descripción",Formulario!C455)),IF(H447=".",".","Falta Datos"))</f>
        <v>.</v>
      </c>
      <c r="H447" s="144" t="str">
        <f>IF(Formulario!D455&lt;&gt;"",IF(Formulario!D455=" ",".",Formulario!D455),".")</f>
        <v>.</v>
      </c>
      <c r="I447" s="144" t="str">
        <f>IF(Formulario!E455&lt;&gt;"",IF(Formulario!E455=" "," ",Formulario!E455),IF(G447=".",".","Falta Propietario"))</f>
        <v>.</v>
      </c>
      <c r="J447" s="144" t="str">
        <f>IF(Formulario!F455&lt;&gt;"",IF(Formulario!F455=" "," ",Formulario!F455)," ")</f>
        <v xml:space="preserve"> </v>
      </c>
      <c r="K447" s="144" t="str">
        <f>IF(Formulario!G455&lt;&gt;"",IF(Formulario!G455=" "," ",Formulario!G455)," ")</f>
        <v xml:space="preserve"> </v>
      </c>
      <c r="L447" s="144" t="str">
        <f>IF(Formulario!H455&lt;&gt;"",IF(Formulario!H455=" "," ",Formulario!H455)," ")</f>
        <v xml:space="preserve"> </v>
      </c>
      <c r="M447" s="144" t="str">
        <f>IF(Formulario!I455&lt;&gt;"",IF(Formulario!I455=" "," ",Formulario!I455)," ")</f>
        <v xml:space="preserve"> </v>
      </c>
      <c r="N447" s="145" t="str">
        <f>IF(Formulario!J455&lt;&gt;"",IF(Formulario!J455=" "," ",Formulario!J455),IF(G447=".",".","Falta Fecha"))</f>
        <v>.</v>
      </c>
      <c r="O447" s="155">
        <f>Formulario!L455</f>
        <v>0</v>
      </c>
      <c r="P447" s="146">
        <f>IF(O447=1,"09:00",Formulario!M455)</f>
        <v>0</v>
      </c>
      <c r="Q447" s="146">
        <f>IF(O447=1,"18:30",Formulario!N455)</f>
        <v>0</v>
      </c>
      <c r="R447" s="146" t="str">
        <f>IF(Formulario!O455&lt;&gt;"",IF(Formulario!O455=" ",".",Formulario!O455),".")</f>
        <v>Post Venta</v>
      </c>
      <c r="S447" s="141" t="s">
        <v>131</v>
      </c>
    </row>
    <row r="448" spans="1:19">
      <c r="A448" s="141">
        <f>Formulario!B456</f>
        <v>0</v>
      </c>
      <c r="B448" s="144" t="str">
        <f>IF(G448="."," ",Formulario!D$5)</f>
        <v xml:space="preserve"> </v>
      </c>
      <c r="C448" s="144" t="str">
        <f>IF(G448=".","",Formulario!D$6)</f>
        <v/>
      </c>
      <c r="D448" s="144" t="str">
        <f>IF(H448=".","",Formulario!D$7)</f>
        <v/>
      </c>
      <c r="E448" s="144" t="str">
        <f>IF(G448=".","",Formulario!J$5)</f>
        <v/>
      </c>
      <c r="F448" s="145" t="str">
        <f>IF(G448=".","",Formulario!J$6)</f>
        <v/>
      </c>
      <c r="G448" s="180" t="str">
        <f>IF(Formulario!C456&lt;&gt;"",IF(Formulario!C456=" ","Falta Depto",IF(H448=".","Error En Descripción",Formulario!C456)),IF(H448=".",".","Falta Datos"))</f>
        <v>.</v>
      </c>
      <c r="H448" s="144" t="str">
        <f>IF(Formulario!D456&lt;&gt;"",IF(Formulario!D456=" ",".",Formulario!D456),".")</f>
        <v>.</v>
      </c>
      <c r="I448" s="144" t="str">
        <f>IF(Formulario!E456&lt;&gt;"",IF(Formulario!E456=" "," ",Formulario!E456),IF(G448=".",".","Falta Propietario"))</f>
        <v>.</v>
      </c>
      <c r="J448" s="144" t="str">
        <f>IF(Formulario!F456&lt;&gt;"",IF(Formulario!F456=" "," ",Formulario!F456)," ")</f>
        <v xml:space="preserve"> </v>
      </c>
      <c r="K448" s="144" t="str">
        <f>IF(Formulario!G456&lt;&gt;"",IF(Formulario!G456=" "," ",Formulario!G456)," ")</f>
        <v xml:space="preserve"> </v>
      </c>
      <c r="L448" s="144" t="str">
        <f>IF(Formulario!H456&lt;&gt;"",IF(Formulario!H456=" "," ",Formulario!H456)," ")</f>
        <v xml:space="preserve"> </v>
      </c>
      <c r="M448" s="144" t="str">
        <f>IF(Formulario!I456&lt;&gt;"",IF(Formulario!I456=" "," ",Formulario!I456)," ")</f>
        <v xml:space="preserve"> </v>
      </c>
      <c r="N448" s="145" t="str">
        <f>IF(Formulario!J456&lt;&gt;"",IF(Formulario!J456=" "," ",Formulario!J456),IF(G448=".",".","Falta Fecha"))</f>
        <v>.</v>
      </c>
      <c r="O448" s="155">
        <f>Formulario!L456</f>
        <v>0</v>
      </c>
      <c r="P448" s="146">
        <f>IF(O448=1,"09:00",Formulario!M456)</f>
        <v>0</v>
      </c>
      <c r="Q448" s="146">
        <f>IF(O448=1,"18:30",Formulario!N456)</f>
        <v>0</v>
      </c>
      <c r="R448" s="146" t="str">
        <f>IF(Formulario!O456&lt;&gt;"",IF(Formulario!O456=" ",".",Formulario!O456),".")</f>
        <v>Post Venta</v>
      </c>
      <c r="S448" s="141" t="s">
        <v>131</v>
      </c>
    </row>
    <row r="449" spans="1:19">
      <c r="A449" s="141">
        <f>Formulario!B457</f>
        <v>0</v>
      </c>
      <c r="B449" s="144" t="str">
        <f>IF(G449="."," ",Formulario!D$5)</f>
        <v xml:space="preserve"> </v>
      </c>
      <c r="C449" s="144" t="str">
        <f>IF(G449=".","",Formulario!D$6)</f>
        <v/>
      </c>
      <c r="D449" s="144" t="str">
        <f>IF(H449=".","",Formulario!D$7)</f>
        <v/>
      </c>
      <c r="E449" s="144" t="str">
        <f>IF(G449=".","",Formulario!J$5)</f>
        <v/>
      </c>
      <c r="F449" s="145" t="str">
        <f>IF(G449=".","",Formulario!J$6)</f>
        <v/>
      </c>
      <c r="G449" s="180" t="str">
        <f>IF(Formulario!C457&lt;&gt;"",IF(Formulario!C457=" ","Falta Depto",IF(H449=".","Error En Descripción",Formulario!C457)),IF(H449=".",".","Falta Datos"))</f>
        <v>.</v>
      </c>
      <c r="H449" s="144" t="str">
        <f>IF(Formulario!D457&lt;&gt;"",IF(Formulario!D457=" ",".",Formulario!D457),".")</f>
        <v>.</v>
      </c>
      <c r="I449" s="144" t="str">
        <f>IF(Formulario!E457&lt;&gt;"",IF(Formulario!E457=" "," ",Formulario!E457),IF(G449=".",".","Falta Propietario"))</f>
        <v>.</v>
      </c>
      <c r="J449" s="144" t="str">
        <f>IF(Formulario!F457&lt;&gt;"",IF(Formulario!F457=" "," ",Formulario!F457)," ")</f>
        <v xml:space="preserve"> </v>
      </c>
      <c r="K449" s="144" t="str">
        <f>IF(Formulario!G457&lt;&gt;"",IF(Formulario!G457=" "," ",Formulario!G457)," ")</f>
        <v xml:space="preserve"> </v>
      </c>
      <c r="L449" s="144" t="str">
        <f>IF(Formulario!H457&lt;&gt;"",IF(Formulario!H457=" "," ",Formulario!H457)," ")</f>
        <v xml:space="preserve"> </v>
      </c>
      <c r="M449" s="144" t="str">
        <f>IF(Formulario!I457&lt;&gt;"",IF(Formulario!I457=" "," ",Formulario!I457)," ")</f>
        <v xml:space="preserve"> </v>
      </c>
      <c r="N449" s="145" t="str">
        <f>IF(Formulario!J457&lt;&gt;"",IF(Formulario!J457=" "," ",Formulario!J457),IF(G449=".",".","Falta Fecha"))</f>
        <v>.</v>
      </c>
      <c r="O449" s="155">
        <f>Formulario!L457</f>
        <v>0</v>
      </c>
      <c r="P449" s="146">
        <f>IF(O449=1,"09:00",Formulario!M457)</f>
        <v>0</v>
      </c>
      <c r="Q449" s="146">
        <f>IF(O449=1,"18:30",Formulario!N457)</f>
        <v>0</v>
      </c>
      <c r="R449" s="146" t="str">
        <f>IF(Formulario!O457&lt;&gt;"",IF(Formulario!O457=" ",".",Formulario!O457),".")</f>
        <v>Post Venta</v>
      </c>
      <c r="S449" s="141" t="s">
        <v>131</v>
      </c>
    </row>
    <row r="450" spans="1:19">
      <c r="A450" s="141">
        <f>Formulario!B458</f>
        <v>0</v>
      </c>
      <c r="B450" s="144" t="str">
        <f>IF(G450="."," ",Formulario!D$5)</f>
        <v xml:space="preserve"> </v>
      </c>
      <c r="C450" s="144" t="str">
        <f>IF(G450=".","",Formulario!D$6)</f>
        <v/>
      </c>
      <c r="D450" s="144" t="str">
        <f>IF(H450=".","",Formulario!D$7)</f>
        <v/>
      </c>
      <c r="E450" s="144" t="str">
        <f>IF(G450=".","",Formulario!J$5)</f>
        <v/>
      </c>
      <c r="F450" s="145" t="str">
        <f>IF(G450=".","",Formulario!J$6)</f>
        <v/>
      </c>
      <c r="G450" s="180" t="str">
        <f>IF(Formulario!C458&lt;&gt;"",IF(Formulario!C458=" ","Falta Depto",IF(H450=".","Error En Descripción",Formulario!C458)),IF(H450=".",".","Falta Datos"))</f>
        <v>.</v>
      </c>
      <c r="H450" s="144" t="str">
        <f>IF(Formulario!D458&lt;&gt;"",IF(Formulario!D458=" ",".",Formulario!D458),".")</f>
        <v>.</v>
      </c>
      <c r="I450" s="144" t="str">
        <f>IF(Formulario!E458&lt;&gt;"",IF(Formulario!E458=" "," ",Formulario!E458),IF(G450=".",".","Falta Propietario"))</f>
        <v>.</v>
      </c>
      <c r="J450" s="144" t="str">
        <f>IF(Formulario!F458&lt;&gt;"",IF(Formulario!F458=" "," ",Formulario!F458)," ")</f>
        <v xml:space="preserve"> </v>
      </c>
      <c r="K450" s="144" t="str">
        <f>IF(Formulario!G458&lt;&gt;"",IF(Formulario!G458=" "," ",Formulario!G458)," ")</f>
        <v xml:space="preserve"> </v>
      </c>
      <c r="L450" s="144" t="str">
        <f>IF(Formulario!H458&lt;&gt;"",IF(Formulario!H458=" "," ",Formulario!H458)," ")</f>
        <v xml:space="preserve"> </v>
      </c>
      <c r="M450" s="144" t="str">
        <f>IF(Formulario!I458&lt;&gt;"",IF(Formulario!I458=" "," ",Formulario!I458)," ")</f>
        <v xml:space="preserve"> </v>
      </c>
      <c r="N450" s="145" t="str">
        <f>IF(Formulario!J458&lt;&gt;"",IF(Formulario!J458=" "," ",Formulario!J458),IF(G450=".",".","Falta Fecha"))</f>
        <v>.</v>
      </c>
      <c r="O450" s="155">
        <f>Formulario!L458</f>
        <v>0</v>
      </c>
      <c r="P450" s="146">
        <f>IF(O450=1,"09:00",Formulario!M458)</f>
        <v>0</v>
      </c>
      <c r="Q450" s="146">
        <f>IF(O450=1,"18:30",Formulario!N458)</f>
        <v>0</v>
      </c>
      <c r="R450" s="146" t="str">
        <f>IF(Formulario!O458&lt;&gt;"",IF(Formulario!O458=" ",".",Formulario!O458),".")</f>
        <v>Post Venta</v>
      </c>
      <c r="S450" s="141" t="s">
        <v>131</v>
      </c>
    </row>
    <row r="451" spans="1:19">
      <c r="A451" s="141">
        <f>Formulario!B459</f>
        <v>0</v>
      </c>
      <c r="B451" s="144" t="str">
        <f>IF(G451="."," ",Formulario!D$5)</f>
        <v xml:space="preserve"> </v>
      </c>
      <c r="C451" s="144" t="str">
        <f>IF(G451=".","",Formulario!D$6)</f>
        <v/>
      </c>
      <c r="D451" s="144" t="str">
        <f>IF(H451=".","",Formulario!D$7)</f>
        <v/>
      </c>
      <c r="E451" s="144" t="str">
        <f>IF(G451=".","",Formulario!J$5)</f>
        <v/>
      </c>
      <c r="F451" s="145" t="str">
        <f>IF(G451=".","",Formulario!J$6)</f>
        <v/>
      </c>
      <c r="G451" s="180" t="str">
        <f>IF(Formulario!C459&lt;&gt;"",IF(Formulario!C459=" ","Falta Depto",IF(H451=".","Error En Descripción",Formulario!C459)),IF(H451=".",".","Falta Datos"))</f>
        <v>.</v>
      </c>
      <c r="H451" s="144" t="str">
        <f>IF(Formulario!D459&lt;&gt;"",IF(Formulario!D459=" ",".",Formulario!D459),".")</f>
        <v>.</v>
      </c>
      <c r="I451" s="144" t="str">
        <f>IF(Formulario!E459&lt;&gt;"",IF(Formulario!E459=" "," ",Formulario!E459),IF(G451=".",".","Falta Propietario"))</f>
        <v>.</v>
      </c>
      <c r="J451" s="144" t="str">
        <f>IF(Formulario!F459&lt;&gt;"",IF(Formulario!F459=" "," ",Formulario!F459)," ")</f>
        <v xml:space="preserve"> </v>
      </c>
      <c r="K451" s="144" t="str">
        <f>IF(Formulario!G459&lt;&gt;"",IF(Formulario!G459=" "," ",Formulario!G459)," ")</f>
        <v xml:space="preserve"> </v>
      </c>
      <c r="L451" s="144" t="str">
        <f>IF(Formulario!H459&lt;&gt;"",IF(Formulario!H459=" "," ",Formulario!H459)," ")</f>
        <v xml:space="preserve"> </v>
      </c>
      <c r="M451" s="144" t="str">
        <f>IF(Formulario!I459&lt;&gt;"",IF(Formulario!I459=" "," ",Formulario!I459)," ")</f>
        <v xml:space="preserve"> </v>
      </c>
      <c r="N451" s="145" t="str">
        <f>IF(Formulario!J459&lt;&gt;"",IF(Formulario!J459=" "," ",Formulario!J459),IF(G451=".",".","Falta Fecha"))</f>
        <v>.</v>
      </c>
      <c r="O451" s="155">
        <f>Formulario!L459</f>
        <v>0</v>
      </c>
      <c r="P451" s="146">
        <f>IF(O451=1,"09:00",Formulario!M459)</f>
        <v>0</v>
      </c>
      <c r="Q451" s="146">
        <f>IF(O451=1,"18:30",Formulario!N459)</f>
        <v>0</v>
      </c>
      <c r="R451" s="146" t="str">
        <f>IF(Formulario!O459&lt;&gt;"",IF(Formulario!O459=" ",".",Formulario!O459),".")</f>
        <v>Post Venta</v>
      </c>
      <c r="S451" s="141" t="s">
        <v>131</v>
      </c>
    </row>
    <row r="452" spans="1:19">
      <c r="A452" s="141">
        <f>Formulario!B460</f>
        <v>0</v>
      </c>
      <c r="B452" s="144" t="str">
        <f>IF(G452="."," ",Formulario!D$5)</f>
        <v xml:space="preserve"> </v>
      </c>
      <c r="C452" s="144" t="str">
        <f>IF(G452=".","",Formulario!D$6)</f>
        <v/>
      </c>
      <c r="D452" s="144" t="str">
        <f>IF(H452=".","",Formulario!D$7)</f>
        <v/>
      </c>
      <c r="E452" s="144" t="str">
        <f>IF(G452=".","",Formulario!J$5)</f>
        <v/>
      </c>
      <c r="F452" s="145" t="str">
        <f>IF(G452=".","",Formulario!J$6)</f>
        <v/>
      </c>
      <c r="G452" s="180" t="str">
        <f>IF(Formulario!C460&lt;&gt;"",IF(Formulario!C460=" ","Falta Depto",IF(H452=".","Error En Descripción",Formulario!C460)),IF(H452=".",".","Falta Datos"))</f>
        <v>.</v>
      </c>
      <c r="H452" s="144" t="str">
        <f>IF(Formulario!D460&lt;&gt;"",IF(Formulario!D460=" ",".",Formulario!D460),".")</f>
        <v>.</v>
      </c>
      <c r="I452" s="144" t="str">
        <f>IF(Formulario!E460&lt;&gt;"",IF(Formulario!E460=" "," ",Formulario!E460),IF(G452=".",".","Falta Propietario"))</f>
        <v>.</v>
      </c>
      <c r="J452" s="144" t="str">
        <f>IF(Formulario!F460&lt;&gt;"",IF(Formulario!F460=" "," ",Formulario!F460)," ")</f>
        <v xml:space="preserve"> </v>
      </c>
      <c r="K452" s="144" t="str">
        <f>IF(Formulario!G460&lt;&gt;"",IF(Formulario!G460=" "," ",Formulario!G460)," ")</f>
        <v xml:space="preserve"> </v>
      </c>
      <c r="L452" s="144" t="str">
        <f>IF(Formulario!H460&lt;&gt;"",IF(Formulario!H460=" "," ",Formulario!H460)," ")</f>
        <v xml:space="preserve"> </v>
      </c>
      <c r="M452" s="144" t="str">
        <f>IF(Formulario!I460&lt;&gt;"",IF(Formulario!I460=" "," ",Formulario!I460)," ")</f>
        <v xml:space="preserve"> </v>
      </c>
      <c r="N452" s="145" t="str">
        <f>IF(Formulario!J460&lt;&gt;"",IF(Formulario!J460=" "," ",Formulario!J460),IF(G452=".",".","Falta Fecha"))</f>
        <v>.</v>
      </c>
      <c r="O452" s="155">
        <f>Formulario!L460</f>
        <v>0</v>
      </c>
      <c r="P452" s="146">
        <f>IF(O452=1,"09:00",Formulario!M460)</f>
        <v>0</v>
      </c>
      <c r="Q452" s="146">
        <f>IF(O452=1,"18:30",Formulario!N460)</f>
        <v>0</v>
      </c>
      <c r="R452" s="146" t="str">
        <f>IF(Formulario!O460&lt;&gt;"",IF(Formulario!O460=" ",".",Formulario!O460),".")</f>
        <v>Post Venta</v>
      </c>
      <c r="S452" s="141" t="s">
        <v>131</v>
      </c>
    </row>
    <row r="453" spans="1:19">
      <c r="A453" s="141">
        <f>Formulario!B461</f>
        <v>0</v>
      </c>
      <c r="B453" s="144" t="str">
        <f>IF(G453="."," ",Formulario!D$5)</f>
        <v xml:space="preserve"> </v>
      </c>
      <c r="C453" s="144" t="str">
        <f>IF(G453=".","",Formulario!D$6)</f>
        <v/>
      </c>
      <c r="D453" s="144" t="str">
        <f>IF(H453=".","",Formulario!D$7)</f>
        <v/>
      </c>
      <c r="E453" s="144" t="str">
        <f>IF(G453=".","",Formulario!J$5)</f>
        <v/>
      </c>
      <c r="F453" s="145" t="str">
        <f>IF(G453=".","",Formulario!J$6)</f>
        <v/>
      </c>
      <c r="G453" s="180" t="str">
        <f>IF(Formulario!C461&lt;&gt;"",IF(Formulario!C461=" ","Falta Depto",IF(H453=".","Error En Descripción",Formulario!C461)),IF(H453=".",".","Falta Datos"))</f>
        <v>.</v>
      </c>
      <c r="H453" s="144" t="str">
        <f>IF(Formulario!D461&lt;&gt;"",IF(Formulario!D461=" ",".",Formulario!D461),".")</f>
        <v>.</v>
      </c>
      <c r="I453" s="144" t="str">
        <f>IF(Formulario!E461&lt;&gt;"",IF(Formulario!E461=" "," ",Formulario!E461),IF(G453=".",".","Falta Propietario"))</f>
        <v>.</v>
      </c>
      <c r="J453" s="144" t="str">
        <f>IF(Formulario!F461&lt;&gt;"",IF(Formulario!F461=" "," ",Formulario!F461)," ")</f>
        <v xml:space="preserve"> </v>
      </c>
      <c r="K453" s="144" t="str">
        <f>IF(Formulario!G461&lt;&gt;"",IF(Formulario!G461=" "," ",Formulario!G461)," ")</f>
        <v xml:space="preserve"> </v>
      </c>
      <c r="L453" s="144" t="str">
        <f>IF(Formulario!H461&lt;&gt;"",IF(Formulario!H461=" "," ",Formulario!H461)," ")</f>
        <v xml:space="preserve"> </v>
      </c>
      <c r="M453" s="144" t="str">
        <f>IF(Formulario!I461&lt;&gt;"",IF(Formulario!I461=" "," ",Formulario!I461)," ")</f>
        <v xml:space="preserve"> </v>
      </c>
      <c r="N453" s="145" t="str">
        <f>IF(Formulario!J461&lt;&gt;"",IF(Formulario!J461=" "," ",Formulario!J461),IF(G453=".",".","Falta Fecha"))</f>
        <v>.</v>
      </c>
      <c r="O453" s="155">
        <f>Formulario!L461</f>
        <v>0</v>
      </c>
      <c r="P453" s="146">
        <f>IF(O453=1,"09:00",Formulario!M461)</f>
        <v>0</v>
      </c>
      <c r="Q453" s="146">
        <f>IF(O453=1,"18:30",Formulario!N461)</f>
        <v>0</v>
      </c>
      <c r="R453" s="146" t="str">
        <f>IF(Formulario!O461&lt;&gt;"",IF(Formulario!O461=" ",".",Formulario!O461),".")</f>
        <v>Post Venta</v>
      </c>
      <c r="S453" s="141" t="s">
        <v>131</v>
      </c>
    </row>
    <row r="454" spans="1:19">
      <c r="A454" s="141">
        <f>Formulario!B462</f>
        <v>0</v>
      </c>
      <c r="B454" s="144" t="str">
        <f>IF(G454="."," ",Formulario!D$5)</f>
        <v xml:space="preserve"> </v>
      </c>
      <c r="C454" s="144" t="str">
        <f>IF(G454=".","",Formulario!D$6)</f>
        <v/>
      </c>
      <c r="D454" s="144" t="str">
        <f>IF(H454=".","",Formulario!D$7)</f>
        <v/>
      </c>
      <c r="E454" s="144" t="str">
        <f>IF(G454=".","",Formulario!J$5)</f>
        <v/>
      </c>
      <c r="F454" s="145" t="str">
        <f>IF(G454=".","",Formulario!J$6)</f>
        <v/>
      </c>
      <c r="G454" s="180" t="str">
        <f>IF(Formulario!C462&lt;&gt;"",IF(Formulario!C462=" ","Falta Depto",IF(H454=".","Error En Descripción",Formulario!C462)),IF(H454=".",".","Falta Datos"))</f>
        <v>.</v>
      </c>
      <c r="H454" s="144" t="str">
        <f>IF(Formulario!D462&lt;&gt;"",IF(Formulario!D462=" ",".",Formulario!D462),".")</f>
        <v>.</v>
      </c>
      <c r="I454" s="144" t="str">
        <f>IF(Formulario!E462&lt;&gt;"",IF(Formulario!E462=" "," ",Formulario!E462),IF(G454=".",".","Falta Propietario"))</f>
        <v>.</v>
      </c>
      <c r="J454" s="144" t="str">
        <f>IF(Formulario!F462&lt;&gt;"",IF(Formulario!F462=" "," ",Formulario!F462)," ")</f>
        <v xml:space="preserve"> </v>
      </c>
      <c r="K454" s="144" t="str">
        <f>IF(Formulario!G462&lt;&gt;"",IF(Formulario!G462=" "," ",Formulario!G462)," ")</f>
        <v xml:space="preserve"> </v>
      </c>
      <c r="L454" s="144" t="str">
        <f>IF(Formulario!H462&lt;&gt;"",IF(Formulario!H462=" "," ",Formulario!H462)," ")</f>
        <v xml:space="preserve"> </v>
      </c>
      <c r="M454" s="144" t="str">
        <f>IF(Formulario!I462&lt;&gt;"",IF(Formulario!I462=" "," ",Formulario!I462)," ")</f>
        <v xml:space="preserve"> </v>
      </c>
      <c r="N454" s="145" t="str">
        <f>IF(Formulario!J462&lt;&gt;"",IF(Formulario!J462=" "," ",Formulario!J462),IF(G454=".",".","Falta Fecha"))</f>
        <v>.</v>
      </c>
      <c r="O454" s="155">
        <f>Formulario!L462</f>
        <v>0</v>
      </c>
      <c r="P454" s="146">
        <f>IF(O454=1,"09:00",Formulario!M462)</f>
        <v>0</v>
      </c>
      <c r="Q454" s="146">
        <f>IF(O454=1,"18:30",Formulario!N462)</f>
        <v>0</v>
      </c>
      <c r="R454" s="146" t="str">
        <f>IF(Formulario!O462&lt;&gt;"",IF(Formulario!O462=" ",".",Formulario!O462),".")</f>
        <v>Post Venta</v>
      </c>
      <c r="S454" s="141" t="s">
        <v>131</v>
      </c>
    </row>
    <row r="455" spans="1:19">
      <c r="A455" s="141">
        <f>Formulario!B463</f>
        <v>0</v>
      </c>
      <c r="B455" s="144" t="str">
        <f>IF(G455="."," ",Formulario!D$5)</f>
        <v xml:space="preserve"> </v>
      </c>
      <c r="C455" s="144" t="str">
        <f>IF(G455=".","",Formulario!D$6)</f>
        <v/>
      </c>
      <c r="D455" s="144" t="str">
        <f>IF(H455=".","",Formulario!D$7)</f>
        <v/>
      </c>
      <c r="E455" s="144" t="str">
        <f>IF(G455=".","",Formulario!J$5)</f>
        <v/>
      </c>
      <c r="F455" s="145" t="str">
        <f>IF(G455=".","",Formulario!J$6)</f>
        <v/>
      </c>
      <c r="G455" s="180" t="str">
        <f>IF(Formulario!C463&lt;&gt;"",IF(Formulario!C463=" ","Falta Depto",IF(H455=".","Error En Descripción",Formulario!C463)),IF(H455=".",".","Falta Datos"))</f>
        <v>.</v>
      </c>
      <c r="H455" s="144" t="str">
        <f>IF(Formulario!D463&lt;&gt;"",IF(Formulario!D463=" ",".",Formulario!D463),".")</f>
        <v>.</v>
      </c>
      <c r="I455" s="144" t="str">
        <f>IF(Formulario!E463&lt;&gt;"",IF(Formulario!E463=" "," ",Formulario!E463),IF(G455=".",".","Falta Propietario"))</f>
        <v>.</v>
      </c>
      <c r="J455" s="144" t="str">
        <f>IF(Formulario!F463&lt;&gt;"",IF(Formulario!F463=" "," ",Formulario!F463)," ")</f>
        <v xml:space="preserve"> </v>
      </c>
      <c r="K455" s="144" t="str">
        <f>IF(Formulario!G463&lt;&gt;"",IF(Formulario!G463=" "," ",Formulario!G463)," ")</f>
        <v xml:space="preserve"> </v>
      </c>
      <c r="L455" s="144" t="str">
        <f>IF(Formulario!H463&lt;&gt;"",IF(Formulario!H463=" "," ",Formulario!H463)," ")</f>
        <v xml:space="preserve"> </v>
      </c>
      <c r="M455" s="144" t="str">
        <f>IF(Formulario!I463&lt;&gt;"",IF(Formulario!I463=" "," ",Formulario!I463)," ")</f>
        <v xml:space="preserve"> </v>
      </c>
      <c r="N455" s="145" t="str">
        <f>IF(Formulario!J463&lt;&gt;"",IF(Formulario!J463=" "," ",Formulario!J463),IF(G455=".",".","Falta Fecha"))</f>
        <v>.</v>
      </c>
      <c r="O455" s="155">
        <f>Formulario!L463</f>
        <v>0</v>
      </c>
      <c r="P455" s="146">
        <f>IF(O455=1,"09:00",Formulario!M463)</f>
        <v>0</v>
      </c>
      <c r="Q455" s="146">
        <f>IF(O455=1,"18:30",Formulario!N463)</f>
        <v>0</v>
      </c>
      <c r="R455" s="146" t="str">
        <f>IF(Formulario!O463&lt;&gt;"",IF(Formulario!O463=" ",".",Formulario!O463),".")</f>
        <v>Post Venta</v>
      </c>
      <c r="S455" s="141" t="s">
        <v>131</v>
      </c>
    </row>
    <row r="456" spans="1:19">
      <c r="A456" s="141">
        <f>Formulario!B464</f>
        <v>0</v>
      </c>
      <c r="B456" s="144" t="str">
        <f>IF(G456="."," ",Formulario!D$5)</f>
        <v xml:space="preserve"> </v>
      </c>
      <c r="C456" s="144" t="str">
        <f>IF(G456=".","",Formulario!D$6)</f>
        <v/>
      </c>
      <c r="D456" s="144" t="str">
        <f>IF(H456=".","",Formulario!D$7)</f>
        <v/>
      </c>
      <c r="E456" s="144" t="str">
        <f>IF(G456=".","",Formulario!J$5)</f>
        <v/>
      </c>
      <c r="F456" s="145" t="str">
        <f>IF(G456=".","",Formulario!J$6)</f>
        <v/>
      </c>
      <c r="G456" s="180" t="str">
        <f>IF(Formulario!C464&lt;&gt;"",IF(Formulario!C464=" ","Falta Depto",IF(H456=".","Error En Descripción",Formulario!C464)),IF(H456=".",".","Falta Datos"))</f>
        <v>.</v>
      </c>
      <c r="H456" s="144" t="str">
        <f>IF(Formulario!D464&lt;&gt;"",IF(Formulario!D464=" ",".",Formulario!D464),".")</f>
        <v>.</v>
      </c>
      <c r="I456" s="144" t="str">
        <f>IF(Formulario!E464&lt;&gt;"",IF(Formulario!E464=" "," ",Formulario!E464),IF(G456=".",".","Falta Propietario"))</f>
        <v>.</v>
      </c>
      <c r="J456" s="144" t="str">
        <f>IF(Formulario!F464&lt;&gt;"",IF(Formulario!F464=" "," ",Formulario!F464)," ")</f>
        <v xml:space="preserve"> </v>
      </c>
      <c r="K456" s="144" t="str">
        <f>IF(Formulario!G464&lt;&gt;"",IF(Formulario!G464=" "," ",Formulario!G464)," ")</f>
        <v xml:space="preserve"> </v>
      </c>
      <c r="L456" s="144" t="str">
        <f>IF(Formulario!H464&lt;&gt;"",IF(Formulario!H464=" "," ",Formulario!H464)," ")</f>
        <v xml:space="preserve"> </v>
      </c>
      <c r="M456" s="144" t="str">
        <f>IF(Formulario!I464&lt;&gt;"",IF(Formulario!I464=" "," ",Formulario!I464)," ")</f>
        <v xml:space="preserve"> </v>
      </c>
      <c r="N456" s="145" t="str">
        <f>IF(Formulario!J464&lt;&gt;"",IF(Formulario!J464=" "," ",Formulario!J464),IF(G456=".",".","Falta Fecha"))</f>
        <v>.</v>
      </c>
      <c r="O456" s="155">
        <f>Formulario!L464</f>
        <v>0</v>
      </c>
      <c r="P456" s="146">
        <f>IF(O456=1,"09:00",Formulario!M464)</f>
        <v>0</v>
      </c>
      <c r="Q456" s="146">
        <f>IF(O456=1,"18:30",Formulario!N464)</f>
        <v>0</v>
      </c>
      <c r="R456" s="146" t="str">
        <f>IF(Formulario!O464&lt;&gt;"",IF(Formulario!O464=" ",".",Formulario!O464),".")</f>
        <v>Post Venta</v>
      </c>
      <c r="S456" s="141" t="s">
        <v>131</v>
      </c>
    </row>
    <row r="457" spans="1:19">
      <c r="A457" s="141">
        <f>Formulario!B465</f>
        <v>0</v>
      </c>
      <c r="B457" s="144" t="str">
        <f>IF(G457="."," ",Formulario!D$5)</f>
        <v xml:space="preserve"> </v>
      </c>
      <c r="C457" s="144" t="str">
        <f>IF(G457=".","",Formulario!D$6)</f>
        <v/>
      </c>
      <c r="D457" s="144" t="str">
        <f>IF(H457=".","",Formulario!D$7)</f>
        <v/>
      </c>
      <c r="E457" s="144" t="str">
        <f>IF(G457=".","",Formulario!J$5)</f>
        <v/>
      </c>
      <c r="F457" s="145" t="str">
        <f>IF(G457=".","",Formulario!J$6)</f>
        <v/>
      </c>
      <c r="G457" s="180" t="str">
        <f>IF(Formulario!C465&lt;&gt;"",IF(Formulario!C465=" ","Falta Depto",IF(H457=".","Error En Descripción",Formulario!C465)),IF(H457=".",".","Falta Datos"))</f>
        <v>.</v>
      </c>
      <c r="H457" s="144" t="str">
        <f>IF(Formulario!D465&lt;&gt;"",IF(Formulario!D465=" ",".",Formulario!D465),".")</f>
        <v>.</v>
      </c>
      <c r="I457" s="144" t="str">
        <f>IF(Formulario!E465&lt;&gt;"",IF(Formulario!E465=" "," ",Formulario!E465),IF(G457=".",".","Falta Propietario"))</f>
        <v>.</v>
      </c>
      <c r="J457" s="144" t="str">
        <f>IF(Formulario!F465&lt;&gt;"",IF(Formulario!F465=" "," ",Formulario!F465)," ")</f>
        <v xml:space="preserve"> </v>
      </c>
      <c r="K457" s="144" t="str">
        <f>IF(Formulario!G465&lt;&gt;"",IF(Formulario!G465=" "," ",Formulario!G465)," ")</f>
        <v xml:space="preserve"> </v>
      </c>
      <c r="L457" s="144" t="str">
        <f>IF(Formulario!H465&lt;&gt;"",IF(Formulario!H465=" "," ",Formulario!H465)," ")</f>
        <v xml:space="preserve"> </v>
      </c>
      <c r="M457" s="144" t="str">
        <f>IF(Formulario!I465&lt;&gt;"",IF(Formulario!I465=" "," ",Formulario!I465)," ")</f>
        <v xml:space="preserve"> </v>
      </c>
      <c r="N457" s="145" t="str">
        <f>IF(Formulario!J465&lt;&gt;"",IF(Formulario!J465=" "," ",Formulario!J465),IF(G457=".",".","Falta Fecha"))</f>
        <v>.</v>
      </c>
      <c r="O457" s="155">
        <f>Formulario!L465</f>
        <v>0</v>
      </c>
      <c r="P457" s="146">
        <f>IF(O457=1,"09:00",Formulario!M465)</f>
        <v>0</v>
      </c>
      <c r="Q457" s="146">
        <f>IF(O457=1,"18:30",Formulario!N465)</f>
        <v>0</v>
      </c>
      <c r="R457" s="146" t="str">
        <f>IF(Formulario!O465&lt;&gt;"",IF(Formulario!O465=" ",".",Formulario!O465),".")</f>
        <v>Post Venta</v>
      </c>
      <c r="S457" s="141" t="s">
        <v>131</v>
      </c>
    </row>
    <row r="458" spans="1:19">
      <c r="A458" s="141">
        <f>Formulario!B466</f>
        <v>0</v>
      </c>
      <c r="B458" s="144" t="str">
        <f>IF(G458="."," ",Formulario!D$5)</f>
        <v xml:space="preserve"> </v>
      </c>
      <c r="C458" s="144" t="str">
        <f>IF(G458=".","",Formulario!D$6)</f>
        <v/>
      </c>
      <c r="D458" s="144" t="str">
        <f>IF(H458=".","",Formulario!D$7)</f>
        <v/>
      </c>
      <c r="E458" s="144" t="str">
        <f>IF(G458=".","",Formulario!J$5)</f>
        <v/>
      </c>
      <c r="F458" s="145" t="str">
        <f>IF(G458=".","",Formulario!J$6)</f>
        <v/>
      </c>
      <c r="G458" s="180" t="str">
        <f>IF(Formulario!C466&lt;&gt;"",IF(Formulario!C466=" ","Falta Depto",IF(H458=".","Error En Descripción",Formulario!C466)),IF(H458=".",".","Falta Datos"))</f>
        <v>.</v>
      </c>
      <c r="H458" s="144" t="str">
        <f>IF(Formulario!D466&lt;&gt;"",IF(Formulario!D466=" ",".",Formulario!D466),".")</f>
        <v>.</v>
      </c>
      <c r="I458" s="144" t="str">
        <f>IF(Formulario!E466&lt;&gt;"",IF(Formulario!E466=" "," ",Formulario!E466),IF(G458=".",".","Falta Propietario"))</f>
        <v>.</v>
      </c>
      <c r="J458" s="144" t="str">
        <f>IF(Formulario!F466&lt;&gt;"",IF(Formulario!F466=" "," ",Formulario!F466)," ")</f>
        <v xml:space="preserve"> </v>
      </c>
      <c r="K458" s="144" t="str">
        <f>IF(Formulario!G466&lt;&gt;"",IF(Formulario!G466=" "," ",Formulario!G466)," ")</f>
        <v xml:space="preserve"> </v>
      </c>
      <c r="L458" s="144" t="str">
        <f>IF(Formulario!H466&lt;&gt;"",IF(Formulario!H466=" "," ",Formulario!H466)," ")</f>
        <v xml:space="preserve"> </v>
      </c>
      <c r="M458" s="144" t="str">
        <f>IF(Formulario!I466&lt;&gt;"",IF(Formulario!I466=" "," ",Formulario!I466)," ")</f>
        <v xml:space="preserve"> </v>
      </c>
      <c r="N458" s="145" t="str">
        <f>IF(Formulario!J466&lt;&gt;"",IF(Formulario!J466=" "," ",Formulario!J466),IF(G458=".",".","Falta Fecha"))</f>
        <v>.</v>
      </c>
      <c r="O458" s="155">
        <f>Formulario!L466</f>
        <v>0</v>
      </c>
      <c r="P458" s="146">
        <f>IF(O458=1,"09:00",Formulario!M466)</f>
        <v>0</v>
      </c>
      <c r="Q458" s="146">
        <f>IF(O458=1,"18:30",Formulario!N466)</f>
        <v>0</v>
      </c>
      <c r="R458" s="146" t="str">
        <f>IF(Formulario!O466&lt;&gt;"",IF(Formulario!O466=" ",".",Formulario!O466),".")</f>
        <v>Post Venta</v>
      </c>
      <c r="S458" s="141" t="s">
        <v>131</v>
      </c>
    </row>
    <row r="459" spans="1:19">
      <c r="A459" s="141">
        <f>Formulario!B467</f>
        <v>0</v>
      </c>
      <c r="B459" s="144" t="str">
        <f>IF(G459="."," ",Formulario!D$5)</f>
        <v xml:space="preserve"> </v>
      </c>
      <c r="C459" s="144" t="str">
        <f>IF(G459=".","",Formulario!D$6)</f>
        <v/>
      </c>
      <c r="D459" s="144" t="str">
        <f>IF(H459=".","",Formulario!D$7)</f>
        <v/>
      </c>
      <c r="E459" s="144" t="str">
        <f>IF(G459=".","",Formulario!J$5)</f>
        <v/>
      </c>
      <c r="F459" s="145" t="str">
        <f>IF(G459=".","",Formulario!J$6)</f>
        <v/>
      </c>
      <c r="G459" s="180" t="str">
        <f>IF(Formulario!C467&lt;&gt;"",IF(Formulario!C467=" ","Falta Depto",IF(H459=".","Error En Descripción",Formulario!C467)),IF(H459=".",".","Falta Datos"))</f>
        <v>.</v>
      </c>
      <c r="H459" s="144" t="str">
        <f>IF(Formulario!D467&lt;&gt;"",IF(Formulario!D467=" ",".",Formulario!D467),".")</f>
        <v>.</v>
      </c>
      <c r="I459" s="144" t="str">
        <f>IF(Formulario!E467&lt;&gt;"",IF(Formulario!E467=" "," ",Formulario!E467),IF(G459=".",".","Falta Propietario"))</f>
        <v>.</v>
      </c>
      <c r="J459" s="144" t="str">
        <f>IF(Formulario!F467&lt;&gt;"",IF(Formulario!F467=" "," ",Formulario!F467)," ")</f>
        <v xml:space="preserve"> </v>
      </c>
      <c r="K459" s="144" t="str">
        <f>IF(Formulario!G467&lt;&gt;"",IF(Formulario!G467=" "," ",Formulario!G467)," ")</f>
        <v xml:space="preserve"> </v>
      </c>
      <c r="L459" s="144" t="str">
        <f>IF(Formulario!H467&lt;&gt;"",IF(Formulario!H467=" "," ",Formulario!H467)," ")</f>
        <v xml:space="preserve"> </v>
      </c>
      <c r="M459" s="144" t="str">
        <f>IF(Formulario!I467&lt;&gt;"",IF(Formulario!I467=" "," ",Formulario!I467)," ")</f>
        <v xml:space="preserve"> </v>
      </c>
      <c r="N459" s="145" t="str">
        <f>IF(Formulario!J467&lt;&gt;"",IF(Formulario!J467=" "," ",Formulario!J467),IF(G459=".",".","Falta Fecha"))</f>
        <v>.</v>
      </c>
      <c r="O459" s="155">
        <f>Formulario!L467</f>
        <v>0</v>
      </c>
      <c r="P459" s="146">
        <f>IF(O459=1,"09:00",Formulario!M467)</f>
        <v>0</v>
      </c>
      <c r="Q459" s="146">
        <f>IF(O459=1,"18:30",Formulario!N467)</f>
        <v>0</v>
      </c>
      <c r="R459" s="146" t="str">
        <f>IF(Formulario!O467&lt;&gt;"",IF(Formulario!O467=" ",".",Formulario!O467),".")</f>
        <v>Post Venta</v>
      </c>
      <c r="S459" s="141" t="s">
        <v>131</v>
      </c>
    </row>
    <row r="460" spans="1:19">
      <c r="A460" s="141">
        <f>Formulario!B468</f>
        <v>0</v>
      </c>
      <c r="B460" s="144" t="str">
        <f>IF(G460="."," ",Formulario!D$5)</f>
        <v xml:space="preserve"> </v>
      </c>
      <c r="C460" s="144" t="str">
        <f>IF(G460=".","",Formulario!D$6)</f>
        <v/>
      </c>
      <c r="D460" s="144" t="str">
        <f>IF(H460=".","",Formulario!D$7)</f>
        <v/>
      </c>
      <c r="E460" s="144" t="str">
        <f>IF(G460=".","",Formulario!J$5)</f>
        <v/>
      </c>
      <c r="F460" s="145" t="str">
        <f>IF(G460=".","",Formulario!J$6)</f>
        <v/>
      </c>
      <c r="G460" s="180" t="str">
        <f>IF(Formulario!C468&lt;&gt;"",IF(Formulario!C468=" ","Falta Depto",IF(H460=".","Error En Descripción",Formulario!C468)),IF(H460=".",".","Falta Datos"))</f>
        <v>.</v>
      </c>
      <c r="H460" s="144" t="str">
        <f>IF(Formulario!D468&lt;&gt;"",IF(Formulario!D468=" ",".",Formulario!D468),".")</f>
        <v>.</v>
      </c>
      <c r="I460" s="144" t="str">
        <f>IF(Formulario!E468&lt;&gt;"",IF(Formulario!E468=" "," ",Formulario!E468),IF(G460=".",".","Falta Propietario"))</f>
        <v>.</v>
      </c>
      <c r="J460" s="144" t="str">
        <f>IF(Formulario!F468&lt;&gt;"",IF(Formulario!F468=" "," ",Formulario!F468)," ")</f>
        <v xml:space="preserve"> </v>
      </c>
      <c r="K460" s="144" t="str">
        <f>IF(Formulario!G468&lt;&gt;"",IF(Formulario!G468=" "," ",Formulario!G468)," ")</f>
        <v xml:space="preserve"> </v>
      </c>
      <c r="L460" s="144" t="str">
        <f>IF(Formulario!H468&lt;&gt;"",IF(Formulario!H468=" "," ",Formulario!H468)," ")</f>
        <v xml:space="preserve"> </v>
      </c>
      <c r="M460" s="144" t="str">
        <f>IF(Formulario!I468&lt;&gt;"",IF(Formulario!I468=" "," ",Formulario!I468)," ")</f>
        <v xml:space="preserve"> </v>
      </c>
      <c r="N460" s="145" t="str">
        <f>IF(Formulario!J468&lt;&gt;"",IF(Formulario!J468=" "," ",Formulario!J468),IF(G460=".",".","Falta Fecha"))</f>
        <v>.</v>
      </c>
      <c r="O460" s="155">
        <f>Formulario!L468</f>
        <v>0</v>
      </c>
      <c r="P460" s="146">
        <f>IF(O460=1,"09:00",Formulario!M468)</f>
        <v>0</v>
      </c>
      <c r="Q460" s="146">
        <f>IF(O460=1,"18:30",Formulario!N468)</f>
        <v>0</v>
      </c>
      <c r="R460" s="146" t="str">
        <f>IF(Formulario!O468&lt;&gt;"",IF(Formulario!O468=" ",".",Formulario!O468),".")</f>
        <v>Post Venta</v>
      </c>
      <c r="S460" s="141" t="s">
        <v>131</v>
      </c>
    </row>
    <row r="461" spans="1:19">
      <c r="A461" s="141">
        <f>Formulario!B469</f>
        <v>0</v>
      </c>
      <c r="B461" s="144" t="str">
        <f>IF(G461="."," ",Formulario!D$5)</f>
        <v xml:space="preserve"> </v>
      </c>
      <c r="C461" s="144" t="str">
        <f>IF(G461=".","",Formulario!D$6)</f>
        <v/>
      </c>
      <c r="D461" s="144" t="str">
        <f>IF(H461=".","",Formulario!D$7)</f>
        <v/>
      </c>
      <c r="E461" s="144" t="str">
        <f>IF(G461=".","",Formulario!J$5)</f>
        <v/>
      </c>
      <c r="F461" s="145" t="str">
        <f>IF(G461=".","",Formulario!J$6)</f>
        <v/>
      </c>
      <c r="G461" s="180" t="str">
        <f>IF(Formulario!C469&lt;&gt;"",IF(Formulario!C469=" ","Falta Depto",IF(H461=".","Error En Descripción",Formulario!C469)),IF(H461=".",".","Falta Datos"))</f>
        <v>.</v>
      </c>
      <c r="H461" s="144" t="str">
        <f>IF(Formulario!D469&lt;&gt;"",IF(Formulario!D469=" ",".",Formulario!D469),".")</f>
        <v>.</v>
      </c>
      <c r="I461" s="144" t="str">
        <f>IF(Formulario!E469&lt;&gt;"",IF(Formulario!E469=" "," ",Formulario!E469),IF(G461=".",".","Falta Propietario"))</f>
        <v>.</v>
      </c>
      <c r="J461" s="144" t="str">
        <f>IF(Formulario!F469&lt;&gt;"",IF(Formulario!F469=" "," ",Formulario!F469)," ")</f>
        <v xml:space="preserve"> </v>
      </c>
      <c r="K461" s="144" t="str">
        <f>IF(Formulario!G469&lt;&gt;"",IF(Formulario!G469=" "," ",Formulario!G469)," ")</f>
        <v xml:space="preserve"> </v>
      </c>
      <c r="L461" s="144" t="str">
        <f>IF(Formulario!H469&lt;&gt;"",IF(Formulario!H469=" "," ",Formulario!H469)," ")</f>
        <v xml:space="preserve"> </v>
      </c>
      <c r="M461" s="144" t="str">
        <f>IF(Formulario!I469&lt;&gt;"",IF(Formulario!I469=" "," ",Formulario!I469)," ")</f>
        <v xml:space="preserve"> </v>
      </c>
      <c r="N461" s="145" t="str">
        <f>IF(Formulario!J469&lt;&gt;"",IF(Formulario!J469=" "," ",Formulario!J469),IF(G461=".",".","Falta Fecha"))</f>
        <v>.</v>
      </c>
      <c r="O461" s="155">
        <f>Formulario!L469</f>
        <v>0</v>
      </c>
      <c r="P461" s="146">
        <f>IF(O461=1,"09:00",Formulario!M469)</f>
        <v>0</v>
      </c>
      <c r="Q461" s="146">
        <f>IF(O461=1,"18:30",Formulario!N469)</f>
        <v>0</v>
      </c>
      <c r="R461" s="146" t="str">
        <f>IF(Formulario!O469&lt;&gt;"",IF(Formulario!O469=" ",".",Formulario!O469),".")</f>
        <v>Post Venta</v>
      </c>
      <c r="S461" s="141" t="s">
        <v>131</v>
      </c>
    </row>
    <row r="462" spans="1:19">
      <c r="A462" s="141">
        <f>Formulario!B470</f>
        <v>0</v>
      </c>
      <c r="B462" s="144" t="str">
        <f>IF(G462="."," ",Formulario!D$5)</f>
        <v xml:space="preserve"> </v>
      </c>
      <c r="C462" s="144" t="str">
        <f>IF(G462=".","",Formulario!D$6)</f>
        <v/>
      </c>
      <c r="D462" s="144" t="str">
        <f>IF(H462=".","",Formulario!D$7)</f>
        <v/>
      </c>
      <c r="E462" s="144" t="str">
        <f>IF(G462=".","",Formulario!J$5)</f>
        <v/>
      </c>
      <c r="F462" s="145" t="str">
        <f>IF(G462=".","",Formulario!J$6)</f>
        <v/>
      </c>
      <c r="G462" s="180" t="str">
        <f>IF(Formulario!C470&lt;&gt;"",IF(Formulario!C470=" ","Falta Depto",IF(H462=".","Error En Descripción",Formulario!C470)),IF(H462=".",".","Falta Datos"))</f>
        <v>.</v>
      </c>
      <c r="H462" s="144" t="str">
        <f>IF(Formulario!D470&lt;&gt;"",IF(Formulario!D470=" ",".",Formulario!D470),".")</f>
        <v>.</v>
      </c>
      <c r="I462" s="144" t="str">
        <f>IF(Formulario!E470&lt;&gt;"",IF(Formulario!E470=" "," ",Formulario!E470),IF(G462=".",".","Falta Propietario"))</f>
        <v>.</v>
      </c>
      <c r="J462" s="144" t="str">
        <f>IF(Formulario!F470&lt;&gt;"",IF(Formulario!F470=" "," ",Formulario!F470)," ")</f>
        <v xml:space="preserve"> </v>
      </c>
      <c r="K462" s="144" t="str">
        <f>IF(Formulario!G470&lt;&gt;"",IF(Formulario!G470=" "," ",Formulario!G470)," ")</f>
        <v xml:space="preserve"> </v>
      </c>
      <c r="L462" s="144" t="str">
        <f>IF(Formulario!H470&lt;&gt;"",IF(Formulario!H470=" "," ",Formulario!H470)," ")</f>
        <v xml:space="preserve"> </v>
      </c>
      <c r="M462" s="144" t="str">
        <f>IF(Formulario!I470&lt;&gt;"",IF(Formulario!I470=" "," ",Formulario!I470)," ")</f>
        <v xml:space="preserve"> </v>
      </c>
      <c r="N462" s="145" t="str">
        <f>IF(Formulario!J470&lt;&gt;"",IF(Formulario!J470=" "," ",Formulario!J470),IF(G462=".",".","Falta Fecha"))</f>
        <v>.</v>
      </c>
      <c r="O462" s="155">
        <f>Formulario!L470</f>
        <v>0</v>
      </c>
      <c r="P462" s="146">
        <f>IF(O462=1,"09:00",Formulario!M470)</f>
        <v>0</v>
      </c>
      <c r="Q462" s="146">
        <f>IF(O462=1,"18:30",Formulario!N470)</f>
        <v>0</v>
      </c>
      <c r="R462" s="146" t="str">
        <f>IF(Formulario!O470&lt;&gt;"",IF(Formulario!O470=" ",".",Formulario!O470),".")</f>
        <v>Post Venta</v>
      </c>
      <c r="S462" s="141" t="s">
        <v>131</v>
      </c>
    </row>
    <row r="463" spans="1:19">
      <c r="A463" s="141">
        <f>Formulario!B471</f>
        <v>0</v>
      </c>
      <c r="B463" s="144" t="str">
        <f>IF(G463="."," ",Formulario!D$5)</f>
        <v xml:space="preserve"> </v>
      </c>
      <c r="C463" s="144" t="str">
        <f>IF(G463=".","",Formulario!D$6)</f>
        <v/>
      </c>
      <c r="D463" s="144" t="str">
        <f>IF(H463=".","",Formulario!D$7)</f>
        <v/>
      </c>
      <c r="E463" s="144" t="str">
        <f>IF(G463=".","",Formulario!J$5)</f>
        <v/>
      </c>
      <c r="F463" s="145" t="str">
        <f>IF(G463=".","",Formulario!J$6)</f>
        <v/>
      </c>
      <c r="G463" s="180" t="str">
        <f>IF(Formulario!C471&lt;&gt;"",IF(Formulario!C471=" ","Falta Depto",IF(H463=".","Error En Descripción",Formulario!C471)),IF(H463=".",".","Falta Datos"))</f>
        <v>.</v>
      </c>
      <c r="H463" s="144" t="str">
        <f>IF(Formulario!D471&lt;&gt;"",IF(Formulario!D471=" ",".",Formulario!D471),".")</f>
        <v>.</v>
      </c>
      <c r="I463" s="144" t="str">
        <f>IF(Formulario!E471&lt;&gt;"",IF(Formulario!E471=" "," ",Formulario!E471),IF(G463=".",".","Falta Propietario"))</f>
        <v>.</v>
      </c>
      <c r="J463" s="144" t="str">
        <f>IF(Formulario!F471&lt;&gt;"",IF(Formulario!F471=" "," ",Formulario!F471)," ")</f>
        <v xml:space="preserve"> </v>
      </c>
      <c r="K463" s="144" t="str">
        <f>IF(Formulario!G471&lt;&gt;"",IF(Formulario!G471=" "," ",Formulario!G471)," ")</f>
        <v xml:space="preserve"> </v>
      </c>
      <c r="L463" s="144" t="str">
        <f>IF(Formulario!H471&lt;&gt;"",IF(Formulario!H471=" "," ",Formulario!H471)," ")</f>
        <v xml:space="preserve"> </v>
      </c>
      <c r="M463" s="144" t="str">
        <f>IF(Formulario!I471&lt;&gt;"",IF(Formulario!I471=" "," ",Formulario!I471)," ")</f>
        <v xml:space="preserve"> </v>
      </c>
      <c r="N463" s="145" t="str">
        <f>IF(Formulario!J471&lt;&gt;"",IF(Formulario!J471=" "," ",Formulario!J471),IF(G463=".",".","Falta Fecha"))</f>
        <v>.</v>
      </c>
      <c r="O463" s="155">
        <f>Formulario!L471</f>
        <v>0</v>
      </c>
      <c r="P463" s="146">
        <f>IF(O463=1,"09:00",Formulario!M471)</f>
        <v>0</v>
      </c>
      <c r="Q463" s="146">
        <f>IF(O463=1,"18:30",Formulario!N471)</f>
        <v>0</v>
      </c>
      <c r="R463" s="146" t="str">
        <f>IF(Formulario!O471&lt;&gt;"",IF(Formulario!O471=" ",".",Formulario!O471),".")</f>
        <v>Post Venta</v>
      </c>
      <c r="S463" s="141" t="s">
        <v>131</v>
      </c>
    </row>
    <row r="464" spans="1:19">
      <c r="A464" s="141">
        <f>Formulario!B472</f>
        <v>0</v>
      </c>
      <c r="B464" s="144" t="str">
        <f>IF(G464="."," ",Formulario!D$5)</f>
        <v xml:space="preserve"> </v>
      </c>
      <c r="C464" s="144" t="str">
        <f>IF(G464=".","",Formulario!D$6)</f>
        <v/>
      </c>
      <c r="D464" s="144" t="str">
        <f>IF(H464=".","",Formulario!D$7)</f>
        <v/>
      </c>
      <c r="E464" s="144" t="str">
        <f>IF(G464=".","",Formulario!J$5)</f>
        <v/>
      </c>
      <c r="F464" s="145" t="str">
        <f>IF(G464=".","",Formulario!J$6)</f>
        <v/>
      </c>
      <c r="G464" s="180" t="str">
        <f>IF(Formulario!C472&lt;&gt;"",IF(Formulario!C472=" ","Falta Depto",IF(H464=".","Error En Descripción",Formulario!C472)),IF(H464=".",".","Falta Datos"))</f>
        <v>.</v>
      </c>
      <c r="H464" s="144" t="str">
        <f>IF(Formulario!D472&lt;&gt;"",IF(Formulario!D472=" ",".",Formulario!D472),".")</f>
        <v>.</v>
      </c>
      <c r="I464" s="144" t="str">
        <f>IF(Formulario!E472&lt;&gt;"",IF(Formulario!E472=" "," ",Formulario!E472),IF(G464=".",".","Falta Propietario"))</f>
        <v>.</v>
      </c>
      <c r="J464" s="144" t="str">
        <f>IF(Formulario!F472&lt;&gt;"",IF(Formulario!F472=" "," ",Formulario!F472)," ")</f>
        <v xml:space="preserve"> </v>
      </c>
      <c r="K464" s="144" t="str">
        <f>IF(Formulario!G472&lt;&gt;"",IF(Formulario!G472=" "," ",Formulario!G472)," ")</f>
        <v xml:space="preserve"> </v>
      </c>
      <c r="L464" s="144" t="str">
        <f>IF(Formulario!H472&lt;&gt;"",IF(Formulario!H472=" "," ",Formulario!H472)," ")</f>
        <v xml:space="preserve"> </v>
      </c>
      <c r="M464" s="144" t="str">
        <f>IF(Formulario!I472&lt;&gt;"",IF(Formulario!I472=" "," ",Formulario!I472)," ")</f>
        <v xml:space="preserve"> </v>
      </c>
      <c r="N464" s="145" t="str">
        <f>IF(Formulario!J472&lt;&gt;"",IF(Formulario!J472=" "," ",Formulario!J472),IF(G464=".",".","Falta Fecha"))</f>
        <v>.</v>
      </c>
      <c r="O464" s="155">
        <f>Formulario!L472</f>
        <v>0</v>
      </c>
      <c r="P464" s="146">
        <f>IF(O464=1,"09:00",Formulario!M472)</f>
        <v>0</v>
      </c>
      <c r="Q464" s="146">
        <f>IF(O464=1,"18:30",Formulario!N472)</f>
        <v>0</v>
      </c>
      <c r="R464" s="146" t="str">
        <f>IF(Formulario!O472&lt;&gt;"",IF(Formulario!O472=" ",".",Formulario!O472),".")</f>
        <v>Post Venta</v>
      </c>
      <c r="S464" s="141" t="s">
        <v>131</v>
      </c>
    </row>
    <row r="465" spans="1:19">
      <c r="A465" s="141">
        <f>Formulario!B473</f>
        <v>0</v>
      </c>
      <c r="B465" s="144" t="str">
        <f>IF(G465="."," ",Formulario!D$5)</f>
        <v xml:space="preserve"> </v>
      </c>
      <c r="C465" s="144" t="str">
        <f>IF(G465=".","",Formulario!D$6)</f>
        <v/>
      </c>
      <c r="D465" s="144" t="str">
        <f>IF(H465=".","",Formulario!D$7)</f>
        <v/>
      </c>
      <c r="E465" s="144" t="str">
        <f>IF(G465=".","",Formulario!J$5)</f>
        <v/>
      </c>
      <c r="F465" s="145" t="str">
        <f>IF(G465=".","",Formulario!J$6)</f>
        <v/>
      </c>
      <c r="G465" s="180" t="str">
        <f>IF(Formulario!C473&lt;&gt;"",IF(Formulario!C473=" ","Falta Depto",IF(H465=".","Error En Descripción",Formulario!C473)),IF(H465=".",".","Falta Datos"))</f>
        <v>.</v>
      </c>
      <c r="H465" s="144" t="str">
        <f>IF(Formulario!D473&lt;&gt;"",IF(Formulario!D473=" ",".",Formulario!D473),".")</f>
        <v>.</v>
      </c>
      <c r="I465" s="144" t="str">
        <f>IF(Formulario!E473&lt;&gt;"",IF(Formulario!E473=" "," ",Formulario!E473),IF(G465=".",".","Falta Propietario"))</f>
        <v>.</v>
      </c>
      <c r="J465" s="144" t="str">
        <f>IF(Formulario!F473&lt;&gt;"",IF(Formulario!F473=" "," ",Formulario!F473)," ")</f>
        <v xml:space="preserve"> </v>
      </c>
      <c r="K465" s="144" t="str">
        <f>IF(Formulario!G473&lt;&gt;"",IF(Formulario!G473=" "," ",Formulario!G473)," ")</f>
        <v xml:space="preserve"> </v>
      </c>
      <c r="L465" s="144" t="str">
        <f>IF(Formulario!H473&lt;&gt;"",IF(Formulario!H473=" "," ",Formulario!H473)," ")</f>
        <v xml:space="preserve"> </v>
      </c>
      <c r="M465" s="144" t="str">
        <f>IF(Formulario!I473&lt;&gt;"",IF(Formulario!I473=" "," ",Formulario!I473)," ")</f>
        <v xml:space="preserve"> </v>
      </c>
      <c r="N465" s="145" t="str">
        <f>IF(Formulario!J473&lt;&gt;"",IF(Formulario!J473=" "," ",Formulario!J473),IF(G465=".",".","Falta Fecha"))</f>
        <v>.</v>
      </c>
      <c r="O465" s="155">
        <f>Formulario!L473</f>
        <v>0</v>
      </c>
      <c r="P465" s="146">
        <f>IF(O465=1,"09:00",Formulario!M473)</f>
        <v>0</v>
      </c>
      <c r="Q465" s="146">
        <f>IF(O465=1,"18:30",Formulario!N473)</f>
        <v>0</v>
      </c>
      <c r="R465" s="146" t="str">
        <f>IF(Formulario!O473&lt;&gt;"",IF(Formulario!O473=" ",".",Formulario!O473),".")</f>
        <v>Post Venta</v>
      </c>
      <c r="S465" s="141" t="s">
        <v>131</v>
      </c>
    </row>
    <row r="466" spans="1:19">
      <c r="A466" s="141">
        <f>Formulario!B474</f>
        <v>0</v>
      </c>
      <c r="B466" s="144" t="str">
        <f>IF(G466="."," ",Formulario!D$5)</f>
        <v xml:space="preserve"> </v>
      </c>
      <c r="C466" s="144" t="str">
        <f>IF(G466=".","",Formulario!D$6)</f>
        <v/>
      </c>
      <c r="D466" s="144" t="str">
        <f>IF(H466=".","",Formulario!D$7)</f>
        <v/>
      </c>
      <c r="E466" s="144" t="str">
        <f>IF(G466=".","",Formulario!J$5)</f>
        <v/>
      </c>
      <c r="F466" s="145" t="str">
        <f>IF(G466=".","",Formulario!J$6)</f>
        <v/>
      </c>
      <c r="G466" s="180" t="str">
        <f>IF(Formulario!C474&lt;&gt;"",IF(Formulario!C474=" ","Falta Depto",IF(H466=".","Error En Descripción",Formulario!C474)),IF(H466=".",".","Falta Datos"))</f>
        <v>.</v>
      </c>
      <c r="H466" s="144" t="str">
        <f>IF(Formulario!D474&lt;&gt;"",IF(Formulario!D474=" ",".",Formulario!D474),".")</f>
        <v>.</v>
      </c>
      <c r="I466" s="144" t="str">
        <f>IF(Formulario!E474&lt;&gt;"",IF(Formulario!E474=" "," ",Formulario!E474),IF(G466=".",".","Falta Propietario"))</f>
        <v>.</v>
      </c>
      <c r="J466" s="144" t="str">
        <f>IF(Formulario!F474&lt;&gt;"",IF(Formulario!F474=" "," ",Formulario!F474)," ")</f>
        <v xml:space="preserve"> </v>
      </c>
      <c r="K466" s="144" t="str">
        <f>IF(Formulario!G474&lt;&gt;"",IF(Formulario!G474=" "," ",Formulario!G474)," ")</f>
        <v xml:space="preserve"> </v>
      </c>
      <c r="L466" s="144" t="str">
        <f>IF(Formulario!H474&lt;&gt;"",IF(Formulario!H474=" "," ",Formulario!H474)," ")</f>
        <v xml:space="preserve"> </v>
      </c>
      <c r="M466" s="144" t="str">
        <f>IF(Formulario!I474&lt;&gt;"",IF(Formulario!I474=" "," ",Formulario!I474)," ")</f>
        <v xml:space="preserve"> </v>
      </c>
      <c r="N466" s="145" t="str">
        <f>IF(Formulario!J474&lt;&gt;"",IF(Formulario!J474=" "," ",Formulario!J474),IF(G466=".",".","Falta Fecha"))</f>
        <v>.</v>
      </c>
      <c r="O466" s="155">
        <f>Formulario!L474</f>
        <v>0</v>
      </c>
      <c r="P466" s="146">
        <f>IF(O466=1,"09:00",Formulario!M474)</f>
        <v>0</v>
      </c>
      <c r="Q466" s="146">
        <f>IF(O466=1,"18:30",Formulario!N474)</f>
        <v>0</v>
      </c>
      <c r="R466" s="146" t="str">
        <f>IF(Formulario!O474&lt;&gt;"",IF(Formulario!O474=" ",".",Formulario!O474),".")</f>
        <v>Post Venta</v>
      </c>
      <c r="S466" s="141" t="s">
        <v>131</v>
      </c>
    </row>
    <row r="467" spans="1:19">
      <c r="A467" s="141">
        <f>Formulario!B475</f>
        <v>0</v>
      </c>
      <c r="B467" s="144" t="str">
        <f>IF(G467="."," ",Formulario!D$5)</f>
        <v xml:space="preserve"> </v>
      </c>
      <c r="C467" s="144" t="str">
        <f>IF(G467=".","",Formulario!D$6)</f>
        <v/>
      </c>
      <c r="D467" s="144" t="str">
        <f>IF(H467=".","",Formulario!D$7)</f>
        <v/>
      </c>
      <c r="E467" s="144" t="str">
        <f>IF(G467=".","",Formulario!J$5)</f>
        <v/>
      </c>
      <c r="F467" s="145" t="str">
        <f>IF(G467=".","",Formulario!J$6)</f>
        <v/>
      </c>
      <c r="G467" s="180" t="str">
        <f>IF(Formulario!C475&lt;&gt;"",IF(Formulario!C475=" ","Falta Depto",IF(H467=".","Error En Descripción",Formulario!C475)),IF(H467=".",".","Falta Datos"))</f>
        <v>.</v>
      </c>
      <c r="H467" s="144" t="str">
        <f>IF(Formulario!D475&lt;&gt;"",IF(Formulario!D475=" ",".",Formulario!D475),".")</f>
        <v>.</v>
      </c>
      <c r="I467" s="144" t="str">
        <f>IF(Formulario!E475&lt;&gt;"",IF(Formulario!E475=" "," ",Formulario!E475),IF(G467=".",".","Falta Propietario"))</f>
        <v>.</v>
      </c>
      <c r="J467" s="144" t="str">
        <f>IF(Formulario!F475&lt;&gt;"",IF(Formulario!F475=" "," ",Formulario!F475)," ")</f>
        <v xml:space="preserve"> </v>
      </c>
      <c r="K467" s="144" t="str">
        <f>IF(Formulario!G475&lt;&gt;"",IF(Formulario!G475=" "," ",Formulario!G475)," ")</f>
        <v xml:space="preserve"> </v>
      </c>
      <c r="L467" s="144" t="str">
        <f>IF(Formulario!H475&lt;&gt;"",IF(Formulario!H475=" "," ",Formulario!H475)," ")</f>
        <v xml:space="preserve"> </v>
      </c>
      <c r="M467" s="144" t="str">
        <f>IF(Formulario!I475&lt;&gt;"",IF(Formulario!I475=" "," ",Formulario!I475)," ")</f>
        <v xml:space="preserve"> </v>
      </c>
      <c r="N467" s="145" t="str">
        <f>IF(Formulario!J475&lt;&gt;"",IF(Formulario!J475=" "," ",Formulario!J475),IF(G467=".",".","Falta Fecha"))</f>
        <v>.</v>
      </c>
      <c r="O467" s="155">
        <f>Formulario!L475</f>
        <v>0</v>
      </c>
      <c r="P467" s="146">
        <f>IF(O467=1,"09:00",Formulario!M475)</f>
        <v>0</v>
      </c>
      <c r="Q467" s="146">
        <f>IF(O467=1,"18:30",Formulario!N475)</f>
        <v>0</v>
      </c>
      <c r="R467" s="146" t="str">
        <f>IF(Formulario!O475&lt;&gt;"",IF(Formulario!O475=" ",".",Formulario!O475),".")</f>
        <v>Post Venta</v>
      </c>
      <c r="S467" s="141" t="s">
        <v>131</v>
      </c>
    </row>
    <row r="468" spans="1:19">
      <c r="A468" s="141">
        <f>Formulario!B476</f>
        <v>0</v>
      </c>
      <c r="B468" s="144" t="str">
        <f>IF(G468="."," ",Formulario!D$5)</f>
        <v xml:space="preserve"> </v>
      </c>
      <c r="C468" s="144" t="str">
        <f>IF(G468=".","",Formulario!D$6)</f>
        <v/>
      </c>
      <c r="D468" s="144" t="str">
        <f>IF(H468=".","",Formulario!D$7)</f>
        <v/>
      </c>
      <c r="E468" s="144" t="str">
        <f>IF(G468=".","",Formulario!J$5)</f>
        <v/>
      </c>
      <c r="F468" s="145" t="str">
        <f>IF(G468=".","",Formulario!J$6)</f>
        <v/>
      </c>
      <c r="G468" s="180" t="str">
        <f>IF(Formulario!C476&lt;&gt;"",IF(Formulario!C476=" ","Falta Depto",IF(H468=".","Error En Descripción",Formulario!C476)),IF(H468=".",".","Falta Datos"))</f>
        <v>.</v>
      </c>
      <c r="H468" s="144" t="str">
        <f>IF(Formulario!D476&lt;&gt;"",IF(Formulario!D476=" ",".",Formulario!D476),".")</f>
        <v>.</v>
      </c>
      <c r="I468" s="144" t="str">
        <f>IF(Formulario!E476&lt;&gt;"",IF(Formulario!E476=" "," ",Formulario!E476),IF(G468=".",".","Falta Propietario"))</f>
        <v>.</v>
      </c>
      <c r="J468" s="144" t="str">
        <f>IF(Formulario!F476&lt;&gt;"",IF(Formulario!F476=" "," ",Formulario!F476)," ")</f>
        <v xml:space="preserve"> </v>
      </c>
      <c r="K468" s="144" t="str">
        <f>IF(Formulario!G476&lt;&gt;"",IF(Formulario!G476=" "," ",Formulario!G476)," ")</f>
        <v xml:space="preserve"> </v>
      </c>
      <c r="L468" s="144" t="str">
        <f>IF(Formulario!H476&lt;&gt;"",IF(Formulario!H476=" "," ",Formulario!H476)," ")</f>
        <v xml:space="preserve"> </v>
      </c>
      <c r="M468" s="144" t="str">
        <f>IF(Formulario!I476&lt;&gt;"",IF(Formulario!I476=" "," ",Formulario!I476)," ")</f>
        <v xml:space="preserve"> </v>
      </c>
      <c r="N468" s="145" t="str">
        <f>IF(Formulario!J476&lt;&gt;"",IF(Formulario!J476=" "," ",Formulario!J476),IF(G468=".",".","Falta Fecha"))</f>
        <v>.</v>
      </c>
      <c r="O468" s="155">
        <f>Formulario!L476</f>
        <v>0</v>
      </c>
      <c r="P468" s="146">
        <f>IF(O468=1,"09:00",Formulario!M476)</f>
        <v>0</v>
      </c>
      <c r="Q468" s="146">
        <f>IF(O468=1,"18:30",Formulario!N476)</f>
        <v>0</v>
      </c>
      <c r="R468" s="146" t="str">
        <f>IF(Formulario!O476&lt;&gt;"",IF(Formulario!O476=" ",".",Formulario!O476),".")</f>
        <v>Post Venta</v>
      </c>
      <c r="S468" s="141" t="s">
        <v>131</v>
      </c>
    </row>
    <row r="469" spans="1:19">
      <c r="A469" s="141">
        <f>Formulario!B477</f>
        <v>0</v>
      </c>
      <c r="B469" s="144" t="str">
        <f>IF(G469="."," ",Formulario!D$5)</f>
        <v xml:space="preserve"> </v>
      </c>
      <c r="C469" s="144" t="str">
        <f>IF(G469=".","",Formulario!D$6)</f>
        <v/>
      </c>
      <c r="D469" s="144" t="str">
        <f>IF(H469=".","",Formulario!D$7)</f>
        <v/>
      </c>
      <c r="E469" s="144" t="str">
        <f>IF(G469=".","",Formulario!J$5)</f>
        <v/>
      </c>
      <c r="F469" s="145" t="str">
        <f>IF(G469=".","",Formulario!J$6)</f>
        <v/>
      </c>
      <c r="G469" s="180" t="str">
        <f>IF(Formulario!C477&lt;&gt;"",IF(Formulario!C477=" ","Falta Depto",IF(H469=".","Error En Descripción",Formulario!C477)),IF(H469=".",".","Falta Datos"))</f>
        <v>.</v>
      </c>
      <c r="H469" s="144" t="str">
        <f>IF(Formulario!D477&lt;&gt;"",IF(Formulario!D477=" ",".",Formulario!D477),".")</f>
        <v>.</v>
      </c>
      <c r="I469" s="144" t="str">
        <f>IF(Formulario!E477&lt;&gt;"",IF(Formulario!E477=" "," ",Formulario!E477),IF(G469=".",".","Falta Propietario"))</f>
        <v>.</v>
      </c>
      <c r="J469" s="144" t="str">
        <f>IF(Formulario!F477&lt;&gt;"",IF(Formulario!F477=" "," ",Formulario!F477)," ")</f>
        <v xml:space="preserve"> </v>
      </c>
      <c r="K469" s="144" t="str">
        <f>IF(Formulario!G477&lt;&gt;"",IF(Formulario!G477=" "," ",Formulario!G477)," ")</f>
        <v xml:space="preserve"> </v>
      </c>
      <c r="L469" s="144" t="str">
        <f>IF(Formulario!H477&lt;&gt;"",IF(Formulario!H477=" "," ",Formulario!H477)," ")</f>
        <v xml:space="preserve"> </v>
      </c>
      <c r="M469" s="144" t="str">
        <f>IF(Formulario!I477&lt;&gt;"",IF(Formulario!I477=" "," ",Formulario!I477)," ")</f>
        <v xml:space="preserve"> </v>
      </c>
      <c r="N469" s="145" t="str">
        <f>IF(Formulario!J477&lt;&gt;"",IF(Formulario!J477=" "," ",Formulario!J477),IF(G469=".",".","Falta Fecha"))</f>
        <v>.</v>
      </c>
      <c r="O469" s="155">
        <f>Formulario!L477</f>
        <v>0</v>
      </c>
      <c r="P469" s="146">
        <f>IF(O469=1,"09:00",Formulario!M477)</f>
        <v>0</v>
      </c>
      <c r="Q469" s="146">
        <f>IF(O469=1,"18:30",Formulario!N477)</f>
        <v>0</v>
      </c>
      <c r="R469" s="146" t="str">
        <f>IF(Formulario!O477&lt;&gt;"",IF(Formulario!O477=" ",".",Formulario!O477),".")</f>
        <v>Post Venta</v>
      </c>
      <c r="S469" s="141" t="s">
        <v>131</v>
      </c>
    </row>
    <row r="470" spans="1:19">
      <c r="A470" s="141">
        <f>Formulario!B478</f>
        <v>0</v>
      </c>
      <c r="B470" s="144" t="str">
        <f>IF(G470="."," ",Formulario!D$5)</f>
        <v xml:space="preserve"> </v>
      </c>
      <c r="C470" s="144" t="str">
        <f>IF(G470=".","",Formulario!D$6)</f>
        <v/>
      </c>
      <c r="D470" s="144" t="str">
        <f>IF(H470=".","",Formulario!D$7)</f>
        <v/>
      </c>
      <c r="E470" s="144" t="str">
        <f>IF(G470=".","",Formulario!J$5)</f>
        <v/>
      </c>
      <c r="F470" s="145" t="str">
        <f>IF(G470=".","",Formulario!J$6)</f>
        <v/>
      </c>
      <c r="G470" s="180" t="str">
        <f>IF(Formulario!C478&lt;&gt;"",IF(Formulario!C478=" ","Falta Depto",IF(H470=".","Error En Descripción",Formulario!C478)),IF(H470=".",".","Falta Datos"))</f>
        <v>.</v>
      </c>
      <c r="H470" s="144" t="str">
        <f>IF(Formulario!D478&lt;&gt;"",IF(Formulario!D478=" ",".",Formulario!D478),".")</f>
        <v>.</v>
      </c>
      <c r="I470" s="144" t="str">
        <f>IF(Formulario!E478&lt;&gt;"",IF(Formulario!E478=" "," ",Formulario!E478),IF(G470=".",".","Falta Propietario"))</f>
        <v>.</v>
      </c>
      <c r="J470" s="144" t="str">
        <f>IF(Formulario!F478&lt;&gt;"",IF(Formulario!F478=" "," ",Formulario!F478)," ")</f>
        <v xml:space="preserve"> </v>
      </c>
      <c r="K470" s="144" t="str">
        <f>IF(Formulario!G478&lt;&gt;"",IF(Formulario!G478=" "," ",Formulario!G478)," ")</f>
        <v xml:space="preserve"> </v>
      </c>
      <c r="L470" s="144" t="str">
        <f>IF(Formulario!H478&lt;&gt;"",IF(Formulario!H478=" "," ",Formulario!H478)," ")</f>
        <v xml:space="preserve"> </v>
      </c>
      <c r="M470" s="144" t="str">
        <f>IF(Formulario!I478&lt;&gt;"",IF(Formulario!I478=" "," ",Formulario!I478)," ")</f>
        <v xml:space="preserve"> </v>
      </c>
      <c r="N470" s="145" t="str">
        <f>IF(Formulario!J478&lt;&gt;"",IF(Formulario!J478=" "," ",Formulario!J478),IF(G470=".",".","Falta Fecha"))</f>
        <v>.</v>
      </c>
      <c r="O470" s="155">
        <f>Formulario!L478</f>
        <v>0</v>
      </c>
      <c r="P470" s="146">
        <f>IF(O470=1,"09:00",Formulario!M478)</f>
        <v>0</v>
      </c>
      <c r="Q470" s="146">
        <f>IF(O470=1,"18:30",Formulario!N478)</f>
        <v>0</v>
      </c>
      <c r="R470" s="146" t="str">
        <f>IF(Formulario!O478&lt;&gt;"",IF(Formulario!O478=" ",".",Formulario!O478),".")</f>
        <v>Post Venta</v>
      </c>
      <c r="S470" s="141" t="s">
        <v>131</v>
      </c>
    </row>
    <row r="471" spans="1:19">
      <c r="A471" s="141">
        <f>Formulario!B479</f>
        <v>0</v>
      </c>
      <c r="B471" s="144" t="str">
        <f>IF(G471="."," ",Formulario!D$5)</f>
        <v xml:space="preserve"> </v>
      </c>
      <c r="C471" s="144" t="str">
        <f>IF(G471=".","",Formulario!D$6)</f>
        <v/>
      </c>
      <c r="D471" s="144" t="str">
        <f>IF(H471=".","",Formulario!D$7)</f>
        <v/>
      </c>
      <c r="E471" s="144" t="str">
        <f>IF(G471=".","",Formulario!J$5)</f>
        <v/>
      </c>
      <c r="F471" s="145" t="str">
        <f>IF(G471=".","",Formulario!J$6)</f>
        <v/>
      </c>
      <c r="G471" s="180" t="str">
        <f>IF(Formulario!C479&lt;&gt;"",IF(Formulario!C479=" ","Falta Depto",IF(H471=".","Error En Descripción",Formulario!C479)),IF(H471=".",".","Falta Datos"))</f>
        <v>.</v>
      </c>
      <c r="H471" s="144" t="str">
        <f>IF(Formulario!D479&lt;&gt;"",IF(Formulario!D479=" ",".",Formulario!D479),".")</f>
        <v>.</v>
      </c>
      <c r="I471" s="144" t="str">
        <f>IF(Formulario!E479&lt;&gt;"",IF(Formulario!E479=" "," ",Formulario!E479),IF(G471=".",".","Falta Propietario"))</f>
        <v>.</v>
      </c>
      <c r="J471" s="144" t="str">
        <f>IF(Formulario!F479&lt;&gt;"",IF(Formulario!F479=" "," ",Formulario!F479)," ")</f>
        <v xml:space="preserve"> </v>
      </c>
      <c r="K471" s="144" t="str">
        <f>IF(Formulario!G479&lt;&gt;"",IF(Formulario!G479=" "," ",Formulario!G479)," ")</f>
        <v xml:space="preserve"> </v>
      </c>
      <c r="L471" s="144" t="str">
        <f>IF(Formulario!H479&lt;&gt;"",IF(Formulario!H479=" "," ",Formulario!H479)," ")</f>
        <v xml:space="preserve"> </v>
      </c>
      <c r="M471" s="144" t="str">
        <f>IF(Formulario!I479&lt;&gt;"",IF(Formulario!I479=" "," ",Formulario!I479)," ")</f>
        <v xml:space="preserve"> </v>
      </c>
      <c r="N471" s="145" t="str">
        <f>IF(Formulario!J479&lt;&gt;"",IF(Formulario!J479=" "," ",Formulario!J479),IF(G471=".",".","Falta Fecha"))</f>
        <v>.</v>
      </c>
      <c r="O471" s="155">
        <f>Formulario!L479</f>
        <v>0</v>
      </c>
      <c r="P471" s="146">
        <f>IF(O471=1,"09:00",Formulario!M479)</f>
        <v>0</v>
      </c>
      <c r="Q471" s="146">
        <f>IF(O471=1,"18:30",Formulario!N479)</f>
        <v>0</v>
      </c>
      <c r="R471" s="146" t="str">
        <f>IF(Formulario!O479&lt;&gt;"",IF(Formulario!O479=" ",".",Formulario!O479),".")</f>
        <v>Post Venta</v>
      </c>
      <c r="S471" s="141" t="s">
        <v>131</v>
      </c>
    </row>
    <row r="472" spans="1:19">
      <c r="A472" s="141">
        <f>Formulario!B480</f>
        <v>0</v>
      </c>
      <c r="B472" s="144" t="str">
        <f>IF(G472="."," ",Formulario!D$5)</f>
        <v xml:space="preserve"> </v>
      </c>
      <c r="C472" s="144" t="str">
        <f>IF(G472=".","",Formulario!D$6)</f>
        <v/>
      </c>
      <c r="D472" s="144" t="str">
        <f>IF(H472=".","",Formulario!D$7)</f>
        <v/>
      </c>
      <c r="E472" s="144" t="str">
        <f>IF(G472=".","",Formulario!J$5)</f>
        <v/>
      </c>
      <c r="F472" s="145" t="str">
        <f>IF(G472=".","",Formulario!J$6)</f>
        <v/>
      </c>
      <c r="G472" s="180" t="str">
        <f>IF(Formulario!C480&lt;&gt;"",IF(Formulario!C480=" ","Falta Depto",IF(H472=".","Error En Descripción",Formulario!C480)),IF(H472=".",".","Falta Datos"))</f>
        <v>.</v>
      </c>
      <c r="H472" s="144" t="str">
        <f>IF(Formulario!D480&lt;&gt;"",IF(Formulario!D480=" ",".",Formulario!D480),".")</f>
        <v>.</v>
      </c>
      <c r="I472" s="144" t="str">
        <f>IF(Formulario!E480&lt;&gt;"",IF(Formulario!E480=" "," ",Formulario!E480),IF(G472=".",".","Falta Propietario"))</f>
        <v>.</v>
      </c>
      <c r="J472" s="144" t="str">
        <f>IF(Formulario!F480&lt;&gt;"",IF(Formulario!F480=" "," ",Formulario!F480)," ")</f>
        <v xml:space="preserve"> </v>
      </c>
      <c r="K472" s="144" t="str">
        <f>IF(Formulario!G480&lt;&gt;"",IF(Formulario!G480=" "," ",Formulario!G480)," ")</f>
        <v xml:space="preserve"> </v>
      </c>
      <c r="L472" s="144" t="str">
        <f>IF(Formulario!H480&lt;&gt;"",IF(Formulario!H480=" "," ",Formulario!H480)," ")</f>
        <v xml:space="preserve"> </v>
      </c>
      <c r="M472" s="144" t="str">
        <f>IF(Formulario!I480&lt;&gt;"",IF(Formulario!I480=" "," ",Formulario!I480)," ")</f>
        <v xml:space="preserve"> </v>
      </c>
      <c r="N472" s="145" t="str">
        <f>IF(Formulario!J480&lt;&gt;"",IF(Formulario!J480=" "," ",Formulario!J480),IF(G472=".",".","Falta Fecha"))</f>
        <v>.</v>
      </c>
      <c r="O472" s="155">
        <f>Formulario!L480</f>
        <v>0</v>
      </c>
      <c r="P472" s="146">
        <f>IF(O472=1,"09:00",Formulario!M480)</f>
        <v>0</v>
      </c>
      <c r="Q472" s="146">
        <f>IF(O472=1,"18:30",Formulario!N480)</f>
        <v>0</v>
      </c>
      <c r="R472" s="146" t="str">
        <f>IF(Formulario!O480&lt;&gt;"",IF(Formulario!O480=" ",".",Formulario!O480),".")</f>
        <v>Post Venta</v>
      </c>
      <c r="S472" s="141" t="s">
        <v>131</v>
      </c>
    </row>
    <row r="473" spans="1:19">
      <c r="A473" s="141">
        <f>Formulario!B481</f>
        <v>0</v>
      </c>
      <c r="B473" s="144" t="str">
        <f>IF(G473="."," ",Formulario!D$5)</f>
        <v xml:space="preserve"> </v>
      </c>
      <c r="C473" s="144" t="str">
        <f>IF(G473=".","",Formulario!D$6)</f>
        <v/>
      </c>
      <c r="D473" s="144" t="str">
        <f>IF(H473=".","",Formulario!D$7)</f>
        <v/>
      </c>
      <c r="E473" s="144" t="str">
        <f>IF(G473=".","",Formulario!J$5)</f>
        <v/>
      </c>
      <c r="F473" s="145" t="str">
        <f>IF(G473=".","",Formulario!J$6)</f>
        <v/>
      </c>
      <c r="G473" s="180" t="str">
        <f>IF(Formulario!C481&lt;&gt;"",IF(Formulario!C481=" ","Falta Depto",IF(H473=".","Error En Descripción",Formulario!C481)),IF(H473=".",".","Falta Datos"))</f>
        <v>.</v>
      </c>
      <c r="H473" s="144" t="str">
        <f>IF(Formulario!D481&lt;&gt;"",IF(Formulario!D481=" ",".",Formulario!D481),".")</f>
        <v>.</v>
      </c>
      <c r="I473" s="144" t="str">
        <f>IF(Formulario!E481&lt;&gt;"",IF(Formulario!E481=" "," ",Formulario!E481),IF(G473=".",".","Falta Propietario"))</f>
        <v>.</v>
      </c>
      <c r="J473" s="144" t="str">
        <f>IF(Formulario!F481&lt;&gt;"",IF(Formulario!F481=" "," ",Formulario!F481)," ")</f>
        <v xml:space="preserve"> </v>
      </c>
      <c r="K473" s="144" t="str">
        <f>IF(Formulario!G481&lt;&gt;"",IF(Formulario!G481=" "," ",Formulario!G481)," ")</f>
        <v xml:space="preserve"> </v>
      </c>
      <c r="L473" s="144" t="str">
        <f>IF(Formulario!H481&lt;&gt;"",IF(Formulario!H481=" "," ",Formulario!H481)," ")</f>
        <v xml:space="preserve"> </v>
      </c>
      <c r="M473" s="144" t="str">
        <f>IF(Formulario!I481&lt;&gt;"",IF(Formulario!I481=" "," ",Formulario!I481)," ")</f>
        <v xml:space="preserve"> </v>
      </c>
      <c r="N473" s="145" t="str">
        <f>IF(Formulario!J481&lt;&gt;"",IF(Formulario!J481=" "," ",Formulario!J481),IF(G473=".",".","Falta Fecha"))</f>
        <v>.</v>
      </c>
      <c r="O473" s="155">
        <f>Formulario!L481</f>
        <v>0</v>
      </c>
      <c r="P473" s="146">
        <f>IF(O473=1,"09:00",Formulario!M481)</f>
        <v>0</v>
      </c>
      <c r="Q473" s="146">
        <f>IF(O473=1,"18:30",Formulario!N481)</f>
        <v>0</v>
      </c>
      <c r="R473" s="146" t="str">
        <f>IF(Formulario!O481&lt;&gt;"",IF(Formulario!O481=" ",".",Formulario!O481),".")</f>
        <v>Post Venta</v>
      </c>
      <c r="S473" s="141" t="s">
        <v>131</v>
      </c>
    </row>
    <row r="474" spans="1:19">
      <c r="A474" s="141">
        <f>Formulario!B482</f>
        <v>0</v>
      </c>
      <c r="B474" s="144" t="str">
        <f>IF(G474="."," ",Formulario!D$5)</f>
        <v xml:space="preserve"> </v>
      </c>
      <c r="C474" s="144" t="str">
        <f>IF(G474=".","",Formulario!D$6)</f>
        <v/>
      </c>
      <c r="D474" s="144" t="str">
        <f>IF(H474=".","",Formulario!D$7)</f>
        <v/>
      </c>
      <c r="E474" s="144" t="str">
        <f>IF(G474=".","",Formulario!J$5)</f>
        <v/>
      </c>
      <c r="F474" s="145" t="str">
        <f>IF(G474=".","",Formulario!J$6)</f>
        <v/>
      </c>
      <c r="G474" s="180" t="str">
        <f>IF(Formulario!C482&lt;&gt;"",IF(Formulario!C482=" ","Falta Depto",IF(H474=".","Error En Descripción",Formulario!C482)),IF(H474=".",".","Falta Datos"))</f>
        <v>.</v>
      </c>
      <c r="H474" s="144" t="str">
        <f>IF(Formulario!D482&lt;&gt;"",IF(Formulario!D482=" ",".",Formulario!D482),".")</f>
        <v>.</v>
      </c>
      <c r="I474" s="144" t="str">
        <f>IF(Formulario!E482&lt;&gt;"",IF(Formulario!E482=" "," ",Formulario!E482),IF(G474=".",".","Falta Propietario"))</f>
        <v>.</v>
      </c>
      <c r="J474" s="144" t="str">
        <f>IF(Formulario!F482&lt;&gt;"",IF(Formulario!F482=" "," ",Formulario!F482)," ")</f>
        <v xml:space="preserve"> </v>
      </c>
      <c r="K474" s="144" t="str">
        <f>IF(Formulario!G482&lt;&gt;"",IF(Formulario!G482=" "," ",Formulario!G482)," ")</f>
        <v xml:space="preserve"> </v>
      </c>
      <c r="L474" s="144" t="str">
        <f>IF(Formulario!H482&lt;&gt;"",IF(Formulario!H482=" "," ",Formulario!H482)," ")</f>
        <v xml:space="preserve"> </v>
      </c>
      <c r="M474" s="144" t="str">
        <f>IF(Formulario!I482&lt;&gt;"",IF(Formulario!I482=" "," ",Formulario!I482)," ")</f>
        <v xml:space="preserve"> </v>
      </c>
      <c r="N474" s="145" t="str">
        <f>IF(Formulario!J482&lt;&gt;"",IF(Formulario!J482=" "," ",Formulario!J482),IF(G474=".",".","Falta Fecha"))</f>
        <v>.</v>
      </c>
      <c r="O474" s="155">
        <f>Formulario!L482</f>
        <v>0</v>
      </c>
      <c r="P474" s="146">
        <f>IF(O474=1,"09:00",Formulario!M482)</f>
        <v>0</v>
      </c>
      <c r="Q474" s="146">
        <f>IF(O474=1,"18:30",Formulario!N482)</f>
        <v>0</v>
      </c>
      <c r="R474" s="146" t="str">
        <f>IF(Formulario!O482&lt;&gt;"",IF(Formulario!O482=" ",".",Formulario!O482),".")</f>
        <v>Post Venta</v>
      </c>
      <c r="S474" s="141" t="s">
        <v>131</v>
      </c>
    </row>
    <row r="475" spans="1:19">
      <c r="A475" s="141">
        <f>Formulario!B483</f>
        <v>0</v>
      </c>
      <c r="B475" s="144" t="str">
        <f>IF(G475="."," ",Formulario!D$5)</f>
        <v xml:space="preserve"> </v>
      </c>
      <c r="C475" s="144" t="str">
        <f>IF(G475=".","",Formulario!D$6)</f>
        <v/>
      </c>
      <c r="D475" s="144" t="str">
        <f>IF(H475=".","",Formulario!D$7)</f>
        <v/>
      </c>
      <c r="E475" s="144" t="str">
        <f>IF(G475=".","",Formulario!J$5)</f>
        <v/>
      </c>
      <c r="F475" s="145" t="str">
        <f>IF(G475=".","",Formulario!J$6)</f>
        <v/>
      </c>
      <c r="G475" s="180" t="str">
        <f>IF(Formulario!C483&lt;&gt;"",IF(Formulario!C483=" ","Falta Depto",IF(H475=".","Error En Descripción",Formulario!C483)),IF(H475=".",".","Falta Datos"))</f>
        <v>.</v>
      </c>
      <c r="H475" s="144" t="str">
        <f>IF(Formulario!D483&lt;&gt;"",IF(Formulario!D483=" ",".",Formulario!D483),".")</f>
        <v>.</v>
      </c>
      <c r="I475" s="144" t="str">
        <f>IF(Formulario!E483&lt;&gt;"",IF(Formulario!E483=" "," ",Formulario!E483),IF(G475=".",".","Falta Propietario"))</f>
        <v>.</v>
      </c>
      <c r="J475" s="144" t="str">
        <f>IF(Formulario!F483&lt;&gt;"",IF(Formulario!F483=" "," ",Formulario!F483)," ")</f>
        <v xml:space="preserve"> </v>
      </c>
      <c r="K475" s="144" t="str">
        <f>IF(Formulario!G483&lt;&gt;"",IF(Formulario!G483=" "," ",Formulario!G483)," ")</f>
        <v xml:space="preserve"> </v>
      </c>
      <c r="L475" s="144" t="str">
        <f>IF(Formulario!H483&lt;&gt;"",IF(Formulario!H483=" "," ",Formulario!H483)," ")</f>
        <v xml:space="preserve"> </v>
      </c>
      <c r="M475" s="144" t="str">
        <f>IF(Formulario!I483&lt;&gt;"",IF(Formulario!I483=" "," ",Formulario!I483)," ")</f>
        <v xml:space="preserve"> </v>
      </c>
      <c r="N475" s="145" t="str">
        <f>IF(Formulario!J483&lt;&gt;"",IF(Formulario!J483=" "," ",Formulario!J483),IF(G475=".",".","Falta Fecha"))</f>
        <v>.</v>
      </c>
      <c r="O475" s="155">
        <f>Formulario!L483</f>
        <v>0</v>
      </c>
      <c r="P475" s="146">
        <f>IF(O475=1,"09:00",Formulario!M483)</f>
        <v>0</v>
      </c>
      <c r="Q475" s="146">
        <f>IF(O475=1,"18:30",Formulario!N483)</f>
        <v>0</v>
      </c>
      <c r="R475" s="146" t="str">
        <f>IF(Formulario!O483&lt;&gt;"",IF(Formulario!O483=" ",".",Formulario!O483),".")</f>
        <v>Post Venta</v>
      </c>
      <c r="S475" s="141" t="s">
        <v>131</v>
      </c>
    </row>
    <row r="476" spans="1:19">
      <c r="A476" s="141">
        <f>Formulario!B484</f>
        <v>0</v>
      </c>
      <c r="B476" s="144" t="str">
        <f>IF(G476="."," ",Formulario!D$5)</f>
        <v xml:space="preserve"> </v>
      </c>
      <c r="C476" s="144" t="str">
        <f>IF(G476=".","",Formulario!D$6)</f>
        <v/>
      </c>
      <c r="D476" s="144" t="str">
        <f>IF(H476=".","",Formulario!D$7)</f>
        <v/>
      </c>
      <c r="E476" s="144" t="str">
        <f>IF(G476=".","",Formulario!J$5)</f>
        <v/>
      </c>
      <c r="F476" s="145" t="str">
        <f>IF(G476=".","",Formulario!J$6)</f>
        <v/>
      </c>
      <c r="G476" s="180" t="str">
        <f>IF(Formulario!C484&lt;&gt;"",IF(Formulario!C484=" ","Falta Depto",IF(H476=".","Error En Descripción",Formulario!C484)),IF(H476=".",".","Falta Datos"))</f>
        <v>.</v>
      </c>
      <c r="H476" s="144" t="str">
        <f>IF(Formulario!D484&lt;&gt;"",IF(Formulario!D484=" ",".",Formulario!D484),".")</f>
        <v>.</v>
      </c>
      <c r="I476" s="144" t="str">
        <f>IF(Formulario!E484&lt;&gt;"",IF(Formulario!E484=" "," ",Formulario!E484),IF(G476=".",".","Falta Propietario"))</f>
        <v>.</v>
      </c>
      <c r="J476" s="144" t="str">
        <f>IF(Formulario!F484&lt;&gt;"",IF(Formulario!F484=" "," ",Formulario!F484)," ")</f>
        <v xml:space="preserve"> </v>
      </c>
      <c r="K476" s="144" t="str">
        <f>IF(Formulario!G484&lt;&gt;"",IF(Formulario!G484=" "," ",Formulario!G484)," ")</f>
        <v xml:space="preserve"> </v>
      </c>
      <c r="L476" s="144" t="str">
        <f>IF(Formulario!H484&lt;&gt;"",IF(Formulario!H484=" "," ",Formulario!H484)," ")</f>
        <v xml:space="preserve"> </v>
      </c>
      <c r="M476" s="144" t="str">
        <f>IF(Formulario!I484&lt;&gt;"",IF(Formulario!I484=" "," ",Formulario!I484)," ")</f>
        <v xml:space="preserve"> </v>
      </c>
      <c r="N476" s="145" t="str">
        <f>IF(Formulario!J484&lt;&gt;"",IF(Formulario!J484=" "," ",Formulario!J484),IF(G476=".",".","Falta Fecha"))</f>
        <v>.</v>
      </c>
      <c r="O476" s="155">
        <f>Formulario!L484</f>
        <v>0</v>
      </c>
      <c r="P476" s="146">
        <f>IF(O476=1,"09:00",Formulario!M484)</f>
        <v>0</v>
      </c>
      <c r="Q476" s="146">
        <f>IF(O476=1,"18:30",Formulario!N484)</f>
        <v>0</v>
      </c>
      <c r="R476" s="146" t="str">
        <f>IF(Formulario!O484&lt;&gt;"",IF(Formulario!O484=" ",".",Formulario!O484),".")</f>
        <v>Post Venta</v>
      </c>
      <c r="S476" s="141" t="s">
        <v>131</v>
      </c>
    </row>
    <row r="477" spans="1:19">
      <c r="A477" s="141">
        <f>Formulario!B485</f>
        <v>0</v>
      </c>
      <c r="B477" s="144" t="str">
        <f>IF(G477="."," ",Formulario!D$5)</f>
        <v xml:space="preserve"> </v>
      </c>
      <c r="C477" s="144" t="str">
        <f>IF(G477=".","",Formulario!D$6)</f>
        <v/>
      </c>
      <c r="D477" s="144" t="str">
        <f>IF(H477=".","",Formulario!D$7)</f>
        <v/>
      </c>
      <c r="E477" s="144" t="str">
        <f>IF(G477=".","",Formulario!J$5)</f>
        <v/>
      </c>
      <c r="F477" s="145" t="str">
        <f>IF(G477=".","",Formulario!J$6)</f>
        <v/>
      </c>
      <c r="G477" s="180" t="str">
        <f>IF(Formulario!C485&lt;&gt;"",IF(Formulario!C485=" ","Falta Depto",IF(H477=".","Error En Descripción",Formulario!C485)),IF(H477=".",".","Falta Datos"))</f>
        <v>.</v>
      </c>
      <c r="H477" s="144" t="str">
        <f>IF(Formulario!D485&lt;&gt;"",IF(Formulario!D485=" ",".",Formulario!D485),".")</f>
        <v>.</v>
      </c>
      <c r="I477" s="144" t="str">
        <f>IF(Formulario!E485&lt;&gt;"",IF(Formulario!E485=" "," ",Formulario!E485),IF(G477=".",".","Falta Propietario"))</f>
        <v>.</v>
      </c>
      <c r="J477" s="144" t="str">
        <f>IF(Formulario!F485&lt;&gt;"",IF(Formulario!F485=" "," ",Formulario!F485)," ")</f>
        <v xml:space="preserve"> </v>
      </c>
      <c r="K477" s="144" t="str">
        <f>IF(Formulario!G485&lt;&gt;"",IF(Formulario!G485=" "," ",Formulario!G485)," ")</f>
        <v xml:space="preserve"> </v>
      </c>
      <c r="L477" s="144" t="str">
        <f>IF(Formulario!H485&lt;&gt;"",IF(Formulario!H485=" "," ",Formulario!H485)," ")</f>
        <v xml:space="preserve"> </v>
      </c>
      <c r="M477" s="144" t="str">
        <f>IF(Formulario!I485&lt;&gt;"",IF(Formulario!I485=" "," ",Formulario!I485)," ")</f>
        <v xml:space="preserve"> </v>
      </c>
      <c r="N477" s="145" t="str">
        <f>IF(Formulario!J485&lt;&gt;"",IF(Formulario!J485=" "," ",Formulario!J485),IF(G477=".",".","Falta Fecha"))</f>
        <v>.</v>
      </c>
      <c r="O477" s="155">
        <f>Formulario!L485</f>
        <v>0</v>
      </c>
      <c r="P477" s="146">
        <f>IF(O477=1,"09:00",Formulario!M485)</f>
        <v>0</v>
      </c>
      <c r="Q477" s="146">
        <f>IF(O477=1,"18:30",Formulario!N485)</f>
        <v>0</v>
      </c>
      <c r="R477" s="146" t="str">
        <f>IF(Formulario!O485&lt;&gt;"",IF(Formulario!O485=" ",".",Formulario!O485),".")</f>
        <v>Post Venta</v>
      </c>
      <c r="S477" s="141" t="s">
        <v>131</v>
      </c>
    </row>
    <row r="478" spans="1:19">
      <c r="A478" s="141">
        <f>Formulario!B486</f>
        <v>0</v>
      </c>
      <c r="B478" s="144" t="str">
        <f>IF(G478="."," ",Formulario!D$5)</f>
        <v xml:space="preserve"> </v>
      </c>
      <c r="C478" s="144" t="str">
        <f>IF(G478=".","",Formulario!D$6)</f>
        <v/>
      </c>
      <c r="D478" s="144" t="str">
        <f>IF(H478=".","",Formulario!D$7)</f>
        <v/>
      </c>
      <c r="E478" s="144" t="str">
        <f>IF(G478=".","",Formulario!J$5)</f>
        <v/>
      </c>
      <c r="F478" s="145" t="str">
        <f>IF(G478=".","",Formulario!J$6)</f>
        <v/>
      </c>
      <c r="G478" s="180" t="str">
        <f>IF(Formulario!C486&lt;&gt;"",IF(Formulario!C486=" ","Falta Depto",IF(H478=".","Error En Descripción",Formulario!C486)),IF(H478=".",".","Falta Datos"))</f>
        <v>.</v>
      </c>
      <c r="H478" s="144" t="str">
        <f>IF(Formulario!D486&lt;&gt;"",IF(Formulario!D486=" ",".",Formulario!D486),".")</f>
        <v>.</v>
      </c>
      <c r="I478" s="144" t="str">
        <f>IF(Formulario!E486&lt;&gt;"",IF(Formulario!E486=" "," ",Formulario!E486),IF(G478=".",".","Falta Propietario"))</f>
        <v>.</v>
      </c>
      <c r="J478" s="144" t="str">
        <f>IF(Formulario!F486&lt;&gt;"",IF(Formulario!F486=" "," ",Formulario!F486)," ")</f>
        <v xml:space="preserve"> </v>
      </c>
      <c r="K478" s="144" t="str">
        <f>IF(Formulario!G486&lt;&gt;"",IF(Formulario!G486=" "," ",Formulario!G486)," ")</f>
        <v xml:space="preserve"> </v>
      </c>
      <c r="L478" s="144" t="str">
        <f>IF(Formulario!H486&lt;&gt;"",IF(Formulario!H486=" "," ",Formulario!H486)," ")</f>
        <v xml:space="preserve"> </v>
      </c>
      <c r="M478" s="144" t="str">
        <f>IF(Formulario!I486&lt;&gt;"",IF(Formulario!I486=" "," ",Formulario!I486)," ")</f>
        <v xml:space="preserve"> </v>
      </c>
      <c r="N478" s="145" t="str">
        <f>IF(Formulario!J486&lt;&gt;"",IF(Formulario!J486=" "," ",Formulario!J486),IF(G478=".",".","Falta Fecha"))</f>
        <v>.</v>
      </c>
      <c r="O478" s="155">
        <f>Formulario!L486</f>
        <v>0</v>
      </c>
      <c r="P478" s="146">
        <f>IF(O478=1,"09:00",Formulario!M486)</f>
        <v>0</v>
      </c>
      <c r="Q478" s="146">
        <f>IF(O478=1,"18:30",Formulario!N486)</f>
        <v>0</v>
      </c>
      <c r="R478" s="146" t="str">
        <f>IF(Formulario!O486&lt;&gt;"",IF(Formulario!O486=" ",".",Formulario!O486),".")</f>
        <v>Post Venta</v>
      </c>
      <c r="S478" s="141" t="s">
        <v>131</v>
      </c>
    </row>
    <row r="479" spans="1:19">
      <c r="A479" s="141">
        <f>Formulario!B487</f>
        <v>0</v>
      </c>
      <c r="B479" s="144" t="str">
        <f>IF(G479="."," ",Formulario!D$5)</f>
        <v xml:space="preserve"> </v>
      </c>
      <c r="C479" s="144" t="str">
        <f>IF(G479=".","",Formulario!D$6)</f>
        <v/>
      </c>
      <c r="D479" s="144" t="str">
        <f>IF(H479=".","",Formulario!D$7)</f>
        <v/>
      </c>
      <c r="E479" s="144" t="str">
        <f>IF(G479=".","",Formulario!J$5)</f>
        <v/>
      </c>
      <c r="F479" s="145" t="str">
        <f>IF(G479=".","",Formulario!J$6)</f>
        <v/>
      </c>
      <c r="G479" s="180" t="str">
        <f>IF(Formulario!C487&lt;&gt;"",IF(Formulario!C487=" ","Falta Depto",IF(H479=".","Error En Descripción",Formulario!C487)),IF(H479=".",".","Falta Datos"))</f>
        <v>.</v>
      </c>
      <c r="H479" s="144" t="str">
        <f>IF(Formulario!D487&lt;&gt;"",IF(Formulario!D487=" ",".",Formulario!D487),".")</f>
        <v>.</v>
      </c>
      <c r="I479" s="144" t="str">
        <f>IF(Formulario!E487&lt;&gt;"",IF(Formulario!E487=" "," ",Formulario!E487),IF(G479=".",".","Falta Propietario"))</f>
        <v>.</v>
      </c>
      <c r="J479" s="144" t="str">
        <f>IF(Formulario!F487&lt;&gt;"",IF(Formulario!F487=" "," ",Formulario!F487)," ")</f>
        <v xml:space="preserve"> </v>
      </c>
      <c r="K479" s="144" t="str">
        <f>IF(Formulario!G487&lt;&gt;"",IF(Formulario!G487=" "," ",Formulario!G487)," ")</f>
        <v xml:space="preserve"> </v>
      </c>
      <c r="L479" s="144" t="str">
        <f>IF(Formulario!H487&lt;&gt;"",IF(Formulario!H487=" "," ",Formulario!H487)," ")</f>
        <v xml:space="preserve"> </v>
      </c>
      <c r="M479" s="144" t="str">
        <f>IF(Formulario!I487&lt;&gt;"",IF(Formulario!I487=" "," ",Formulario!I487)," ")</f>
        <v xml:space="preserve"> </v>
      </c>
      <c r="N479" s="145" t="str">
        <f>IF(Formulario!J487&lt;&gt;"",IF(Formulario!J487=" "," ",Formulario!J487),IF(G479=".",".","Falta Fecha"))</f>
        <v>.</v>
      </c>
      <c r="O479" s="155">
        <f>Formulario!L487</f>
        <v>0</v>
      </c>
      <c r="P479" s="146">
        <f>IF(O479=1,"09:00",Formulario!M487)</f>
        <v>0</v>
      </c>
      <c r="Q479" s="146">
        <f>IF(O479=1,"18:30",Formulario!N487)</f>
        <v>0</v>
      </c>
      <c r="R479" s="146" t="str">
        <f>IF(Formulario!O487&lt;&gt;"",IF(Formulario!O487=" ",".",Formulario!O487),".")</f>
        <v>Post Venta</v>
      </c>
      <c r="S479" s="141" t="s">
        <v>131</v>
      </c>
    </row>
    <row r="480" spans="1:19">
      <c r="A480" s="141">
        <f>Formulario!B488</f>
        <v>0</v>
      </c>
      <c r="B480" s="144" t="str">
        <f>IF(G480="."," ",Formulario!D$5)</f>
        <v xml:space="preserve"> </v>
      </c>
      <c r="C480" s="144" t="str">
        <f>IF(G480=".","",Formulario!D$6)</f>
        <v/>
      </c>
      <c r="D480" s="144" t="str">
        <f>IF(H480=".","",Formulario!D$7)</f>
        <v/>
      </c>
      <c r="E480" s="144" t="str">
        <f>IF(G480=".","",Formulario!J$5)</f>
        <v/>
      </c>
      <c r="F480" s="145" t="str">
        <f>IF(G480=".","",Formulario!J$6)</f>
        <v/>
      </c>
      <c r="G480" s="180" t="str">
        <f>IF(Formulario!C488&lt;&gt;"",IF(Formulario!C488=" ","Falta Depto",IF(H480=".","Error En Descripción",Formulario!C488)),IF(H480=".",".","Falta Datos"))</f>
        <v>.</v>
      </c>
      <c r="H480" s="144" t="str">
        <f>IF(Formulario!D488&lt;&gt;"",IF(Formulario!D488=" ",".",Formulario!D488),".")</f>
        <v>.</v>
      </c>
      <c r="I480" s="144" t="str">
        <f>IF(Formulario!E488&lt;&gt;"",IF(Formulario!E488=" "," ",Formulario!E488),IF(G480=".",".","Falta Propietario"))</f>
        <v>.</v>
      </c>
      <c r="J480" s="144" t="str">
        <f>IF(Formulario!F488&lt;&gt;"",IF(Formulario!F488=" "," ",Formulario!F488)," ")</f>
        <v xml:space="preserve"> </v>
      </c>
      <c r="K480" s="144" t="str">
        <f>IF(Formulario!G488&lt;&gt;"",IF(Formulario!G488=" "," ",Formulario!G488)," ")</f>
        <v xml:space="preserve"> </v>
      </c>
      <c r="L480" s="144" t="str">
        <f>IF(Formulario!H488&lt;&gt;"",IF(Formulario!H488=" "," ",Formulario!H488)," ")</f>
        <v xml:space="preserve"> </v>
      </c>
      <c r="M480" s="144" t="str">
        <f>IF(Formulario!I488&lt;&gt;"",IF(Formulario!I488=" "," ",Formulario!I488)," ")</f>
        <v xml:space="preserve"> </v>
      </c>
      <c r="N480" s="145" t="str">
        <f>IF(Formulario!J488&lt;&gt;"",IF(Formulario!J488=" "," ",Formulario!J488),IF(G480=".",".","Falta Fecha"))</f>
        <v>.</v>
      </c>
      <c r="O480" s="155">
        <f>Formulario!L488</f>
        <v>0</v>
      </c>
      <c r="P480" s="146">
        <f>IF(O480=1,"09:00",Formulario!M488)</f>
        <v>0</v>
      </c>
      <c r="Q480" s="146">
        <f>IF(O480=1,"18:30",Formulario!N488)</f>
        <v>0</v>
      </c>
      <c r="R480" s="146" t="str">
        <f>IF(Formulario!O488&lt;&gt;"",IF(Formulario!O488=" ",".",Formulario!O488),".")</f>
        <v>Post Venta</v>
      </c>
      <c r="S480" s="141" t="s">
        <v>131</v>
      </c>
    </row>
    <row r="481" spans="1:19">
      <c r="A481" s="141">
        <f>Formulario!B489</f>
        <v>0</v>
      </c>
      <c r="B481" s="144" t="str">
        <f>IF(G481="."," ",Formulario!D$5)</f>
        <v xml:space="preserve"> </v>
      </c>
      <c r="C481" s="144" t="str">
        <f>IF(G481=".","",Formulario!D$6)</f>
        <v/>
      </c>
      <c r="D481" s="144" t="str">
        <f>IF(H481=".","",Formulario!D$7)</f>
        <v/>
      </c>
      <c r="E481" s="144" t="str">
        <f>IF(G481=".","",Formulario!J$5)</f>
        <v/>
      </c>
      <c r="F481" s="145" t="str">
        <f>IF(G481=".","",Formulario!J$6)</f>
        <v/>
      </c>
      <c r="G481" s="180" t="str">
        <f>IF(Formulario!C489&lt;&gt;"",IF(Formulario!C489=" ","Falta Depto",IF(H481=".","Error En Descripción",Formulario!C489)),IF(H481=".",".","Falta Datos"))</f>
        <v>.</v>
      </c>
      <c r="H481" s="144" t="str">
        <f>IF(Formulario!D489&lt;&gt;"",IF(Formulario!D489=" ",".",Formulario!D489),".")</f>
        <v>.</v>
      </c>
      <c r="I481" s="144" t="str">
        <f>IF(Formulario!E489&lt;&gt;"",IF(Formulario!E489=" "," ",Formulario!E489),IF(G481=".",".","Falta Propietario"))</f>
        <v>.</v>
      </c>
      <c r="J481" s="144" t="str">
        <f>IF(Formulario!F489&lt;&gt;"",IF(Formulario!F489=" "," ",Formulario!F489)," ")</f>
        <v xml:space="preserve"> </v>
      </c>
      <c r="K481" s="144" t="str">
        <f>IF(Formulario!G489&lt;&gt;"",IF(Formulario!G489=" "," ",Formulario!G489)," ")</f>
        <v xml:space="preserve"> </v>
      </c>
      <c r="L481" s="144" t="str">
        <f>IF(Formulario!H489&lt;&gt;"",IF(Formulario!H489=" "," ",Formulario!H489)," ")</f>
        <v xml:space="preserve"> </v>
      </c>
      <c r="M481" s="144" t="str">
        <f>IF(Formulario!I489&lt;&gt;"",IF(Formulario!I489=" "," ",Formulario!I489)," ")</f>
        <v xml:space="preserve"> </v>
      </c>
      <c r="N481" s="145" t="str">
        <f>IF(Formulario!J489&lt;&gt;"",IF(Formulario!J489=" "," ",Formulario!J489),IF(G481=".",".","Falta Fecha"))</f>
        <v>.</v>
      </c>
      <c r="O481" s="155">
        <f>Formulario!L489</f>
        <v>0</v>
      </c>
      <c r="P481" s="146">
        <f>IF(O481=1,"09:00",Formulario!M489)</f>
        <v>0</v>
      </c>
      <c r="Q481" s="146">
        <f>IF(O481=1,"18:30",Formulario!N489)</f>
        <v>0</v>
      </c>
      <c r="R481" s="146" t="str">
        <f>IF(Formulario!O489&lt;&gt;"",IF(Formulario!O489=" ",".",Formulario!O489),".")</f>
        <v>Post Venta</v>
      </c>
      <c r="S481" s="141" t="s">
        <v>131</v>
      </c>
    </row>
    <row r="482" spans="1:19">
      <c r="A482" s="141">
        <f>Formulario!B490</f>
        <v>0</v>
      </c>
      <c r="B482" s="144" t="str">
        <f>IF(G482="."," ",Formulario!D$5)</f>
        <v xml:space="preserve"> </v>
      </c>
      <c r="C482" s="144" t="str">
        <f>IF(G482=".","",Formulario!D$6)</f>
        <v/>
      </c>
      <c r="D482" s="144" t="str">
        <f>IF(H482=".","",Formulario!D$7)</f>
        <v/>
      </c>
      <c r="E482" s="144" t="str">
        <f>IF(G482=".","",Formulario!J$5)</f>
        <v/>
      </c>
      <c r="F482" s="145" t="str">
        <f>IF(G482=".","",Formulario!J$6)</f>
        <v/>
      </c>
      <c r="G482" s="180" t="str">
        <f>IF(Formulario!C490&lt;&gt;"",IF(Formulario!C490=" ","Falta Depto",IF(H482=".","Error En Descripción",Formulario!C490)),IF(H482=".",".","Falta Datos"))</f>
        <v>.</v>
      </c>
      <c r="H482" s="144" t="str">
        <f>IF(Formulario!D490&lt;&gt;"",IF(Formulario!D490=" ",".",Formulario!D490),".")</f>
        <v>.</v>
      </c>
      <c r="I482" s="144" t="str">
        <f>IF(Formulario!E490&lt;&gt;"",IF(Formulario!E490=" "," ",Formulario!E490),IF(G482=".",".","Falta Propietario"))</f>
        <v>.</v>
      </c>
      <c r="J482" s="144" t="str">
        <f>IF(Formulario!F490&lt;&gt;"",IF(Formulario!F490=" "," ",Formulario!F490)," ")</f>
        <v xml:space="preserve"> </v>
      </c>
      <c r="K482" s="144" t="str">
        <f>IF(Formulario!G490&lt;&gt;"",IF(Formulario!G490=" "," ",Formulario!G490)," ")</f>
        <v xml:space="preserve"> </v>
      </c>
      <c r="L482" s="144" t="str">
        <f>IF(Formulario!H490&lt;&gt;"",IF(Formulario!H490=" "," ",Formulario!H490)," ")</f>
        <v xml:space="preserve"> </v>
      </c>
      <c r="M482" s="144" t="str">
        <f>IF(Formulario!I490&lt;&gt;"",IF(Formulario!I490=" "," ",Formulario!I490)," ")</f>
        <v xml:space="preserve"> </v>
      </c>
      <c r="N482" s="145" t="str">
        <f>IF(Formulario!J490&lt;&gt;"",IF(Formulario!J490=" "," ",Formulario!J490),IF(G482=".",".","Falta Fecha"))</f>
        <v>.</v>
      </c>
      <c r="O482" s="155">
        <f>Formulario!L490</f>
        <v>0</v>
      </c>
      <c r="P482" s="146">
        <f>IF(O482=1,"09:00",Formulario!M490)</f>
        <v>0</v>
      </c>
      <c r="Q482" s="146">
        <f>IF(O482=1,"18:30",Formulario!N490)</f>
        <v>0</v>
      </c>
      <c r="R482" s="146" t="str">
        <f>IF(Formulario!O490&lt;&gt;"",IF(Formulario!O490=" ",".",Formulario!O490),".")</f>
        <v>Post Venta</v>
      </c>
      <c r="S482" s="141" t="s">
        <v>131</v>
      </c>
    </row>
    <row r="483" spans="1:19">
      <c r="A483" s="141">
        <f>Formulario!B491</f>
        <v>0</v>
      </c>
      <c r="B483" s="144" t="str">
        <f>IF(G483="."," ",Formulario!D$5)</f>
        <v xml:space="preserve"> </v>
      </c>
      <c r="C483" s="144" t="str">
        <f>IF(G483=".","",Formulario!D$6)</f>
        <v/>
      </c>
      <c r="D483" s="144" t="str">
        <f>IF(H483=".","",Formulario!D$7)</f>
        <v/>
      </c>
      <c r="E483" s="144" t="str">
        <f>IF(G483=".","",Formulario!J$5)</f>
        <v/>
      </c>
      <c r="F483" s="145" t="str">
        <f>IF(G483=".","",Formulario!J$6)</f>
        <v/>
      </c>
      <c r="G483" s="180" t="str">
        <f>IF(Formulario!C491&lt;&gt;"",IF(Formulario!C491=" ","Falta Depto",IF(H483=".","Error En Descripción",Formulario!C491)),IF(H483=".",".","Falta Datos"))</f>
        <v>.</v>
      </c>
      <c r="H483" s="144" t="str">
        <f>IF(Formulario!D491&lt;&gt;"",IF(Formulario!D491=" ",".",Formulario!D491),".")</f>
        <v>.</v>
      </c>
      <c r="I483" s="144" t="str">
        <f>IF(Formulario!E491&lt;&gt;"",IF(Formulario!E491=" "," ",Formulario!E491),IF(G483=".",".","Falta Propietario"))</f>
        <v>.</v>
      </c>
      <c r="J483" s="144" t="str">
        <f>IF(Formulario!F491&lt;&gt;"",IF(Formulario!F491=" "," ",Formulario!F491)," ")</f>
        <v xml:space="preserve"> </v>
      </c>
      <c r="K483" s="144" t="str">
        <f>IF(Formulario!G491&lt;&gt;"",IF(Formulario!G491=" "," ",Formulario!G491)," ")</f>
        <v xml:space="preserve"> </v>
      </c>
      <c r="L483" s="144" t="str">
        <f>IF(Formulario!H491&lt;&gt;"",IF(Formulario!H491=" "," ",Formulario!H491)," ")</f>
        <v xml:space="preserve"> </v>
      </c>
      <c r="M483" s="144" t="str">
        <f>IF(Formulario!I491&lt;&gt;"",IF(Formulario!I491=" "," ",Formulario!I491)," ")</f>
        <v xml:space="preserve"> </v>
      </c>
      <c r="N483" s="145" t="str">
        <f>IF(Formulario!J491&lt;&gt;"",IF(Formulario!J491=" "," ",Formulario!J491),IF(G483=".",".","Falta Fecha"))</f>
        <v>.</v>
      </c>
      <c r="O483" s="155">
        <f>Formulario!L491</f>
        <v>0</v>
      </c>
      <c r="P483" s="146">
        <f>IF(O483=1,"09:00",Formulario!M491)</f>
        <v>0</v>
      </c>
      <c r="Q483" s="146">
        <f>IF(O483=1,"18:30",Formulario!N491)</f>
        <v>0</v>
      </c>
      <c r="R483" s="146" t="str">
        <f>IF(Formulario!O491&lt;&gt;"",IF(Formulario!O491=" ",".",Formulario!O491),".")</f>
        <v>Post Venta</v>
      </c>
      <c r="S483" s="141" t="s">
        <v>131</v>
      </c>
    </row>
    <row r="484" spans="1:19">
      <c r="A484" s="141">
        <f>Formulario!B492</f>
        <v>0</v>
      </c>
      <c r="B484" s="144" t="str">
        <f>IF(G484="."," ",Formulario!D$5)</f>
        <v xml:space="preserve"> </v>
      </c>
      <c r="C484" s="144" t="str">
        <f>IF(G484=".","",Formulario!D$6)</f>
        <v/>
      </c>
      <c r="D484" s="144" t="str">
        <f>IF(H484=".","",Formulario!D$7)</f>
        <v/>
      </c>
      <c r="E484" s="144" t="str">
        <f>IF(G484=".","",Formulario!J$5)</f>
        <v/>
      </c>
      <c r="F484" s="145" t="str">
        <f>IF(G484=".","",Formulario!J$6)</f>
        <v/>
      </c>
      <c r="G484" s="180" t="str">
        <f>IF(Formulario!C492&lt;&gt;"",IF(Formulario!C492=" ","Falta Depto",IF(H484=".","Error En Descripción",Formulario!C492)),IF(H484=".",".","Falta Datos"))</f>
        <v>.</v>
      </c>
      <c r="H484" s="144" t="str">
        <f>IF(Formulario!D492&lt;&gt;"",IF(Formulario!D492=" ",".",Formulario!D492),".")</f>
        <v>.</v>
      </c>
      <c r="I484" s="144" t="str">
        <f>IF(Formulario!E492&lt;&gt;"",IF(Formulario!E492=" "," ",Formulario!E492),IF(G484=".",".","Falta Propietario"))</f>
        <v>.</v>
      </c>
      <c r="J484" s="144" t="str">
        <f>IF(Formulario!F492&lt;&gt;"",IF(Formulario!F492=" "," ",Formulario!F492)," ")</f>
        <v xml:space="preserve"> </v>
      </c>
      <c r="K484" s="144" t="str">
        <f>IF(Formulario!G492&lt;&gt;"",IF(Formulario!G492=" "," ",Formulario!G492)," ")</f>
        <v xml:space="preserve"> </v>
      </c>
      <c r="L484" s="144" t="str">
        <f>IF(Formulario!H492&lt;&gt;"",IF(Formulario!H492=" "," ",Formulario!H492)," ")</f>
        <v xml:space="preserve"> </v>
      </c>
      <c r="M484" s="144" t="str">
        <f>IF(Formulario!I492&lt;&gt;"",IF(Formulario!I492=" "," ",Formulario!I492)," ")</f>
        <v xml:space="preserve"> </v>
      </c>
      <c r="N484" s="145" t="str">
        <f>IF(Formulario!J492&lt;&gt;"",IF(Formulario!J492=" "," ",Formulario!J492),IF(G484=".",".","Falta Fecha"))</f>
        <v>.</v>
      </c>
      <c r="O484" s="155">
        <f>Formulario!L492</f>
        <v>0</v>
      </c>
      <c r="P484" s="146">
        <f>IF(O484=1,"09:00",Formulario!M492)</f>
        <v>0</v>
      </c>
      <c r="Q484" s="146">
        <f>IF(O484=1,"18:30",Formulario!N492)</f>
        <v>0</v>
      </c>
      <c r="R484" s="146" t="str">
        <f>IF(Formulario!O492&lt;&gt;"",IF(Formulario!O492=" ",".",Formulario!O492),".")</f>
        <v>Post Venta</v>
      </c>
      <c r="S484" s="141" t="s">
        <v>131</v>
      </c>
    </row>
    <row r="485" spans="1:19">
      <c r="A485" s="141">
        <f>Formulario!B493</f>
        <v>0</v>
      </c>
      <c r="B485" s="144" t="str">
        <f>IF(G485="."," ",Formulario!D$5)</f>
        <v xml:space="preserve"> </v>
      </c>
      <c r="C485" s="144" t="str">
        <f>IF(G485=".","",Formulario!D$6)</f>
        <v/>
      </c>
      <c r="D485" s="144" t="str">
        <f>IF(H485=".","",Formulario!D$7)</f>
        <v/>
      </c>
      <c r="E485" s="144" t="str">
        <f>IF(G485=".","",Formulario!J$5)</f>
        <v/>
      </c>
      <c r="F485" s="145" t="str">
        <f>IF(G485=".","",Formulario!J$6)</f>
        <v/>
      </c>
      <c r="G485" s="180" t="str">
        <f>IF(Formulario!C493&lt;&gt;"",IF(Formulario!C493=" ","Falta Depto",IF(H485=".","Error En Descripción",Formulario!C493)),IF(H485=".",".","Falta Datos"))</f>
        <v>.</v>
      </c>
      <c r="H485" s="144" t="str">
        <f>IF(Formulario!D493&lt;&gt;"",IF(Formulario!D493=" ",".",Formulario!D493),".")</f>
        <v>.</v>
      </c>
      <c r="I485" s="144" t="str">
        <f>IF(Formulario!E493&lt;&gt;"",IF(Formulario!E493=" "," ",Formulario!E493),IF(G485=".",".","Falta Propietario"))</f>
        <v>.</v>
      </c>
      <c r="J485" s="144" t="str">
        <f>IF(Formulario!F493&lt;&gt;"",IF(Formulario!F493=" "," ",Formulario!F493)," ")</f>
        <v xml:space="preserve"> </v>
      </c>
      <c r="K485" s="144" t="str">
        <f>IF(Formulario!G493&lt;&gt;"",IF(Formulario!G493=" "," ",Formulario!G493)," ")</f>
        <v xml:space="preserve"> </v>
      </c>
      <c r="L485" s="144" t="str">
        <f>IF(Formulario!H493&lt;&gt;"",IF(Formulario!H493=" "," ",Formulario!H493)," ")</f>
        <v xml:space="preserve"> </v>
      </c>
      <c r="M485" s="144" t="str">
        <f>IF(Formulario!I493&lt;&gt;"",IF(Formulario!I493=" "," ",Formulario!I493)," ")</f>
        <v xml:space="preserve"> </v>
      </c>
      <c r="N485" s="145" t="str">
        <f>IF(Formulario!J493&lt;&gt;"",IF(Formulario!J493=" "," ",Formulario!J493),IF(G485=".",".","Falta Fecha"))</f>
        <v>.</v>
      </c>
      <c r="O485" s="155">
        <f>Formulario!L493</f>
        <v>0</v>
      </c>
      <c r="P485" s="146">
        <f>IF(O485=1,"09:00",Formulario!M493)</f>
        <v>0</v>
      </c>
      <c r="Q485" s="146">
        <f>IF(O485=1,"18:30",Formulario!N493)</f>
        <v>0</v>
      </c>
      <c r="R485" s="146" t="str">
        <f>IF(Formulario!O493&lt;&gt;"",IF(Formulario!O493=" ",".",Formulario!O493),".")</f>
        <v>Post Venta</v>
      </c>
      <c r="S485" s="141" t="s">
        <v>131</v>
      </c>
    </row>
    <row r="486" spans="1:19">
      <c r="A486" s="141">
        <f>Formulario!B494</f>
        <v>0</v>
      </c>
      <c r="B486" s="144" t="str">
        <f>IF(G486="."," ",Formulario!D$5)</f>
        <v xml:space="preserve"> </v>
      </c>
      <c r="C486" s="144" t="str">
        <f>IF(G486=".","",Formulario!D$6)</f>
        <v/>
      </c>
      <c r="D486" s="144" t="str">
        <f>IF(H486=".","",Formulario!D$7)</f>
        <v/>
      </c>
      <c r="E486" s="144" t="str">
        <f>IF(G486=".","",Formulario!J$5)</f>
        <v/>
      </c>
      <c r="F486" s="145" t="str">
        <f>IF(G486=".","",Formulario!J$6)</f>
        <v/>
      </c>
      <c r="G486" s="180" t="str">
        <f>IF(Formulario!C494&lt;&gt;"",IF(Formulario!C494=" ","Falta Depto",IF(H486=".","Error En Descripción",Formulario!C494)),IF(H486=".",".","Falta Datos"))</f>
        <v>.</v>
      </c>
      <c r="H486" s="144" t="str">
        <f>IF(Formulario!D494&lt;&gt;"",IF(Formulario!D494=" ",".",Formulario!D494),".")</f>
        <v>.</v>
      </c>
      <c r="I486" s="144" t="str">
        <f>IF(Formulario!E494&lt;&gt;"",IF(Formulario!E494=" "," ",Formulario!E494),IF(G486=".",".","Falta Propietario"))</f>
        <v>.</v>
      </c>
      <c r="J486" s="144" t="str">
        <f>IF(Formulario!F494&lt;&gt;"",IF(Formulario!F494=" "," ",Formulario!F494)," ")</f>
        <v xml:space="preserve"> </v>
      </c>
      <c r="K486" s="144" t="str">
        <f>IF(Formulario!G494&lt;&gt;"",IF(Formulario!G494=" "," ",Formulario!G494)," ")</f>
        <v xml:space="preserve"> </v>
      </c>
      <c r="L486" s="144" t="str">
        <f>IF(Formulario!H494&lt;&gt;"",IF(Formulario!H494=" "," ",Formulario!H494)," ")</f>
        <v xml:space="preserve"> </v>
      </c>
      <c r="M486" s="144" t="str">
        <f>IF(Formulario!I494&lt;&gt;"",IF(Formulario!I494=" "," ",Formulario!I494)," ")</f>
        <v xml:space="preserve"> </v>
      </c>
      <c r="N486" s="145" t="str">
        <f>IF(Formulario!J494&lt;&gt;"",IF(Formulario!J494=" "," ",Formulario!J494),IF(G486=".",".","Falta Fecha"))</f>
        <v>.</v>
      </c>
      <c r="O486" s="155">
        <f>Formulario!L494</f>
        <v>0</v>
      </c>
      <c r="P486" s="146">
        <f>IF(O486=1,"09:00",Formulario!M494)</f>
        <v>0</v>
      </c>
      <c r="Q486" s="146">
        <f>IF(O486=1,"18:30",Formulario!N494)</f>
        <v>0</v>
      </c>
      <c r="R486" s="146" t="str">
        <f>IF(Formulario!O494&lt;&gt;"",IF(Formulario!O494=" ",".",Formulario!O494),".")</f>
        <v>Post Venta</v>
      </c>
      <c r="S486" s="141" t="s">
        <v>131</v>
      </c>
    </row>
    <row r="487" spans="1:19">
      <c r="A487" s="141">
        <f>Formulario!B495</f>
        <v>0</v>
      </c>
      <c r="B487" s="144" t="str">
        <f>IF(G487="."," ",Formulario!D$5)</f>
        <v xml:space="preserve"> </v>
      </c>
      <c r="C487" s="144" t="str">
        <f>IF(G487=".","",Formulario!D$6)</f>
        <v/>
      </c>
      <c r="D487" s="144" t="str">
        <f>IF(H487=".","",Formulario!D$7)</f>
        <v/>
      </c>
      <c r="E487" s="144" t="str">
        <f>IF(G487=".","",Formulario!J$5)</f>
        <v/>
      </c>
      <c r="F487" s="145" t="str">
        <f>IF(G487=".","",Formulario!J$6)</f>
        <v/>
      </c>
      <c r="G487" s="180" t="str">
        <f>IF(Formulario!C495&lt;&gt;"",IF(Formulario!C495=" ","Falta Depto",IF(H487=".","Error En Descripción",Formulario!C495)),IF(H487=".",".","Falta Datos"))</f>
        <v>.</v>
      </c>
      <c r="H487" s="144" t="str">
        <f>IF(Formulario!D495&lt;&gt;"",IF(Formulario!D495=" ",".",Formulario!D495),".")</f>
        <v>.</v>
      </c>
      <c r="I487" s="144" t="str">
        <f>IF(Formulario!E495&lt;&gt;"",IF(Formulario!E495=" "," ",Formulario!E495),IF(G487=".",".","Falta Propietario"))</f>
        <v>.</v>
      </c>
      <c r="J487" s="144" t="str">
        <f>IF(Formulario!F495&lt;&gt;"",IF(Formulario!F495=" "," ",Formulario!F495)," ")</f>
        <v xml:space="preserve"> </v>
      </c>
      <c r="K487" s="144" t="str">
        <f>IF(Formulario!G495&lt;&gt;"",IF(Formulario!G495=" "," ",Formulario!G495)," ")</f>
        <v xml:space="preserve"> </v>
      </c>
      <c r="L487" s="144" t="str">
        <f>IF(Formulario!H495&lt;&gt;"",IF(Formulario!H495=" "," ",Formulario!H495)," ")</f>
        <v xml:space="preserve"> </v>
      </c>
      <c r="M487" s="144" t="str">
        <f>IF(Formulario!I495&lt;&gt;"",IF(Formulario!I495=" "," ",Formulario!I495)," ")</f>
        <v xml:space="preserve"> </v>
      </c>
      <c r="N487" s="145" t="str">
        <f>IF(Formulario!J495&lt;&gt;"",IF(Formulario!J495=" "," ",Formulario!J495),IF(G487=".",".","Falta Fecha"))</f>
        <v>.</v>
      </c>
      <c r="O487" s="155">
        <f>Formulario!L495</f>
        <v>0</v>
      </c>
      <c r="P487" s="146">
        <f>IF(O487=1,"09:00",Formulario!M495)</f>
        <v>0</v>
      </c>
      <c r="Q487" s="146">
        <f>IF(O487=1,"18:30",Formulario!N495)</f>
        <v>0</v>
      </c>
      <c r="R487" s="146" t="str">
        <f>IF(Formulario!O495&lt;&gt;"",IF(Formulario!O495=" ",".",Formulario!O495),".")</f>
        <v>Post Venta</v>
      </c>
      <c r="S487" s="141" t="s">
        <v>131</v>
      </c>
    </row>
    <row r="488" spans="1:19">
      <c r="A488" s="141">
        <f>Formulario!B496</f>
        <v>0</v>
      </c>
      <c r="B488" s="144" t="str">
        <f>IF(G488="."," ",Formulario!D$5)</f>
        <v xml:space="preserve"> </v>
      </c>
      <c r="C488" s="144" t="str">
        <f>IF(G488=".","",Formulario!D$6)</f>
        <v/>
      </c>
      <c r="D488" s="144" t="str">
        <f>IF(H488=".","",Formulario!D$7)</f>
        <v/>
      </c>
      <c r="E488" s="144" t="str">
        <f>IF(G488=".","",Formulario!J$5)</f>
        <v/>
      </c>
      <c r="F488" s="145" t="str">
        <f>IF(G488=".","",Formulario!J$6)</f>
        <v/>
      </c>
      <c r="G488" s="180" t="str">
        <f>IF(Formulario!C496&lt;&gt;"",IF(Formulario!C496=" ","Falta Depto",IF(H488=".","Error En Descripción",Formulario!C496)),IF(H488=".",".","Falta Datos"))</f>
        <v>.</v>
      </c>
      <c r="H488" s="144" t="str">
        <f>IF(Formulario!D496&lt;&gt;"",IF(Formulario!D496=" ",".",Formulario!D496),".")</f>
        <v>.</v>
      </c>
      <c r="I488" s="144" t="str">
        <f>IF(Formulario!E496&lt;&gt;"",IF(Formulario!E496=" "," ",Formulario!E496),IF(G488=".",".","Falta Propietario"))</f>
        <v>.</v>
      </c>
      <c r="J488" s="144" t="str">
        <f>IF(Formulario!F496&lt;&gt;"",IF(Formulario!F496=" "," ",Formulario!F496)," ")</f>
        <v xml:space="preserve"> </v>
      </c>
      <c r="K488" s="144" t="str">
        <f>IF(Formulario!G496&lt;&gt;"",IF(Formulario!G496=" "," ",Formulario!G496)," ")</f>
        <v xml:space="preserve"> </v>
      </c>
      <c r="L488" s="144" t="str">
        <f>IF(Formulario!H496&lt;&gt;"",IF(Formulario!H496=" "," ",Formulario!H496)," ")</f>
        <v xml:space="preserve"> </v>
      </c>
      <c r="M488" s="144" t="str">
        <f>IF(Formulario!I496&lt;&gt;"",IF(Formulario!I496=" "," ",Formulario!I496)," ")</f>
        <v xml:space="preserve"> </v>
      </c>
      <c r="N488" s="145" t="str">
        <f>IF(Formulario!J496&lt;&gt;"",IF(Formulario!J496=" "," ",Formulario!J496),IF(G488=".",".","Falta Fecha"))</f>
        <v>.</v>
      </c>
      <c r="O488" s="155">
        <f>Formulario!L496</f>
        <v>0</v>
      </c>
      <c r="P488" s="146">
        <f>IF(O488=1,"09:00",Formulario!M496)</f>
        <v>0</v>
      </c>
      <c r="Q488" s="146">
        <f>IF(O488=1,"18:30",Formulario!N496)</f>
        <v>0</v>
      </c>
      <c r="R488" s="146" t="str">
        <f>IF(Formulario!O496&lt;&gt;"",IF(Formulario!O496=" ",".",Formulario!O496),".")</f>
        <v>Post Venta</v>
      </c>
      <c r="S488" s="141" t="s">
        <v>131</v>
      </c>
    </row>
    <row r="489" spans="1:19">
      <c r="A489" s="141">
        <f>Formulario!B497</f>
        <v>0</v>
      </c>
      <c r="B489" s="144" t="str">
        <f>IF(G489="."," ",Formulario!D$5)</f>
        <v xml:space="preserve"> </v>
      </c>
      <c r="C489" s="144" t="str">
        <f>IF(G489=".","",Formulario!D$6)</f>
        <v/>
      </c>
      <c r="D489" s="144" t="str">
        <f>IF(H489=".","",Formulario!D$7)</f>
        <v/>
      </c>
      <c r="E489" s="144" t="str">
        <f>IF(G489=".","",Formulario!J$5)</f>
        <v/>
      </c>
      <c r="F489" s="145" t="str">
        <f>IF(G489=".","",Formulario!J$6)</f>
        <v/>
      </c>
      <c r="G489" s="180" t="str">
        <f>IF(Formulario!C497&lt;&gt;"",IF(Formulario!C497=" ","Falta Depto",IF(H489=".","Error En Descripción",Formulario!C497)),IF(H489=".",".","Falta Datos"))</f>
        <v>.</v>
      </c>
      <c r="H489" s="144" t="str">
        <f>IF(Formulario!D497&lt;&gt;"",IF(Formulario!D497=" ",".",Formulario!D497),".")</f>
        <v>.</v>
      </c>
      <c r="I489" s="144" t="str">
        <f>IF(Formulario!E497&lt;&gt;"",IF(Formulario!E497=" "," ",Formulario!E497),IF(G489=".",".","Falta Propietario"))</f>
        <v>.</v>
      </c>
      <c r="J489" s="144" t="str">
        <f>IF(Formulario!F497&lt;&gt;"",IF(Formulario!F497=" "," ",Formulario!F497)," ")</f>
        <v xml:space="preserve"> </v>
      </c>
      <c r="K489" s="144" t="str">
        <f>IF(Formulario!G497&lt;&gt;"",IF(Formulario!G497=" "," ",Formulario!G497)," ")</f>
        <v xml:space="preserve"> </v>
      </c>
      <c r="L489" s="144" t="str">
        <f>IF(Formulario!H497&lt;&gt;"",IF(Formulario!H497=" "," ",Formulario!H497)," ")</f>
        <v xml:space="preserve"> </v>
      </c>
      <c r="M489" s="144" t="str">
        <f>IF(Formulario!I497&lt;&gt;"",IF(Formulario!I497=" "," ",Formulario!I497)," ")</f>
        <v xml:space="preserve"> </v>
      </c>
      <c r="N489" s="145" t="str">
        <f>IF(Formulario!J497&lt;&gt;"",IF(Formulario!J497=" "," ",Formulario!J497),IF(G489=".",".","Falta Fecha"))</f>
        <v>.</v>
      </c>
      <c r="O489" s="155">
        <f>Formulario!L497</f>
        <v>0</v>
      </c>
      <c r="P489" s="146">
        <f>IF(O489=1,"09:00",Formulario!M497)</f>
        <v>0</v>
      </c>
      <c r="Q489" s="146">
        <f>IF(O489=1,"18:30",Formulario!N497)</f>
        <v>0</v>
      </c>
      <c r="R489" s="146" t="str">
        <f>IF(Formulario!O497&lt;&gt;"",IF(Formulario!O497=" ",".",Formulario!O497),".")</f>
        <v>Post Venta</v>
      </c>
      <c r="S489" s="141" t="s">
        <v>131</v>
      </c>
    </row>
    <row r="490" spans="1:19">
      <c r="A490" s="141">
        <f>Formulario!B498</f>
        <v>0</v>
      </c>
      <c r="B490" s="144" t="str">
        <f>IF(G490="."," ",Formulario!D$5)</f>
        <v xml:space="preserve"> </v>
      </c>
      <c r="C490" s="144" t="str">
        <f>IF(G490=".","",Formulario!D$6)</f>
        <v/>
      </c>
      <c r="D490" s="144" t="str">
        <f>IF(H490=".","",Formulario!D$7)</f>
        <v/>
      </c>
      <c r="E490" s="144" t="str">
        <f>IF(G490=".","",Formulario!J$5)</f>
        <v/>
      </c>
      <c r="F490" s="145" t="str">
        <f>IF(G490=".","",Formulario!J$6)</f>
        <v/>
      </c>
      <c r="G490" s="180" t="str">
        <f>IF(Formulario!C498&lt;&gt;"",IF(Formulario!C498=" ","Falta Depto",IF(H490=".","Error En Descripción",Formulario!C498)),IF(H490=".",".","Falta Datos"))</f>
        <v>.</v>
      </c>
      <c r="H490" s="144" t="str">
        <f>IF(Formulario!D498&lt;&gt;"",IF(Formulario!D498=" ",".",Formulario!D498),".")</f>
        <v>.</v>
      </c>
      <c r="I490" s="144" t="str">
        <f>IF(Formulario!E498&lt;&gt;"",IF(Formulario!E498=" "," ",Formulario!E498),IF(G490=".",".","Falta Propietario"))</f>
        <v>.</v>
      </c>
      <c r="J490" s="144" t="str">
        <f>IF(Formulario!F498&lt;&gt;"",IF(Formulario!F498=" "," ",Formulario!F498)," ")</f>
        <v xml:space="preserve"> </v>
      </c>
      <c r="K490" s="144" t="str">
        <f>IF(Formulario!G498&lt;&gt;"",IF(Formulario!G498=" "," ",Formulario!G498)," ")</f>
        <v xml:space="preserve"> </v>
      </c>
      <c r="L490" s="144" t="str">
        <f>IF(Formulario!H498&lt;&gt;"",IF(Formulario!H498=" "," ",Formulario!H498)," ")</f>
        <v xml:space="preserve"> </v>
      </c>
      <c r="M490" s="144" t="str">
        <f>IF(Formulario!I498&lt;&gt;"",IF(Formulario!I498=" "," ",Formulario!I498)," ")</f>
        <v xml:space="preserve"> </v>
      </c>
      <c r="N490" s="145" t="str">
        <f>IF(Formulario!J498&lt;&gt;"",IF(Formulario!J498=" "," ",Formulario!J498),IF(G490=".",".","Falta Fecha"))</f>
        <v>.</v>
      </c>
      <c r="O490" s="155">
        <f>Formulario!L498</f>
        <v>0</v>
      </c>
      <c r="P490" s="146">
        <f>IF(O490=1,"09:00",Formulario!M498)</f>
        <v>0</v>
      </c>
      <c r="Q490" s="146">
        <f>IF(O490=1,"18:30",Formulario!N498)</f>
        <v>0</v>
      </c>
      <c r="R490" s="146" t="str">
        <f>IF(Formulario!O498&lt;&gt;"",IF(Formulario!O498=" ",".",Formulario!O498),".")</f>
        <v>Post Venta</v>
      </c>
      <c r="S490" s="141" t="s">
        <v>131</v>
      </c>
    </row>
    <row r="491" spans="1:19">
      <c r="A491" s="141">
        <f>Formulario!B499</f>
        <v>0</v>
      </c>
      <c r="B491" s="144" t="str">
        <f>IF(G491="."," ",Formulario!D$5)</f>
        <v xml:space="preserve"> </v>
      </c>
      <c r="C491" s="144" t="str">
        <f>IF(G491=".","",Formulario!D$6)</f>
        <v/>
      </c>
      <c r="D491" s="144" t="str">
        <f>IF(H491=".","",Formulario!D$7)</f>
        <v/>
      </c>
      <c r="E491" s="144" t="str">
        <f>IF(G491=".","",Formulario!J$5)</f>
        <v/>
      </c>
      <c r="F491" s="145" t="str">
        <f>IF(G491=".","",Formulario!J$6)</f>
        <v/>
      </c>
      <c r="G491" s="180" t="str">
        <f>IF(Formulario!C499&lt;&gt;"",IF(Formulario!C499=" ","Falta Depto",IF(H491=".","Error En Descripción",Formulario!C499)),IF(H491=".",".","Falta Datos"))</f>
        <v>.</v>
      </c>
      <c r="H491" s="144" t="str">
        <f>IF(Formulario!D499&lt;&gt;"",IF(Formulario!D499=" ",".",Formulario!D499),".")</f>
        <v>.</v>
      </c>
      <c r="I491" s="144" t="str">
        <f>IF(Formulario!E499&lt;&gt;"",IF(Formulario!E499=" "," ",Formulario!E499),IF(G491=".",".","Falta Propietario"))</f>
        <v>.</v>
      </c>
      <c r="J491" s="144" t="str">
        <f>IF(Formulario!F499&lt;&gt;"",IF(Formulario!F499=" "," ",Formulario!F499)," ")</f>
        <v xml:space="preserve"> </v>
      </c>
      <c r="K491" s="144" t="str">
        <f>IF(Formulario!G499&lt;&gt;"",IF(Formulario!G499=" "," ",Formulario!G499)," ")</f>
        <v xml:space="preserve"> </v>
      </c>
      <c r="L491" s="144" t="str">
        <f>IF(Formulario!H499&lt;&gt;"",IF(Formulario!H499=" "," ",Formulario!H499)," ")</f>
        <v xml:space="preserve"> </v>
      </c>
      <c r="M491" s="144" t="str">
        <f>IF(Formulario!I499&lt;&gt;"",IF(Formulario!I499=" "," ",Formulario!I499)," ")</f>
        <v xml:space="preserve"> </v>
      </c>
      <c r="N491" s="145" t="str">
        <f>IF(Formulario!J499&lt;&gt;"",IF(Formulario!J499=" "," ",Formulario!J499),IF(G491=".",".","Falta Fecha"))</f>
        <v>.</v>
      </c>
      <c r="O491" s="155">
        <f>Formulario!L499</f>
        <v>0</v>
      </c>
      <c r="P491" s="146">
        <f>IF(O491=1,"09:00",Formulario!M499)</f>
        <v>0</v>
      </c>
      <c r="Q491" s="146">
        <f>IF(O491=1,"18:30",Formulario!N499)</f>
        <v>0</v>
      </c>
      <c r="R491" s="146" t="str">
        <f>IF(Formulario!O499&lt;&gt;"",IF(Formulario!O499=" ",".",Formulario!O499),".")</f>
        <v>Post Venta</v>
      </c>
      <c r="S491" s="141" t="s">
        <v>131</v>
      </c>
    </row>
    <row r="492" spans="1:19">
      <c r="A492" s="141">
        <f>Formulario!B500</f>
        <v>0</v>
      </c>
      <c r="B492" s="144" t="str">
        <f>IF(G492="."," ",Formulario!D$5)</f>
        <v xml:space="preserve"> </v>
      </c>
      <c r="C492" s="144" t="str">
        <f>IF(G492=".","",Formulario!D$6)</f>
        <v/>
      </c>
      <c r="D492" s="144" t="str">
        <f>IF(H492=".","",Formulario!D$7)</f>
        <v/>
      </c>
      <c r="E492" s="144" t="str">
        <f>IF(G492=".","",Formulario!J$5)</f>
        <v/>
      </c>
      <c r="F492" s="145" t="str">
        <f>IF(G492=".","",Formulario!J$6)</f>
        <v/>
      </c>
      <c r="G492" s="180" t="str">
        <f>IF(Formulario!C500&lt;&gt;"",IF(Formulario!C500=" ","Falta Depto",IF(H492=".","Error En Descripción",Formulario!C500)),IF(H492=".",".","Falta Datos"))</f>
        <v>.</v>
      </c>
      <c r="H492" s="144" t="str">
        <f>IF(Formulario!D500&lt;&gt;"",IF(Formulario!D500=" ",".",Formulario!D500),".")</f>
        <v>.</v>
      </c>
      <c r="I492" s="144" t="str">
        <f>IF(Formulario!E500&lt;&gt;"",IF(Formulario!E500=" "," ",Formulario!E500),IF(G492=".",".","Falta Propietario"))</f>
        <v>.</v>
      </c>
      <c r="J492" s="144" t="str">
        <f>IF(Formulario!F500&lt;&gt;"",IF(Formulario!F500=" "," ",Formulario!F500)," ")</f>
        <v xml:space="preserve"> </v>
      </c>
      <c r="K492" s="144" t="str">
        <f>IF(Formulario!G500&lt;&gt;"",IF(Formulario!G500=" "," ",Formulario!G500)," ")</f>
        <v xml:space="preserve"> </v>
      </c>
      <c r="L492" s="144" t="str">
        <f>IF(Formulario!H500&lt;&gt;"",IF(Formulario!H500=" "," ",Formulario!H500)," ")</f>
        <v xml:space="preserve"> </v>
      </c>
      <c r="M492" s="144" t="str">
        <f>IF(Formulario!I500&lt;&gt;"",IF(Formulario!I500=" "," ",Formulario!I500)," ")</f>
        <v xml:space="preserve"> </v>
      </c>
      <c r="N492" s="145" t="str">
        <f>IF(Formulario!J500&lt;&gt;"",IF(Formulario!J500=" "," ",Formulario!J500),IF(G492=".",".","Falta Fecha"))</f>
        <v>.</v>
      </c>
      <c r="O492" s="155">
        <f>Formulario!L500</f>
        <v>0</v>
      </c>
      <c r="P492" s="146">
        <f>IF(O492=1,"09:00",Formulario!M500)</f>
        <v>0</v>
      </c>
      <c r="Q492" s="146">
        <f>IF(O492=1,"18:30",Formulario!N500)</f>
        <v>0</v>
      </c>
      <c r="R492" s="146" t="str">
        <f>IF(Formulario!O500&lt;&gt;"",IF(Formulario!O500=" ",".",Formulario!O500),".")</f>
        <v>Post Venta</v>
      </c>
      <c r="S492" s="141" t="s">
        <v>131</v>
      </c>
    </row>
    <row r="493" spans="1:19">
      <c r="A493" s="141">
        <f>Formulario!B501</f>
        <v>0</v>
      </c>
      <c r="B493" s="144" t="str">
        <f>IF(G493="."," ",Formulario!D$5)</f>
        <v xml:space="preserve"> </v>
      </c>
      <c r="C493" s="144" t="str">
        <f>IF(G493=".","",Formulario!D$6)</f>
        <v/>
      </c>
      <c r="D493" s="144" t="str">
        <f>IF(H493=".","",Formulario!D$7)</f>
        <v/>
      </c>
      <c r="E493" s="144" t="str">
        <f>IF(G493=".","",Formulario!J$5)</f>
        <v/>
      </c>
      <c r="F493" s="145" t="str">
        <f>IF(G493=".","",Formulario!J$6)</f>
        <v/>
      </c>
      <c r="G493" s="180" t="str">
        <f>IF(Formulario!C501&lt;&gt;"",IF(Formulario!C501=" ","Falta Depto",IF(H493=".","Error En Descripción",Formulario!C501)),IF(H493=".",".","Falta Datos"))</f>
        <v>.</v>
      </c>
      <c r="H493" s="144" t="str">
        <f>IF(Formulario!D501&lt;&gt;"",IF(Formulario!D501=" ",".",Formulario!D501),".")</f>
        <v>.</v>
      </c>
      <c r="I493" s="144" t="str">
        <f>IF(Formulario!E501&lt;&gt;"",IF(Formulario!E501=" "," ",Formulario!E501),IF(G493=".",".","Falta Propietario"))</f>
        <v>.</v>
      </c>
      <c r="J493" s="144" t="str">
        <f>IF(Formulario!F501&lt;&gt;"",IF(Formulario!F501=" "," ",Formulario!F501)," ")</f>
        <v xml:space="preserve"> </v>
      </c>
      <c r="K493" s="144" t="str">
        <f>IF(Formulario!G501&lt;&gt;"",IF(Formulario!G501=" "," ",Formulario!G501)," ")</f>
        <v xml:space="preserve"> </v>
      </c>
      <c r="L493" s="144" t="str">
        <f>IF(Formulario!H501&lt;&gt;"",IF(Formulario!H501=" "," ",Formulario!H501)," ")</f>
        <v xml:space="preserve"> </v>
      </c>
      <c r="M493" s="144" t="str">
        <f>IF(Formulario!I501&lt;&gt;"",IF(Formulario!I501=" "," ",Formulario!I501)," ")</f>
        <v xml:space="preserve"> </v>
      </c>
      <c r="N493" s="145" t="str">
        <f>IF(Formulario!J501&lt;&gt;"",IF(Formulario!J501=" "," ",Formulario!J501),IF(G493=".",".","Falta Fecha"))</f>
        <v>.</v>
      </c>
      <c r="O493" s="155">
        <f>Formulario!L501</f>
        <v>0</v>
      </c>
      <c r="P493" s="146">
        <f>IF(O493=1,"09:00",Formulario!M501)</f>
        <v>0</v>
      </c>
      <c r="Q493" s="146">
        <f>IF(O493=1,"18:30",Formulario!N501)</f>
        <v>0</v>
      </c>
      <c r="R493" s="146" t="str">
        <f>IF(Formulario!O501&lt;&gt;"",IF(Formulario!O501=" ",".",Formulario!O501),".")</f>
        <v>Post Venta</v>
      </c>
      <c r="S493" s="141" t="s">
        <v>131</v>
      </c>
    </row>
    <row r="494" spans="1:19">
      <c r="A494" s="141">
        <f>Formulario!B502</f>
        <v>0</v>
      </c>
      <c r="B494" s="144" t="str">
        <f>IF(G494="."," ",Formulario!D$5)</f>
        <v xml:space="preserve"> </v>
      </c>
      <c r="C494" s="144" t="str">
        <f>IF(G494=".","",Formulario!D$6)</f>
        <v/>
      </c>
      <c r="D494" s="144" t="str">
        <f>IF(H494=".","",Formulario!D$7)</f>
        <v/>
      </c>
      <c r="E494" s="144" t="str">
        <f>IF(G494=".","",Formulario!J$5)</f>
        <v/>
      </c>
      <c r="F494" s="145" t="str">
        <f>IF(G494=".","",Formulario!J$6)</f>
        <v/>
      </c>
      <c r="G494" s="180" t="str">
        <f>IF(Formulario!C502&lt;&gt;"",IF(Formulario!C502=" ","Falta Depto",IF(H494=".","Error En Descripción",Formulario!C502)),IF(H494=".",".","Falta Datos"))</f>
        <v>.</v>
      </c>
      <c r="H494" s="144" t="str">
        <f>IF(Formulario!D502&lt;&gt;"",IF(Formulario!D502=" ",".",Formulario!D502),".")</f>
        <v>.</v>
      </c>
      <c r="I494" s="144" t="str">
        <f>IF(Formulario!E502&lt;&gt;"",IF(Formulario!E502=" "," ",Formulario!E502),IF(G494=".",".","Falta Propietario"))</f>
        <v>.</v>
      </c>
      <c r="J494" s="144" t="str">
        <f>IF(Formulario!F502&lt;&gt;"",IF(Formulario!F502=" "," ",Formulario!F502)," ")</f>
        <v xml:space="preserve"> </v>
      </c>
      <c r="K494" s="144" t="str">
        <f>IF(Formulario!G502&lt;&gt;"",IF(Formulario!G502=" "," ",Formulario!G502)," ")</f>
        <v xml:space="preserve"> </v>
      </c>
      <c r="L494" s="144" t="str">
        <f>IF(Formulario!H502&lt;&gt;"",IF(Formulario!H502=" "," ",Formulario!H502)," ")</f>
        <v xml:space="preserve"> </v>
      </c>
      <c r="M494" s="144" t="str">
        <f>IF(Formulario!I502&lt;&gt;"",IF(Formulario!I502=" "," ",Formulario!I502)," ")</f>
        <v xml:space="preserve"> </v>
      </c>
      <c r="N494" s="145" t="str">
        <f>IF(Formulario!J502&lt;&gt;"",IF(Formulario!J502=" "," ",Formulario!J502),IF(G494=".",".","Falta Fecha"))</f>
        <v>.</v>
      </c>
      <c r="O494" s="155">
        <f>Formulario!L502</f>
        <v>0</v>
      </c>
      <c r="P494" s="146">
        <f>IF(O494=1,"09:00",Formulario!M502)</f>
        <v>0</v>
      </c>
      <c r="Q494" s="146">
        <f>IF(O494=1,"18:30",Formulario!N502)</f>
        <v>0</v>
      </c>
      <c r="R494" s="146" t="str">
        <f>IF(Formulario!O502&lt;&gt;"",IF(Formulario!O502=" ",".",Formulario!O502),".")</f>
        <v>Post Venta</v>
      </c>
      <c r="S494" s="141" t="s">
        <v>131</v>
      </c>
    </row>
    <row r="495" spans="1:19">
      <c r="A495" s="141">
        <f>Formulario!B503</f>
        <v>0</v>
      </c>
      <c r="B495" s="144" t="str">
        <f>IF(G495="."," ",Formulario!D$5)</f>
        <v xml:space="preserve"> </v>
      </c>
      <c r="C495" s="144" t="str">
        <f>IF(G495=".","",Formulario!D$6)</f>
        <v/>
      </c>
      <c r="D495" s="144" t="str">
        <f>IF(H495=".","",Formulario!D$7)</f>
        <v/>
      </c>
      <c r="E495" s="144" t="str">
        <f>IF(G495=".","",Formulario!J$5)</f>
        <v/>
      </c>
      <c r="F495" s="145" t="str">
        <f>IF(G495=".","",Formulario!J$6)</f>
        <v/>
      </c>
      <c r="G495" s="180" t="str">
        <f>IF(Formulario!C503&lt;&gt;"",IF(Formulario!C503=" ","Falta Depto",IF(H495=".","Error En Descripción",Formulario!C503)),IF(H495=".",".","Falta Datos"))</f>
        <v>.</v>
      </c>
      <c r="H495" s="144" t="str">
        <f>IF(Formulario!D503&lt;&gt;"",IF(Formulario!D503=" ",".",Formulario!D503),".")</f>
        <v>.</v>
      </c>
      <c r="I495" s="144" t="str">
        <f>IF(Formulario!E503&lt;&gt;"",IF(Formulario!E503=" "," ",Formulario!E503),IF(G495=".",".","Falta Propietario"))</f>
        <v>.</v>
      </c>
      <c r="J495" s="144" t="str">
        <f>IF(Formulario!F503&lt;&gt;"",IF(Formulario!F503=" "," ",Formulario!F503)," ")</f>
        <v xml:space="preserve"> </v>
      </c>
      <c r="K495" s="144" t="str">
        <f>IF(Formulario!G503&lt;&gt;"",IF(Formulario!G503=" "," ",Formulario!G503)," ")</f>
        <v xml:space="preserve"> </v>
      </c>
      <c r="L495" s="144" t="str">
        <f>IF(Formulario!H503&lt;&gt;"",IF(Formulario!H503=" "," ",Formulario!H503)," ")</f>
        <v xml:space="preserve"> </v>
      </c>
      <c r="M495" s="144" t="str">
        <f>IF(Formulario!I503&lt;&gt;"",IF(Formulario!I503=" "," ",Formulario!I503)," ")</f>
        <v xml:space="preserve"> </v>
      </c>
      <c r="N495" s="145" t="str">
        <f>IF(Formulario!J503&lt;&gt;"",IF(Formulario!J503=" "," ",Formulario!J503),IF(G495=".",".","Falta Fecha"))</f>
        <v>.</v>
      </c>
      <c r="O495" s="155">
        <f>Formulario!L503</f>
        <v>0</v>
      </c>
      <c r="P495" s="146">
        <f>IF(O495=1,"09:00",Formulario!M503)</f>
        <v>0</v>
      </c>
      <c r="Q495" s="146">
        <f>IF(O495=1,"18:30",Formulario!N503)</f>
        <v>0</v>
      </c>
      <c r="R495" s="146" t="str">
        <f>IF(Formulario!O503&lt;&gt;"",IF(Formulario!O503=" ",".",Formulario!O503),".")</f>
        <v>Post Venta</v>
      </c>
      <c r="S495" s="141" t="s">
        <v>131</v>
      </c>
    </row>
    <row r="496" spans="1:19">
      <c r="A496" s="141">
        <f>Formulario!B504</f>
        <v>0</v>
      </c>
      <c r="B496" s="144" t="str">
        <f>IF(G496="."," ",Formulario!D$5)</f>
        <v xml:space="preserve"> </v>
      </c>
      <c r="C496" s="144" t="str">
        <f>IF(G496=".","",Formulario!D$6)</f>
        <v/>
      </c>
      <c r="D496" s="144" t="str">
        <f>IF(H496=".","",Formulario!D$7)</f>
        <v/>
      </c>
      <c r="E496" s="144" t="str">
        <f>IF(G496=".","",Formulario!J$5)</f>
        <v/>
      </c>
      <c r="F496" s="145" t="str">
        <f>IF(G496=".","",Formulario!J$6)</f>
        <v/>
      </c>
      <c r="G496" s="180" t="str">
        <f>IF(Formulario!C504&lt;&gt;"",IF(Formulario!C504=" ","Falta Depto",IF(H496=".","Error En Descripción",Formulario!C504)),IF(H496=".",".","Falta Datos"))</f>
        <v>.</v>
      </c>
      <c r="H496" s="144" t="str">
        <f>IF(Formulario!D504&lt;&gt;"",IF(Formulario!D504=" ",".",Formulario!D504),".")</f>
        <v>.</v>
      </c>
      <c r="I496" s="144" t="str">
        <f>IF(Formulario!E504&lt;&gt;"",IF(Formulario!E504=" "," ",Formulario!E504),IF(G496=".",".","Falta Propietario"))</f>
        <v>.</v>
      </c>
      <c r="J496" s="144" t="str">
        <f>IF(Formulario!F504&lt;&gt;"",IF(Formulario!F504=" "," ",Formulario!F504)," ")</f>
        <v xml:space="preserve"> </v>
      </c>
      <c r="K496" s="144" t="str">
        <f>IF(Formulario!G504&lt;&gt;"",IF(Formulario!G504=" "," ",Formulario!G504)," ")</f>
        <v xml:space="preserve"> </v>
      </c>
      <c r="L496" s="144" t="str">
        <f>IF(Formulario!H504&lt;&gt;"",IF(Formulario!H504=" "," ",Formulario!H504)," ")</f>
        <v xml:space="preserve"> </v>
      </c>
      <c r="M496" s="144" t="str">
        <f>IF(Formulario!I504&lt;&gt;"",IF(Formulario!I504=" "," ",Formulario!I504)," ")</f>
        <v xml:space="preserve"> </v>
      </c>
      <c r="N496" s="145" t="str">
        <f>IF(Formulario!J504&lt;&gt;"",IF(Formulario!J504=" "," ",Formulario!J504),IF(G496=".",".","Falta Fecha"))</f>
        <v>.</v>
      </c>
      <c r="O496" s="155">
        <f>Formulario!L504</f>
        <v>0</v>
      </c>
      <c r="P496" s="146">
        <f>IF(O496=1,"09:00",Formulario!M504)</f>
        <v>0</v>
      </c>
      <c r="Q496" s="146">
        <f>IF(O496=1,"18:30",Formulario!N504)</f>
        <v>0</v>
      </c>
      <c r="R496" s="146" t="str">
        <f>IF(Formulario!O504&lt;&gt;"",IF(Formulario!O504=" ",".",Formulario!O504),".")</f>
        <v>Post Venta</v>
      </c>
      <c r="S496" s="141" t="s">
        <v>131</v>
      </c>
    </row>
    <row r="497" spans="1:19">
      <c r="A497" s="141">
        <f>Formulario!B505</f>
        <v>0</v>
      </c>
      <c r="B497" s="144" t="str">
        <f>IF(G497="."," ",Formulario!D$5)</f>
        <v xml:space="preserve"> </v>
      </c>
      <c r="C497" s="144" t="str">
        <f>IF(G497=".","",Formulario!D$6)</f>
        <v/>
      </c>
      <c r="D497" s="144" t="str">
        <f>IF(H497=".","",Formulario!D$7)</f>
        <v/>
      </c>
      <c r="E497" s="144" t="str">
        <f>IF(G497=".","",Formulario!J$5)</f>
        <v/>
      </c>
      <c r="F497" s="145" t="str">
        <f>IF(G497=".","",Formulario!J$6)</f>
        <v/>
      </c>
      <c r="G497" s="180" t="str">
        <f>IF(Formulario!C505&lt;&gt;"",IF(Formulario!C505=" ","Falta Depto",IF(H497=".","Error En Descripción",Formulario!C505)),IF(H497=".",".","Falta Datos"))</f>
        <v>.</v>
      </c>
      <c r="H497" s="144" t="str">
        <f>IF(Formulario!D505&lt;&gt;"",IF(Formulario!D505=" ",".",Formulario!D505),".")</f>
        <v>.</v>
      </c>
      <c r="I497" s="144" t="str">
        <f>IF(Formulario!E505&lt;&gt;"",IF(Formulario!E505=" "," ",Formulario!E505),IF(G497=".",".","Falta Propietario"))</f>
        <v>.</v>
      </c>
      <c r="J497" s="144" t="str">
        <f>IF(Formulario!F505&lt;&gt;"",IF(Formulario!F505=" "," ",Formulario!F505)," ")</f>
        <v xml:space="preserve"> </v>
      </c>
      <c r="K497" s="144" t="str">
        <f>IF(Formulario!G505&lt;&gt;"",IF(Formulario!G505=" "," ",Formulario!G505)," ")</f>
        <v xml:space="preserve"> </v>
      </c>
      <c r="L497" s="144" t="str">
        <f>IF(Formulario!H505&lt;&gt;"",IF(Formulario!H505=" "," ",Formulario!H505)," ")</f>
        <v xml:space="preserve"> </v>
      </c>
      <c r="M497" s="144" t="str">
        <f>IF(Formulario!I505&lt;&gt;"",IF(Formulario!I505=" "," ",Formulario!I505)," ")</f>
        <v xml:space="preserve"> </v>
      </c>
      <c r="N497" s="145" t="str">
        <f>IF(Formulario!J505&lt;&gt;"",IF(Formulario!J505=" "," ",Formulario!J505),IF(G497=".",".","Falta Fecha"))</f>
        <v>.</v>
      </c>
      <c r="O497" s="155">
        <f>Formulario!L505</f>
        <v>0</v>
      </c>
      <c r="P497" s="146">
        <f>IF(O497=1,"09:00",Formulario!M505)</f>
        <v>0</v>
      </c>
      <c r="Q497" s="146">
        <f>IF(O497=1,"18:30",Formulario!N505)</f>
        <v>0</v>
      </c>
      <c r="R497" s="146" t="str">
        <f>IF(Formulario!O505&lt;&gt;"",IF(Formulario!O505=" ",".",Formulario!O505),".")</f>
        <v>Post Venta</v>
      </c>
      <c r="S497" s="141" t="s">
        <v>131</v>
      </c>
    </row>
    <row r="498" spans="1:19">
      <c r="A498" s="141">
        <f>Formulario!B506</f>
        <v>0</v>
      </c>
      <c r="B498" s="144" t="str">
        <f>IF(G498="."," ",Formulario!D$5)</f>
        <v xml:space="preserve"> </v>
      </c>
      <c r="C498" s="144" t="str">
        <f>IF(G498=".","",Formulario!D$6)</f>
        <v/>
      </c>
      <c r="D498" s="144" t="str">
        <f>IF(H498=".","",Formulario!D$7)</f>
        <v/>
      </c>
      <c r="E498" s="144" t="str">
        <f>IF(G498=".","",Formulario!J$5)</f>
        <v/>
      </c>
      <c r="F498" s="145" t="str">
        <f>IF(G498=".","",Formulario!J$6)</f>
        <v/>
      </c>
      <c r="G498" s="180" t="str">
        <f>IF(Formulario!C506&lt;&gt;"",IF(Formulario!C506=" ","Falta Depto",IF(H498=".","Error En Descripción",Formulario!C506)),IF(H498=".",".","Falta Datos"))</f>
        <v>.</v>
      </c>
      <c r="H498" s="144" t="str">
        <f>IF(Formulario!D506&lt;&gt;"",IF(Formulario!D506=" ",".",Formulario!D506),".")</f>
        <v>.</v>
      </c>
      <c r="I498" s="144" t="str">
        <f>IF(Formulario!E506&lt;&gt;"",IF(Formulario!E506=" "," ",Formulario!E506),IF(G498=".",".","Falta Propietario"))</f>
        <v>.</v>
      </c>
      <c r="J498" s="144" t="str">
        <f>IF(Formulario!F506&lt;&gt;"",IF(Formulario!F506=" "," ",Formulario!F506)," ")</f>
        <v xml:space="preserve"> </v>
      </c>
      <c r="K498" s="144" t="str">
        <f>IF(Formulario!G506&lt;&gt;"",IF(Formulario!G506=" "," ",Formulario!G506)," ")</f>
        <v xml:space="preserve"> </v>
      </c>
      <c r="L498" s="144" t="str">
        <f>IF(Formulario!H506&lt;&gt;"",IF(Formulario!H506=" "," ",Formulario!H506)," ")</f>
        <v xml:space="preserve"> </v>
      </c>
      <c r="M498" s="144" t="str">
        <f>IF(Formulario!I506&lt;&gt;"",IF(Formulario!I506=" "," ",Formulario!I506)," ")</f>
        <v xml:space="preserve"> </v>
      </c>
      <c r="N498" s="145" t="str">
        <f>IF(Formulario!J506&lt;&gt;"",IF(Formulario!J506=" "," ",Formulario!J506),IF(G498=".",".","Falta Fecha"))</f>
        <v>.</v>
      </c>
      <c r="O498" s="155">
        <f>Formulario!L506</f>
        <v>0</v>
      </c>
      <c r="P498" s="146">
        <f>IF(O498=1,"09:00",Formulario!M506)</f>
        <v>0</v>
      </c>
      <c r="Q498" s="146">
        <f>IF(O498=1,"18:30",Formulario!N506)</f>
        <v>0</v>
      </c>
      <c r="R498" s="146" t="str">
        <f>IF(Formulario!O506&lt;&gt;"",IF(Formulario!O506=" ",".",Formulario!O506),".")</f>
        <v>Post Venta</v>
      </c>
      <c r="S498" s="141" t="s">
        <v>131</v>
      </c>
    </row>
    <row r="499" spans="1:19">
      <c r="A499" s="141">
        <f>Formulario!B507</f>
        <v>0</v>
      </c>
      <c r="B499" s="144" t="str">
        <f>IF(G499="."," ",Formulario!D$5)</f>
        <v xml:space="preserve"> </v>
      </c>
      <c r="C499" s="144" t="str">
        <f>IF(G499=".","",Formulario!D$6)</f>
        <v/>
      </c>
      <c r="D499" s="144" t="str">
        <f>IF(H499=".","",Formulario!D$7)</f>
        <v/>
      </c>
      <c r="E499" s="144" t="str">
        <f>IF(G499=".","",Formulario!J$5)</f>
        <v/>
      </c>
      <c r="F499" s="145" t="str">
        <f>IF(G499=".","",Formulario!J$6)</f>
        <v/>
      </c>
      <c r="G499" s="180" t="str">
        <f>IF(Formulario!C507&lt;&gt;"",IF(Formulario!C507=" ","Falta Depto",IF(H499=".","Error En Descripción",Formulario!C507)),IF(H499=".",".","Falta Datos"))</f>
        <v>.</v>
      </c>
      <c r="H499" s="144" t="str">
        <f>IF(Formulario!D507&lt;&gt;"",IF(Formulario!D507=" ",".",Formulario!D507),".")</f>
        <v>.</v>
      </c>
      <c r="I499" s="144" t="str">
        <f>IF(Formulario!E507&lt;&gt;"",IF(Formulario!E507=" "," ",Formulario!E507),IF(G499=".",".","Falta Propietario"))</f>
        <v>.</v>
      </c>
      <c r="J499" s="144" t="str">
        <f>IF(Formulario!F507&lt;&gt;"",IF(Formulario!F507=" "," ",Formulario!F507)," ")</f>
        <v xml:space="preserve"> </v>
      </c>
      <c r="K499" s="144" t="str">
        <f>IF(Formulario!G507&lt;&gt;"",IF(Formulario!G507=" "," ",Formulario!G507)," ")</f>
        <v xml:space="preserve"> </v>
      </c>
      <c r="L499" s="144" t="str">
        <f>IF(Formulario!H507&lt;&gt;"",IF(Formulario!H507=" "," ",Formulario!H507)," ")</f>
        <v xml:space="preserve"> </v>
      </c>
      <c r="M499" s="144" t="str">
        <f>IF(Formulario!I507&lt;&gt;"",IF(Formulario!I507=" "," ",Formulario!I507)," ")</f>
        <v xml:space="preserve"> </v>
      </c>
      <c r="N499" s="145" t="str">
        <f>IF(Formulario!J507&lt;&gt;"",IF(Formulario!J507=" "," ",Formulario!J507),IF(G499=".",".","Falta Fecha"))</f>
        <v>.</v>
      </c>
      <c r="O499" s="155">
        <f>Formulario!L507</f>
        <v>0</v>
      </c>
      <c r="P499" s="146">
        <f>IF(O499=1,"09:00",Formulario!M507)</f>
        <v>0</v>
      </c>
      <c r="Q499" s="146">
        <f>IF(O499=1,"18:30",Formulario!N507)</f>
        <v>0</v>
      </c>
      <c r="R499" s="146" t="str">
        <f>IF(Formulario!O507&lt;&gt;"",IF(Formulario!O507=" ",".",Formulario!O507),".")</f>
        <v>Post Venta</v>
      </c>
      <c r="S499" s="141" t="s">
        <v>131</v>
      </c>
    </row>
    <row r="500" spans="1:19">
      <c r="A500" s="141">
        <f>Formulario!B508</f>
        <v>0</v>
      </c>
      <c r="B500" s="144" t="str">
        <f>IF(G500="."," ",Formulario!D$5)</f>
        <v xml:space="preserve"> </v>
      </c>
      <c r="C500" s="144" t="str">
        <f>IF(G500=".","",Formulario!D$6)</f>
        <v/>
      </c>
      <c r="D500" s="144" t="str">
        <f>IF(H500=".","",Formulario!D$7)</f>
        <v/>
      </c>
      <c r="E500" s="144" t="str">
        <f>IF(G500=".","",Formulario!J$5)</f>
        <v/>
      </c>
      <c r="F500" s="145" t="str">
        <f>IF(G500=".","",Formulario!J$6)</f>
        <v/>
      </c>
      <c r="G500" s="180" t="str">
        <f>IF(Formulario!C508&lt;&gt;"",IF(Formulario!C508=" ","Falta Depto",IF(H500=".","Error En Descripción",Formulario!C508)),IF(H500=".",".","Falta Datos"))</f>
        <v>.</v>
      </c>
      <c r="H500" s="144" t="str">
        <f>IF(Formulario!D508&lt;&gt;"",IF(Formulario!D508=" ",".",Formulario!D508),".")</f>
        <v>.</v>
      </c>
      <c r="I500" s="144" t="str">
        <f>IF(Formulario!E508&lt;&gt;"",IF(Formulario!E508=" "," ",Formulario!E508),IF(G500=".",".","Falta Propietario"))</f>
        <v>.</v>
      </c>
      <c r="J500" s="144" t="str">
        <f>IF(Formulario!F508&lt;&gt;"",IF(Formulario!F508=" "," ",Formulario!F508)," ")</f>
        <v xml:space="preserve"> </v>
      </c>
      <c r="K500" s="144" t="str">
        <f>IF(Formulario!G508&lt;&gt;"",IF(Formulario!G508=" "," ",Formulario!G508)," ")</f>
        <v xml:space="preserve"> </v>
      </c>
      <c r="L500" s="144" t="str">
        <f>IF(Formulario!H508&lt;&gt;"",IF(Formulario!H508=" "," ",Formulario!H508)," ")</f>
        <v xml:space="preserve"> </v>
      </c>
      <c r="M500" s="144" t="str">
        <f>IF(Formulario!I508&lt;&gt;"",IF(Formulario!I508=" "," ",Formulario!I508)," ")</f>
        <v xml:space="preserve"> </v>
      </c>
      <c r="N500" s="145" t="str">
        <f>IF(Formulario!J508&lt;&gt;"",IF(Formulario!J508=" "," ",Formulario!J508),IF(G500=".",".","Falta Fecha"))</f>
        <v>.</v>
      </c>
      <c r="O500" s="155">
        <f>Formulario!L508</f>
        <v>0</v>
      </c>
      <c r="P500" s="146">
        <f>IF(O500=1,"09:00",Formulario!M508)</f>
        <v>0</v>
      </c>
      <c r="Q500" s="146">
        <f>IF(O500=1,"18:30",Formulario!N508)</f>
        <v>0</v>
      </c>
      <c r="R500" s="146" t="str">
        <f>IF(Formulario!O508&lt;&gt;"",IF(Formulario!O508=" ",".",Formulario!O508),".")</f>
        <v>Post Venta</v>
      </c>
      <c r="S500" s="141" t="s">
        <v>131</v>
      </c>
    </row>
    <row r="501" spans="1:19">
      <c r="A501" s="141">
        <f>Formulario!B509</f>
        <v>0</v>
      </c>
      <c r="B501" s="144" t="str">
        <f>IF(G501="."," ",Formulario!D$5)</f>
        <v xml:space="preserve"> </v>
      </c>
      <c r="C501" s="144" t="str">
        <f>IF(G501=".","",Formulario!D$6)</f>
        <v/>
      </c>
      <c r="D501" s="144" t="str">
        <f>IF(H501=".","",Formulario!D$7)</f>
        <v/>
      </c>
      <c r="E501" s="144" t="str">
        <f>IF(G501=".","",Formulario!J$5)</f>
        <v/>
      </c>
      <c r="F501" s="145" t="str">
        <f>IF(G501=".","",Formulario!J$6)</f>
        <v/>
      </c>
      <c r="G501" s="180" t="str">
        <f>IF(Formulario!C509&lt;&gt;"",IF(Formulario!C509=" ","Falta Depto",IF(H501=".","Error En Descripción",Formulario!C509)),IF(H501=".",".","Falta Datos"))</f>
        <v>.</v>
      </c>
      <c r="H501" s="144" t="str">
        <f>IF(Formulario!D509&lt;&gt;"",IF(Formulario!D509=" ",".",Formulario!D509),".")</f>
        <v>.</v>
      </c>
      <c r="I501" s="144" t="str">
        <f>IF(Formulario!E509&lt;&gt;"",IF(Formulario!E509=" "," ",Formulario!E509),IF(G501=".",".","Falta Propietario"))</f>
        <v>.</v>
      </c>
      <c r="J501" s="144" t="str">
        <f>IF(Formulario!F509&lt;&gt;"",IF(Formulario!F509=" "," ",Formulario!F509)," ")</f>
        <v xml:space="preserve"> </v>
      </c>
      <c r="K501" s="144" t="str">
        <f>IF(Formulario!G509&lt;&gt;"",IF(Formulario!G509=" "," ",Formulario!G509)," ")</f>
        <v xml:space="preserve"> </v>
      </c>
      <c r="L501" s="144" t="str">
        <f>IF(Formulario!H509&lt;&gt;"",IF(Formulario!H509=" "," ",Formulario!H509)," ")</f>
        <v xml:space="preserve"> </v>
      </c>
      <c r="M501" s="144" t="str">
        <f>IF(Formulario!I509&lt;&gt;"",IF(Formulario!I509=" "," ",Formulario!I509)," ")</f>
        <v xml:space="preserve"> </v>
      </c>
      <c r="N501" s="145" t="str">
        <f>IF(Formulario!J509&lt;&gt;"",IF(Formulario!J509=" "," ",Formulario!J509),IF(G501=".",".","Falta Fecha"))</f>
        <v>.</v>
      </c>
      <c r="O501" s="155">
        <f>Formulario!L509</f>
        <v>0</v>
      </c>
      <c r="P501" s="146">
        <f>IF(O501=1,"09:00",Formulario!M509)</f>
        <v>0</v>
      </c>
      <c r="Q501" s="146">
        <f>IF(O501=1,"18:30",Formulario!N509)</f>
        <v>0</v>
      </c>
      <c r="R501" s="146" t="str">
        <f>IF(Formulario!O509&lt;&gt;"",IF(Formulario!O509=" ",".",Formulario!O509),".")</f>
        <v>Post Venta</v>
      </c>
      <c r="S501" s="141" t="s">
        <v>131</v>
      </c>
    </row>
    <row r="502" spans="1:19">
      <c r="A502" s="141">
        <f>Formulario!B510</f>
        <v>0</v>
      </c>
      <c r="B502" s="144" t="str">
        <f>IF(G502="."," ",Formulario!D$5)</f>
        <v xml:space="preserve"> </v>
      </c>
      <c r="C502" s="144" t="str">
        <f>IF(G502=".","",Formulario!D$6)</f>
        <v/>
      </c>
      <c r="D502" s="144" t="str">
        <f>IF(H502=".","",Formulario!D$7)</f>
        <v/>
      </c>
      <c r="E502" s="144" t="str">
        <f>IF(G502=".","",Formulario!J$5)</f>
        <v/>
      </c>
      <c r="F502" s="145" t="str">
        <f>IF(G502=".","",Formulario!J$6)</f>
        <v/>
      </c>
      <c r="G502" s="180" t="str">
        <f>IF(Formulario!C510&lt;&gt;"",IF(Formulario!C510=" ","Falta Depto",IF(H502=".","Error En Descripción",Formulario!C510)),IF(H502=".",".","Falta Datos"))</f>
        <v>.</v>
      </c>
      <c r="H502" s="144" t="str">
        <f>IF(Formulario!D510&lt;&gt;"",IF(Formulario!D510=" ",".",Formulario!D510),".")</f>
        <v>.</v>
      </c>
      <c r="I502" s="144" t="str">
        <f>IF(Formulario!E510&lt;&gt;"",IF(Formulario!E510=" "," ",Formulario!E510),IF(G502=".",".","Falta Propietario"))</f>
        <v>.</v>
      </c>
      <c r="J502" s="144" t="str">
        <f>IF(Formulario!F510&lt;&gt;"",IF(Formulario!F510=" "," ",Formulario!F510)," ")</f>
        <v xml:space="preserve"> </v>
      </c>
      <c r="K502" s="144" t="str">
        <f>IF(Formulario!G510&lt;&gt;"",IF(Formulario!G510=" "," ",Formulario!G510)," ")</f>
        <v xml:space="preserve"> </v>
      </c>
      <c r="L502" s="144" t="str">
        <f>IF(Formulario!H510&lt;&gt;"",IF(Formulario!H510=" "," ",Formulario!H510)," ")</f>
        <v xml:space="preserve"> </v>
      </c>
      <c r="M502" s="144" t="str">
        <f>IF(Formulario!I510&lt;&gt;"",IF(Formulario!I510=" "," ",Formulario!I510)," ")</f>
        <v xml:space="preserve"> </v>
      </c>
      <c r="N502" s="145" t="str">
        <f>IF(Formulario!J510&lt;&gt;"",IF(Formulario!J510=" "," ",Formulario!J510),IF(G502=".",".","Falta Fecha"))</f>
        <v>.</v>
      </c>
      <c r="O502" s="155">
        <f>Formulario!L510</f>
        <v>0</v>
      </c>
      <c r="P502" s="146">
        <f>IF(O502=1,"09:00",Formulario!M510)</f>
        <v>0</v>
      </c>
      <c r="Q502" s="146">
        <f>IF(O502=1,"18:30",Formulario!N510)</f>
        <v>0</v>
      </c>
      <c r="R502" s="146" t="str">
        <f>IF(Formulario!O510&lt;&gt;"",IF(Formulario!O510=" ",".",Formulario!O510),".")</f>
        <v>Post Venta</v>
      </c>
      <c r="S502" s="141" t="s">
        <v>131</v>
      </c>
    </row>
    <row r="503" spans="1:19">
      <c r="A503" s="141">
        <f>Formulario!B511</f>
        <v>0</v>
      </c>
      <c r="B503" s="144" t="str">
        <f>IF(G503="."," ",Formulario!D$5)</f>
        <v xml:space="preserve"> </v>
      </c>
      <c r="C503" s="144" t="str">
        <f>IF(G503=".","",Formulario!D$6)</f>
        <v/>
      </c>
      <c r="D503" s="144" t="str">
        <f>IF(H503=".","",Formulario!D$7)</f>
        <v/>
      </c>
      <c r="E503" s="144" t="str">
        <f>IF(G503=".","",Formulario!J$5)</f>
        <v/>
      </c>
      <c r="F503" s="145" t="str">
        <f>IF(G503=".","",Formulario!J$6)</f>
        <v/>
      </c>
      <c r="G503" s="180" t="str">
        <f>IF(Formulario!C511&lt;&gt;"",IF(Formulario!C511=" ","Falta Depto",IF(H503=".","Error En Descripción",Formulario!C511)),IF(H503=".",".","Falta Datos"))</f>
        <v>.</v>
      </c>
      <c r="H503" s="144" t="str">
        <f>IF(Formulario!D511&lt;&gt;"",IF(Formulario!D511=" ",".",Formulario!D511),".")</f>
        <v>.</v>
      </c>
      <c r="I503" s="144" t="str">
        <f>IF(Formulario!E511&lt;&gt;"",IF(Formulario!E511=" "," ",Formulario!E511),IF(G503=".",".","Falta Propietario"))</f>
        <v>.</v>
      </c>
      <c r="J503" s="144" t="str">
        <f>IF(Formulario!F511&lt;&gt;"",IF(Formulario!F511=" "," ",Formulario!F511)," ")</f>
        <v xml:space="preserve"> </v>
      </c>
      <c r="K503" s="144" t="str">
        <f>IF(Formulario!G511&lt;&gt;"",IF(Formulario!G511=" "," ",Formulario!G511)," ")</f>
        <v xml:space="preserve"> </v>
      </c>
      <c r="L503" s="144" t="str">
        <f>IF(Formulario!H511&lt;&gt;"",IF(Formulario!H511=" "," ",Formulario!H511)," ")</f>
        <v xml:space="preserve"> </v>
      </c>
      <c r="M503" s="144" t="str">
        <f>IF(Formulario!I511&lt;&gt;"",IF(Formulario!I511=" "," ",Formulario!I511)," ")</f>
        <v xml:space="preserve"> </v>
      </c>
      <c r="N503" s="145" t="str">
        <f>IF(Formulario!J511&lt;&gt;"",IF(Formulario!J511=" "," ",Formulario!J511),IF(G503=".",".","Falta Fecha"))</f>
        <v>.</v>
      </c>
      <c r="O503" s="155">
        <f>Formulario!L511</f>
        <v>0</v>
      </c>
      <c r="P503" s="146">
        <f>IF(O503=1,"09:00",Formulario!M511)</f>
        <v>0</v>
      </c>
      <c r="Q503" s="146">
        <f>IF(O503=1,"18:30",Formulario!N511)</f>
        <v>0</v>
      </c>
      <c r="R503" s="146" t="str">
        <f>IF(Formulario!O511&lt;&gt;"",IF(Formulario!O511=" ",".",Formulario!O511),".")</f>
        <v>Post Venta</v>
      </c>
      <c r="S503" s="141" t="s">
        <v>131</v>
      </c>
    </row>
    <row r="504" spans="1:19">
      <c r="A504" s="141">
        <f>Formulario!B512</f>
        <v>0</v>
      </c>
      <c r="B504" s="144" t="str">
        <f>IF(G504="."," ",Formulario!D$5)</f>
        <v xml:space="preserve"> </v>
      </c>
      <c r="C504" s="144" t="str">
        <f>IF(G504=".","",Formulario!D$6)</f>
        <v/>
      </c>
      <c r="D504" s="144" t="str">
        <f>IF(H504=".","",Formulario!D$7)</f>
        <v/>
      </c>
      <c r="E504" s="144" t="str">
        <f>IF(G504=".","",Formulario!J$5)</f>
        <v/>
      </c>
      <c r="F504" s="145" t="str">
        <f>IF(G504=".","",Formulario!J$6)</f>
        <v/>
      </c>
      <c r="G504" s="180" t="str">
        <f>IF(Formulario!C512&lt;&gt;"",IF(Formulario!C512=" ","Falta Depto",IF(H504=".","Error En Descripción",Formulario!C512)),IF(H504=".",".","Falta Datos"))</f>
        <v>.</v>
      </c>
      <c r="H504" s="144" t="str">
        <f>IF(Formulario!D512&lt;&gt;"",IF(Formulario!D512=" ",".",Formulario!D512),".")</f>
        <v>.</v>
      </c>
      <c r="I504" s="144" t="str">
        <f>IF(Formulario!E512&lt;&gt;"",IF(Formulario!E512=" "," ",Formulario!E512),IF(G504=".",".","Falta Propietario"))</f>
        <v>.</v>
      </c>
      <c r="J504" s="144" t="str">
        <f>IF(Formulario!F512&lt;&gt;"",IF(Formulario!F512=" "," ",Formulario!F512)," ")</f>
        <v xml:space="preserve"> </v>
      </c>
      <c r="K504" s="144" t="str">
        <f>IF(Formulario!G512&lt;&gt;"",IF(Formulario!G512=" "," ",Formulario!G512)," ")</f>
        <v xml:space="preserve"> </v>
      </c>
      <c r="L504" s="144" t="str">
        <f>IF(Formulario!H512&lt;&gt;"",IF(Formulario!H512=" "," ",Formulario!H512)," ")</f>
        <v xml:space="preserve"> </v>
      </c>
      <c r="M504" s="144" t="str">
        <f>IF(Formulario!I512&lt;&gt;"",IF(Formulario!I512=" "," ",Formulario!I512)," ")</f>
        <v xml:space="preserve"> </v>
      </c>
      <c r="N504" s="145" t="str">
        <f>IF(Formulario!J512&lt;&gt;"",IF(Formulario!J512=" "," ",Formulario!J512),IF(G504=".",".","Falta Fecha"))</f>
        <v>.</v>
      </c>
      <c r="O504" s="155">
        <f>Formulario!L512</f>
        <v>0</v>
      </c>
      <c r="P504" s="146">
        <f>IF(O504=1,"09:00",Formulario!M512)</f>
        <v>0</v>
      </c>
      <c r="Q504" s="146">
        <f>IF(O504=1,"18:30",Formulario!N512)</f>
        <v>0</v>
      </c>
      <c r="R504" s="146" t="str">
        <f>IF(Formulario!O512&lt;&gt;"",IF(Formulario!O512=" ",".",Formulario!O512),".")</f>
        <v>Post Venta</v>
      </c>
      <c r="S504" s="141" t="s">
        <v>131</v>
      </c>
    </row>
    <row r="505" spans="1:19">
      <c r="A505" s="141">
        <f>Formulario!B513</f>
        <v>0</v>
      </c>
      <c r="B505" s="144" t="str">
        <f>IF(G505="."," ",Formulario!D$5)</f>
        <v xml:space="preserve"> </v>
      </c>
      <c r="C505" s="144" t="str">
        <f>IF(G505=".","",Formulario!D$6)</f>
        <v/>
      </c>
      <c r="D505" s="144" t="str">
        <f>IF(H505=".","",Formulario!D$7)</f>
        <v/>
      </c>
      <c r="E505" s="144" t="str">
        <f>IF(G505=".","",Formulario!J$5)</f>
        <v/>
      </c>
      <c r="F505" s="145" t="str">
        <f>IF(G505=".","",Formulario!J$6)</f>
        <v/>
      </c>
      <c r="G505" s="180" t="str">
        <f>IF(Formulario!C513&lt;&gt;"",IF(Formulario!C513=" ","Falta Depto",IF(H505=".","Error En Descripción",Formulario!C513)),IF(H505=".",".","Falta Datos"))</f>
        <v>.</v>
      </c>
      <c r="H505" s="144" t="str">
        <f>IF(Formulario!D513&lt;&gt;"",IF(Formulario!D513=" ",".",Formulario!D513),".")</f>
        <v>.</v>
      </c>
      <c r="I505" s="144" t="str">
        <f>IF(Formulario!E513&lt;&gt;"",IF(Formulario!E513=" "," ",Formulario!E513),IF(G505=".",".","Falta Propietario"))</f>
        <v>.</v>
      </c>
      <c r="J505" s="144" t="str">
        <f>IF(Formulario!F513&lt;&gt;"",IF(Formulario!F513=" "," ",Formulario!F513)," ")</f>
        <v xml:space="preserve"> </v>
      </c>
      <c r="K505" s="144" t="str">
        <f>IF(Formulario!G513&lt;&gt;"",IF(Formulario!G513=" "," ",Formulario!G513)," ")</f>
        <v xml:space="preserve"> </v>
      </c>
      <c r="L505" s="144" t="str">
        <f>IF(Formulario!H513&lt;&gt;"",IF(Formulario!H513=" "," ",Formulario!H513)," ")</f>
        <v xml:space="preserve"> </v>
      </c>
      <c r="M505" s="144" t="str">
        <f>IF(Formulario!I513&lt;&gt;"",IF(Formulario!I513=" "," ",Formulario!I513)," ")</f>
        <v xml:space="preserve"> </v>
      </c>
      <c r="N505" s="145" t="str">
        <f>IF(Formulario!J513&lt;&gt;"",IF(Formulario!J513=" "," ",Formulario!J513),IF(G505=".",".","Falta Fecha"))</f>
        <v>.</v>
      </c>
      <c r="O505" s="155">
        <f>Formulario!L513</f>
        <v>0</v>
      </c>
      <c r="P505" s="146">
        <f>IF(O505=1,"09:00",Formulario!M513)</f>
        <v>0</v>
      </c>
      <c r="Q505" s="146">
        <f>IF(O505=1,"18:30",Formulario!N513)</f>
        <v>0</v>
      </c>
      <c r="R505" s="146" t="str">
        <f>IF(Formulario!O513&lt;&gt;"",IF(Formulario!O513=" ",".",Formulario!O513),".")</f>
        <v>Post Venta</v>
      </c>
      <c r="S505" s="141" t="s">
        <v>131</v>
      </c>
    </row>
    <row r="506" spans="1:19">
      <c r="A506" s="141">
        <f>Formulario!B514</f>
        <v>0</v>
      </c>
      <c r="B506" s="144" t="str">
        <f>IF(G506="."," ",Formulario!D$5)</f>
        <v xml:space="preserve"> </v>
      </c>
      <c r="C506" s="144" t="str">
        <f>IF(G506=".","",Formulario!D$6)</f>
        <v/>
      </c>
      <c r="D506" s="144" t="str">
        <f>IF(H506=".","",Formulario!D$7)</f>
        <v/>
      </c>
      <c r="E506" s="144" t="str">
        <f>IF(G506=".","",Formulario!J$5)</f>
        <v/>
      </c>
      <c r="F506" s="145" t="str">
        <f>IF(G506=".","",Formulario!J$6)</f>
        <v/>
      </c>
      <c r="G506" s="180" t="str">
        <f>IF(Formulario!C514&lt;&gt;"",IF(Formulario!C514=" ","Falta Depto",IF(H506=".","Error En Descripción",Formulario!C514)),IF(H506=".",".","Falta Datos"))</f>
        <v>.</v>
      </c>
      <c r="H506" s="144" t="str">
        <f>IF(Formulario!D514&lt;&gt;"",IF(Formulario!D514=" ",".",Formulario!D514),".")</f>
        <v>.</v>
      </c>
      <c r="I506" s="144" t="str">
        <f>IF(Formulario!E514&lt;&gt;"",IF(Formulario!E514=" "," ",Formulario!E514),IF(G506=".",".","Falta Propietario"))</f>
        <v>.</v>
      </c>
      <c r="J506" s="144" t="str">
        <f>IF(Formulario!F514&lt;&gt;"",IF(Formulario!F514=" "," ",Formulario!F514)," ")</f>
        <v xml:space="preserve"> </v>
      </c>
      <c r="K506" s="144" t="str">
        <f>IF(Formulario!G514&lt;&gt;"",IF(Formulario!G514=" "," ",Formulario!G514)," ")</f>
        <v xml:space="preserve"> </v>
      </c>
      <c r="L506" s="144" t="str">
        <f>IF(Formulario!H514&lt;&gt;"",IF(Formulario!H514=" "," ",Formulario!H514)," ")</f>
        <v xml:space="preserve"> </v>
      </c>
      <c r="M506" s="144" t="str">
        <f>IF(Formulario!I514&lt;&gt;"",IF(Formulario!I514=" "," ",Formulario!I514)," ")</f>
        <v xml:space="preserve"> </v>
      </c>
      <c r="N506" s="145" t="str">
        <f>IF(Formulario!J514&lt;&gt;"",IF(Formulario!J514=" "," ",Formulario!J514),IF(G506=".",".","Falta Fecha"))</f>
        <v>.</v>
      </c>
      <c r="O506" s="155">
        <f>Formulario!L514</f>
        <v>0</v>
      </c>
      <c r="P506" s="146">
        <f>IF(O506=1,"09:00",Formulario!M514)</f>
        <v>0</v>
      </c>
      <c r="Q506" s="146">
        <f>IF(O506=1,"18:30",Formulario!N514)</f>
        <v>0</v>
      </c>
      <c r="R506" s="146" t="str">
        <f>IF(Formulario!O514&lt;&gt;"",IF(Formulario!O514=" ",".",Formulario!O514),".")</f>
        <v>Post Venta</v>
      </c>
      <c r="S506" s="141" t="s">
        <v>131</v>
      </c>
    </row>
    <row r="507" spans="1:19">
      <c r="A507" s="141">
        <f>Formulario!B515</f>
        <v>0</v>
      </c>
      <c r="B507" s="144" t="str">
        <f>IF(G507="."," ",Formulario!D$5)</f>
        <v xml:space="preserve"> </v>
      </c>
      <c r="C507" s="144" t="str">
        <f>IF(G507=".","",Formulario!D$6)</f>
        <v/>
      </c>
      <c r="D507" s="144" t="str">
        <f>IF(H507=".","",Formulario!D$7)</f>
        <v/>
      </c>
      <c r="E507" s="144" t="str">
        <f>IF(G507=".","",Formulario!J$5)</f>
        <v/>
      </c>
      <c r="F507" s="145" t="str">
        <f>IF(G507=".","",Formulario!J$6)</f>
        <v/>
      </c>
      <c r="G507" s="180" t="str">
        <f>IF(Formulario!C515&lt;&gt;"",IF(Formulario!C515=" ","Falta Depto",IF(H507=".","Error En Descripción",Formulario!C515)),IF(H507=".",".","Falta Datos"))</f>
        <v>.</v>
      </c>
      <c r="H507" s="144" t="str">
        <f>IF(Formulario!D515&lt;&gt;"",IF(Formulario!D515=" ",".",Formulario!D515),".")</f>
        <v>.</v>
      </c>
      <c r="I507" s="144" t="str">
        <f>IF(Formulario!E515&lt;&gt;"",IF(Formulario!E515=" "," ",Formulario!E515),IF(G507=".",".","Falta Propietario"))</f>
        <v>.</v>
      </c>
      <c r="J507" s="144" t="str">
        <f>IF(Formulario!F515&lt;&gt;"",IF(Formulario!F515=" "," ",Formulario!F515)," ")</f>
        <v xml:space="preserve"> </v>
      </c>
      <c r="K507" s="144" t="str">
        <f>IF(Formulario!G515&lt;&gt;"",IF(Formulario!G515=" "," ",Formulario!G515)," ")</f>
        <v xml:space="preserve"> </v>
      </c>
      <c r="L507" s="144" t="str">
        <f>IF(Formulario!H515&lt;&gt;"",IF(Formulario!H515=" "," ",Formulario!H515)," ")</f>
        <v xml:space="preserve"> </v>
      </c>
      <c r="M507" s="144" t="str">
        <f>IF(Formulario!I515&lt;&gt;"",IF(Formulario!I515=" "," ",Formulario!I515)," ")</f>
        <v xml:space="preserve"> </v>
      </c>
      <c r="N507" s="145" t="str">
        <f>IF(Formulario!J515&lt;&gt;"",IF(Formulario!J515=" "," ",Formulario!J515),IF(G507=".",".","Falta Fecha"))</f>
        <v>.</v>
      </c>
      <c r="O507" s="155">
        <f>Formulario!L515</f>
        <v>0</v>
      </c>
      <c r="P507" s="146">
        <f>IF(O507=1,"09:00",Formulario!M515)</f>
        <v>0</v>
      </c>
      <c r="Q507" s="146">
        <f>IF(O507=1,"18:30",Formulario!N515)</f>
        <v>0</v>
      </c>
      <c r="R507" s="146" t="str">
        <f>IF(Formulario!O515&lt;&gt;"",IF(Formulario!O515=" ",".",Formulario!O515),".")</f>
        <v>Post Venta</v>
      </c>
      <c r="S507" s="141" t="s">
        <v>131</v>
      </c>
    </row>
    <row r="508" spans="1:19">
      <c r="A508" s="141">
        <f>Formulario!B516</f>
        <v>0</v>
      </c>
      <c r="B508" s="144" t="str">
        <f>IF(G508="."," ",Formulario!D$5)</f>
        <v xml:space="preserve"> </v>
      </c>
      <c r="C508" s="144" t="str">
        <f>IF(G508=".","",Formulario!D$6)</f>
        <v/>
      </c>
      <c r="D508" s="144" t="str">
        <f>IF(H508=".","",Formulario!D$7)</f>
        <v/>
      </c>
      <c r="E508" s="144" t="str">
        <f>IF(G508=".","",Formulario!J$5)</f>
        <v/>
      </c>
      <c r="F508" s="145" t="str">
        <f>IF(G508=".","",Formulario!J$6)</f>
        <v/>
      </c>
      <c r="G508" s="180" t="str">
        <f>IF(Formulario!C516&lt;&gt;"",IF(Formulario!C516=" ","Falta Depto",IF(H508=".","Error En Descripción",Formulario!C516)),IF(H508=".",".","Falta Datos"))</f>
        <v>.</v>
      </c>
      <c r="H508" s="144" t="str">
        <f>IF(Formulario!D516&lt;&gt;"",IF(Formulario!D516=" ",".",Formulario!D516),".")</f>
        <v>.</v>
      </c>
      <c r="I508" s="144" t="str">
        <f>IF(Formulario!E516&lt;&gt;"",IF(Formulario!E516=" "," ",Formulario!E516),IF(G508=".",".","Falta Propietario"))</f>
        <v>.</v>
      </c>
      <c r="J508" s="144" t="str">
        <f>IF(Formulario!F516&lt;&gt;"",IF(Formulario!F516=" "," ",Formulario!F516)," ")</f>
        <v xml:space="preserve"> </v>
      </c>
      <c r="K508" s="144" t="str">
        <f>IF(Formulario!G516&lt;&gt;"",IF(Formulario!G516=" "," ",Formulario!G516)," ")</f>
        <v xml:space="preserve"> </v>
      </c>
      <c r="L508" s="144" t="str">
        <f>IF(Formulario!H516&lt;&gt;"",IF(Formulario!H516=" "," ",Formulario!H516)," ")</f>
        <v xml:space="preserve"> </v>
      </c>
      <c r="M508" s="144" t="str">
        <f>IF(Formulario!I516&lt;&gt;"",IF(Formulario!I516=" "," ",Formulario!I516)," ")</f>
        <v xml:space="preserve"> </v>
      </c>
      <c r="N508" s="145" t="str">
        <f>IF(Formulario!J516&lt;&gt;"",IF(Formulario!J516=" "," ",Formulario!J516),IF(G508=".",".","Falta Fecha"))</f>
        <v>.</v>
      </c>
      <c r="O508" s="155">
        <f>Formulario!L516</f>
        <v>0</v>
      </c>
      <c r="P508" s="146">
        <f>IF(O508=1,"09:00",Formulario!M516)</f>
        <v>0</v>
      </c>
      <c r="Q508" s="146">
        <f>IF(O508=1,"18:30",Formulario!N516)</f>
        <v>0</v>
      </c>
      <c r="R508" s="146" t="str">
        <f>IF(Formulario!O516&lt;&gt;"",IF(Formulario!O516=" ",".",Formulario!O516),".")</f>
        <v>Post Venta</v>
      </c>
      <c r="S508" s="141" t="s">
        <v>131</v>
      </c>
    </row>
    <row r="509" spans="1:19">
      <c r="A509" s="141">
        <f>Formulario!B517</f>
        <v>0</v>
      </c>
      <c r="B509" s="144" t="str">
        <f>IF(G509="."," ",Formulario!D$5)</f>
        <v xml:space="preserve"> </v>
      </c>
      <c r="C509" s="144" t="str">
        <f>IF(G509=".","",Formulario!D$6)</f>
        <v/>
      </c>
      <c r="D509" s="144" t="str">
        <f>IF(H509=".","",Formulario!D$7)</f>
        <v/>
      </c>
      <c r="E509" s="144" t="str">
        <f>IF(G509=".","",Formulario!J$5)</f>
        <v/>
      </c>
      <c r="F509" s="145" t="str">
        <f>IF(G509=".","",Formulario!J$6)</f>
        <v/>
      </c>
      <c r="G509" s="180" t="str">
        <f>IF(Formulario!C517&lt;&gt;"",IF(Formulario!C517=" ","Falta Depto",IF(H509=".","Error En Descripción",Formulario!C517)),IF(H509=".",".","Falta Datos"))</f>
        <v>.</v>
      </c>
      <c r="H509" s="144" t="str">
        <f>IF(Formulario!D517&lt;&gt;"",IF(Formulario!D517=" ",".",Formulario!D517),".")</f>
        <v>.</v>
      </c>
      <c r="I509" s="144" t="str">
        <f>IF(Formulario!E517&lt;&gt;"",IF(Formulario!E517=" "," ",Formulario!E517),IF(G509=".",".","Falta Propietario"))</f>
        <v>.</v>
      </c>
      <c r="J509" s="144" t="str">
        <f>IF(Formulario!F517&lt;&gt;"",IF(Formulario!F517=" "," ",Formulario!F517)," ")</f>
        <v xml:space="preserve"> </v>
      </c>
      <c r="K509" s="144" t="str">
        <f>IF(Formulario!G517&lt;&gt;"",IF(Formulario!G517=" "," ",Formulario!G517)," ")</f>
        <v xml:space="preserve"> </v>
      </c>
      <c r="L509" s="144" t="str">
        <f>IF(Formulario!H517&lt;&gt;"",IF(Formulario!H517=" "," ",Formulario!H517)," ")</f>
        <v xml:space="preserve"> </v>
      </c>
      <c r="M509" s="144" t="str">
        <f>IF(Formulario!I517&lt;&gt;"",IF(Formulario!I517=" "," ",Formulario!I517)," ")</f>
        <v xml:space="preserve"> </v>
      </c>
      <c r="N509" s="145" t="str">
        <f>IF(Formulario!J517&lt;&gt;"",IF(Formulario!J517=" "," ",Formulario!J517),IF(G509=".",".","Falta Fecha"))</f>
        <v>.</v>
      </c>
      <c r="O509" s="155">
        <f>Formulario!L517</f>
        <v>0</v>
      </c>
      <c r="P509" s="146">
        <f>IF(O509=1,"09:00",Formulario!M517)</f>
        <v>0</v>
      </c>
      <c r="Q509" s="146">
        <f>IF(O509=1,"18:30",Formulario!N517)</f>
        <v>0</v>
      </c>
      <c r="R509" s="146" t="str">
        <f>IF(Formulario!O517&lt;&gt;"",IF(Formulario!O517=" ",".",Formulario!O517),".")</f>
        <v>Post Venta</v>
      </c>
      <c r="S509" s="141" t="s">
        <v>131</v>
      </c>
    </row>
    <row r="510" spans="1:19">
      <c r="A510" s="141">
        <f>Formulario!B518</f>
        <v>0</v>
      </c>
      <c r="B510" s="144" t="str">
        <f>IF(G510="."," ",Formulario!D$5)</f>
        <v xml:space="preserve"> </v>
      </c>
      <c r="C510" s="144" t="str">
        <f>IF(G510=".","",Formulario!D$6)</f>
        <v/>
      </c>
      <c r="D510" s="144" t="str">
        <f>IF(H510=".","",Formulario!D$7)</f>
        <v/>
      </c>
      <c r="E510" s="144" t="str">
        <f>IF(G510=".","",Formulario!J$5)</f>
        <v/>
      </c>
      <c r="F510" s="145" t="str">
        <f>IF(G510=".","",Formulario!J$6)</f>
        <v/>
      </c>
      <c r="G510" s="180" t="str">
        <f>IF(Formulario!C518&lt;&gt;"",IF(Formulario!C518=" ","Falta Depto",IF(H510=".","Error En Descripción",Formulario!C518)),IF(H510=".",".","Falta Datos"))</f>
        <v>.</v>
      </c>
      <c r="H510" s="144" t="str">
        <f>IF(Formulario!D518&lt;&gt;"",IF(Formulario!D518=" ",".",Formulario!D518),".")</f>
        <v>.</v>
      </c>
      <c r="I510" s="144" t="str">
        <f>IF(Formulario!E518&lt;&gt;"",IF(Formulario!E518=" "," ",Formulario!E518),IF(G510=".",".","Falta Propietario"))</f>
        <v>.</v>
      </c>
      <c r="J510" s="144" t="str">
        <f>IF(Formulario!F518&lt;&gt;"",IF(Formulario!F518=" "," ",Formulario!F518)," ")</f>
        <v xml:space="preserve"> </v>
      </c>
      <c r="K510" s="144" t="str">
        <f>IF(Formulario!G518&lt;&gt;"",IF(Formulario!G518=" "," ",Formulario!G518)," ")</f>
        <v xml:space="preserve"> </v>
      </c>
      <c r="L510" s="144" t="str">
        <f>IF(Formulario!H518&lt;&gt;"",IF(Formulario!H518=" "," ",Formulario!H518)," ")</f>
        <v xml:space="preserve"> </v>
      </c>
      <c r="M510" s="144" t="str">
        <f>IF(Formulario!I518&lt;&gt;"",IF(Formulario!I518=" "," ",Formulario!I518)," ")</f>
        <v xml:space="preserve"> </v>
      </c>
      <c r="N510" s="145" t="str">
        <f>IF(Formulario!J518&lt;&gt;"",IF(Formulario!J518=" "," ",Formulario!J518),IF(G510=".",".","Falta Fecha"))</f>
        <v>.</v>
      </c>
      <c r="O510" s="155">
        <f>Formulario!L518</f>
        <v>0</v>
      </c>
      <c r="P510" s="146">
        <f>IF(O510=1,"09:00",Formulario!M518)</f>
        <v>0</v>
      </c>
      <c r="Q510" s="146">
        <f>IF(O510=1,"18:30",Formulario!N518)</f>
        <v>0</v>
      </c>
      <c r="R510" s="146" t="str">
        <f>IF(Formulario!O518&lt;&gt;"",IF(Formulario!O518=" ",".",Formulario!O518),".")</f>
        <v>Post Venta</v>
      </c>
      <c r="S510" s="141" t="s">
        <v>131</v>
      </c>
    </row>
    <row r="511" spans="1:19">
      <c r="A511" s="141">
        <f>Formulario!B519</f>
        <v>0</v>
      </c>
      <c r="B511" s="144" t="str">
        <f>IF(G511="."," ",Formulario!D$5)</f>
        <v xml:space="preserve"> </v>
      </c>
      <c r="C511" s="144" t="str">
        <f>IF(G511=".","",Formulario!D$6)</f>
        <v/>
      </c>
      <c r="D511" s="144" t="str">
        <f>IF(H511=".","",Formulario!D$7)</f>
        <v/>
      </c>
      <c r="E511" s="144" t="str">
        <f>IF(G511=".","",Formulario!J$5)</f>
        <v/>
      </c>
      <c r="F511" s="145" t="str">
        <f>IF(G511=".","",Formulario!J$6)</f>
        <v/>
      </c>
      <c r="G511" s="180" t="str">
        <f>IF(Formulario!C519&lt;&gt;"",IF(Formulario!C519=" ","Falta Depto",IF(H511=".","Error En Descripción",Formulario!C519)),IF(H511=".",".","Falta Datos"))</f>
        <v>.</v>
      </c>
      <c r="H511" s="144" t="str">
        <f>IF(Formulario!D519&lt;&gt;"",IF(Formulario!D519=" ",".",Formulario!D519),".")</f>
        <v>.</v>
      </c>
      <c r="I511" s="144" t="str">
        <f>IF(Formulario!E519&lt;&gt;"",IF(Formulario!E519=" "," ",Formulario!E519),IF(G511=".",".","Falta Propietario"))</f>
        <v>.</v>
      </c>
      <c r="J511" s="144" t="str">
        <f>IF(Formulario!F519&lt;&gt;"",IF(Formulario!F519=" "," ",Formulario!F519)," ")</f>
        <v xml:space="preserve"> </v>
      </c>
      <c r="K511" s="144" t="str">
        <f>IF(Formulario!G519&lt;&gt;"",IF(Formulario!G519=" "," ",Formulario!G519)," ")</f>
        <v xml:space="preserve"> </v>
      </c>
      <c r="L511" s="144" t="str">
        <f>IF(Formulario!H519&lt;&gt;"",IF(Formulario!H519=" "," ",Formulario!H519)," ")</f>
        <v xml:space="preserve"> </v>
      </c>
      <c r="M511" s="144" t="str">
        <f>IF(Formulario!I519&lt;&gt;"",IF(Formulario!I519=" "," ",Formulario!I519)," ")</f>
        <v xml:space="preserve"> </v>
      </c>
      <c r="N511" s="145" t="str">
        <f>IF(Formulario!J519&lt;&gt;"",IF(Formulario!J519=" "," ",Formulario!J519),IF(G511=".",".","Falta Fecha"))</f>
        <v>.</v>
      </c>
      <c r="O511" s="155">
        <f>Formulario!L519</f>
        <v>0</v>
      </c>
      <c r="P511" s="146">
        <f>IF(O511=1,"09:00",Formulario!M519)</f>
        <v>0</v>
      </c>
      <c r="Q511" s="146">
        <f>IF(O511=1,"18:30",Formulario!N519)</f>
        <v>0</v>
      </c>
      <c r="R511" s="146" t="str">
        <f>IF(Formulario!O519&lt;&gt;"",IF(Formulario!O519=" ",".",Formulario!O519),".")</f>
        <v>Post Venta</v>
      </c>
      <c r="S511" s="141" t="s">
        <v>131</v>
      </c>
    </row>
    <row r="512" spans="1:19">
      <c r="A512" s="141">
        <f>Formulario!B520</f>
        <v>0</v>
      </c>
      <c r="B512" s="144" t="str">
        <f>IF(G512="."," ",Formulario!D$5)</f>
        <v xml:space="preserve"> </v>
      </c>
      <c r="C512" s="144" t="str">
        <f>IF(G512=".","",Formulario!D$6)</f>
        <v/>
      </c>
      <c r="D512" s="144" t="str">
        <f>IF(H512=".","",Formulario!D$7)</f>
        <v/>
      </c>
      <c r="E512" s="144" t="str">
        <f>IF(G512=".","",Formulario!J$5)</f>
        <v/>
      </c>
      <c r="F512" s="145" t="str">
        <f>IF(G512=".","",Formulario!J$6)</f>
        <v/>
      </c>
      <c r="G512" s="180" t="str">
        <f>IF(Formulario!C520&lt;&gt;"",IF(Formulario!C520=" ","Falta Depto",IF(H512=".","Error En Descripción",Formulario!C520)),IF(H512=".",".","Falta Datos"))</f>
        <v>.</v>
      </c>
      <c r="H512" s="144" t="str">
        <f>IF(Formulario!D520&lt;&gt;"",IF(Formulario!D520=" ",".",Formulario!D520),".")</f>
        <v>.</v>
      </c>
      <c r="I512" s="144" t="str">
        <f>IF(Formulario!E520&lt;&gt;"",IF(Formulario!E520=" "," ",Formulario!E520),IF(G512=".",".","Falta Propietario"))</f>
        <v>.</v>
      </c>
      <c r="J512" s="144" t="str">
        <f>IF(Formulario!F520&lt;&gt;"",IF(Formulario!F520=" "," ",Formulario!F520)," ")</f>
        <v xml:space="preserve"> </v>
      </c>
      <c r="K512" s="144" t="str">
        <f>IF(Formulario!G520&lt;&gt;"",IF(Formulario!G520=" "," ",Formulario!G520)," ")</f>
        <v xml:space="preserve"> </v>
      </c>
      <c r="L512" s="144" t="str">
        <f>IF(Formulario!H520&lt;&gt;"",IF(Formulario!H520=" "," ",Formulario!H520)," ")</f>
        <v xml:space="preserve"> </v>
      </c>
      <c r="M512" s="144" t="str">
        <f>IF(Formulario!I520&lt;&gt;"",IF(Formulario!I520=" "," ",Formulario!I520)," ")</f>
        <v xml:space="preserve"> </v>
      </c>
      <c r="N512" s="145" t="str">
        <f>IF(Formulario!J520&lt;&gt;"",IF(Formulario!J520=" "," ",Formulario!J520),IF(G512=".",".","Falta Fecha"))</f>
        <v>.</v>
      </c>
      <c r="O512" s="155">
        <f>Formulario!L520</f>
        <v>0</v>
      </c>
      <c r="P512" s="146">
        <f>IF(O512=1,"09:00",Formulario!M520)</f>
        <v>0</v>
      </c>
      <c r="Q512" s="146">
        <f>IF(O512=1,"18:30",Formulario!N520)</f>
        <v>0</v>
      </c>
      <c r="R512" s="146" t="str">
        <f>IF(Formulario!O520&lt;&gt;"",IF(Formulario!O520=" ",".",Formulario!O520),".")</f>
        <v>Post Venta</v>
      </c>
      <c r="S512" s="141" t="s">
        <v>131</v>
      </c>
    </row>
    <row r="513" spans="1:19">
      <c r="A513" s="141">
        <f>Formulario!B521</f>
        <v>0</v>
      </c>
      <c r="B513" s="144" t="str">
        <f>IF(G513="."," ",Formulario!D$5)</f>
        <v xml:space="preserve"> </v>
      </c>
      <c r="C513" s="144" t="str">
        <f>IF(G513=".","",Formulario!D$6)</f>
        <v/>
      </c>
      <c r="D513" s="144" t="str">
        <f>IF(H513=".","",Formulario!D$7)</f>
        <v/>
      </c>
      <c r="E513" s="144" t="str">
        <f>IF(G513=".","",Formulario!J$5)</f>
        <v/>
      </c>
      <c r="F513" s="145" t="str">
        <f>IF(G513=".","",Formulario!J$6)</f>
        <v/>
      </c>
      <c r="G513" s="180" t="str">
        <f>IF(Formulario!C521&lt;&gt;"",IF(Formulario!C521=" ","Falta Depto",IF(H513=".","Error En Descripción",Formulario!C521)),IF(H513=".",".","Falta Datos"))</f>
        <v>.</v>
      </c>
      <c r="H513" s="144" t="str">
        <f>IF(Formulario!D521&lt;&gt;"",IF(Formulario!D521=" ",".",Formulario!D521),".")</f>
        <v>.</v>
      </c>
      <c r="I513" s="144" t="str">
        <f>IF(Formulario!E521&lt;&gt;"",IF(Formulario!E521=" "," ",Formulario!E521),IF(G513=".",".","Falta Propietario"))</f>
        <v>.</v>
      </c>
      <c r="J513" s="144" t="str">
        <f>IF(Formulario!F521&lt;&gt;"",IF(Formulario!F521=" "," ",Formulario!F521)," ")</f>
        <v xml:space="preserve"> </v>
      </c>
      <c r="K513" s="144" t="str">
        <f>IF(Formulario!G521&lt;&gt;"",IF(Formulario!G521=" "," ",Formulario!G521)," ")</f>
        <v xml:space="preserve"> </v>
      </c>
      <c r="L513" s="144" t="str">
        <f>IF(Formulario!H521&lt;&gt;"",IF(Formulario!H521=" "," ",Formulario!H521)," ")</f>
        <v xml:space="preserve"> </v>
      </c>
      <c r="M513" s="144" t="str">
        <f>IF(Formulario!I521&lt;&gt;"",IF(Formulario!I521=" "," ",Formulario!I521)," ")</f>
        <v xml:space="preserve"> </v>
      </c>
      <c r="N513" s="145" t="str">
        <f>IF(Formulario!J521&lt;&gt;"",IF(Formulario!J521=" "," ",Formulario!J521),IF(G513=".",".","Falta Fecha"))</f>
        <v>.</v>
      </c>
      <c r="O513" s="155">
        <f>Formulario!L521</f>
        <v>0</v>
      </c>
      <c r="P513" s="146">
        <f>IF(O513=1,"09:00",Formulario!M521)</f>
        <v>0</v>
      </c>
      <c r="Q513" s="146">
        <f>IF(O513=1,"18:30",Formulario!N521)</f>
        <v>0</v>
      </c>
      <c r="R513" s="146" t="str">
        <f>IF(Formulario!O521&lt;&gt;"",IF(Formulario!O521=" ",".",Formulario!O521),".")</f>
        <v>Post Venta</v>
      </c>
      <c r="S513" s="141" t="s">
        <v>131</v>
      </c>
    </row>
    <row r="514" spans="1:19">
      <c r="A514" s="141">
        <f>Formulario!B522</f>
        <v>0</v>
      </c>
      <c r="B514" s="144" t="str">
        <f>IF(G514="."," ",Formulario!D$5)</f>
        <v xml:space="preserve"> </v>
      </c>
      <c r="C514" s="144" t="str">
        <f>IF(G514=".","",Formulario!D$6)</f>
        <v/>
      </c>
      <c r="D514" s="144" t="str">
        <f>IF(H514=".","",Formulario!D$7)</f>
        <v/>
      </c>
      <c r="E514" s="144" t="str">
        <f>IF(G514=".","",Formulario!J$5)</f>
        <v/>
      </c>
      <c r="F514" s="145" t="str">
        <f>IF(G514=".","",Formulario!J$6)</f>
        <v/>
      </c>
      <c r="G514" s="180" t="str">
        <f>IF(Formulario!C522&lt;&gt;"",IF(Formulario!C522=" ","Falta Depto",IF(H514=".","Error En Descripción",Formulario!C522)),IF(H514=".",".","Falta Datos"))</f>
        <v>.</v>
      </c>
      <c r="H514" s="144" t="str">
        <f>IF(Formulario!D522&lt;&gt;"",IF(Formulario!D522=" ",".",Formulario!D522),".")</f>
        <v>.</v>
      </c>
      <c r="I514" s="144" t="str">
        <f>IF(Formulario!E522&lt;&gt;"",IF(Formulario!E522=" "," ",Formulario!E522),IF(G514=".",".","Falta Propietario"))</f>
        <v>.</v>
      </c>
      <c r="J514" s="144" t="str">
        <f>IF(Formulario!F522&lt;&gt;"",IF(Formulario!F522=" "," ",Formulario!F522)," ")</f>
        <v xml:space="preserve"> </v>
      </c>
      <c r="K514" s="144" t="str">
        <f>IF(Formulario!G522&lt;&gt;"",IF(Formulario!G522=" "," ",Formulario!G522)," ")</f>
        <v xml:space="preserve"> </v>
      </c>
      <c r="L514" s="144" t="str">
        <f>IF(Formulario!H522&lt;&gt;"",IF(Formulario!H522=" "," ",Formulario!H522)," ")</f>
        <v xml:space="preserve"> </v>
      </c>
      <c r="M514" s="144" t="str">
        <f>IF(Formulario!I522&lt;&gt;"",IF(Formulario!I522=" "," ",Formulario!I522)," ")</f>
        <v xml:space="preserve"> </v>
      </c>
      <c r="N514" s="145" t="str">
        <f>IF(Formulario!J522&lt;&gt;"",IF(Formulario!J522=" "," ",Formulario!J522),IF(G514=".",".","Falta Fecha"))</f>
        <v>.</v>
      </c>
      <c r="O514" s="155">
        <f>Formulario!L522</f>
        <v>0</v>
      </c>
      <c r="P514" s="146">
        <f>IF(O514=1,"09:00",Formulario!M522)</f>
        <v>0</v>
      </c>
      <c r="Q514" s="146">
        <f>IF(O514=1,"18:30",Formulario!N522)</f>
        <v>0</v>
      </c>
      <c r="R514" s="146" t="str">
        <f>IF(Formulario!O522&lt;&gt;"",IF(Formulario!O522=" ",".",Formulario!O522),".")</f>
        <v>Post Venta</v>
      </c>
      <c r="S514" s="141" t="s">
        <v>131</v>
      </c>
    </row>
    <row r="515" spans="1:19">
      <c r="A515" s="141">
        <f>Formulario!B523</f>
        <v>0</v>
      </c>
      <c r="B515" s="144" t="str">
        <f>IF(G515="."," ",Formulario!D$5)</f>
        <v xml:space="preserve"> </v>
      </c>
      <c r="C515" s="144" t="str">
        <f>IF(G515=".","",Formulario!D$6)</f>
        <v/>
      </c>
      <c r="D515" s="144" t="str">
        <f>IF(H515=".","",Formulario!D$7)</f>
        <v/>
      </c>
      <c r="E515" s="144" t="str">
        <f>IF(G515=".","",Formulario!J$5)</f>
        <v/>
      </c>
      <c r="F515" s="145" t="str">
        <f>IF(G515=".","",Formulario!J$6)</f>
        <v/>
      </c>
      <c r="G515" s="180" t="str">
        <f>IF(Formulario!C523&lt;&gt;"",IF(Formulario!C523=" ","Falta Depto",IF(H515=".","Error En Descripción",Formulario!C523)),IF(H515=".",".","Falta Datos"))</f>
        <v>.</v>
      </c>
      <c r="H515" s="144" t="str">
        <f>IF(Formulario!D523&lt;&gt;"",IF(Formulario!D523=" ",".",Formulario!D523),".")</f>
        <v>.</v>
      </c>
      <c r="I515" s="144" t="str">
        <f>IF(Formulario!E523&lt;&gt;"",IF(Formulario!E523=" "," ",Formulario!E523),IF(G515=".",".","Falta Propietario"))</f>
        <v>.</v>
      </c>
      <c r="J515" s="144" t="str">
        <f>IF(Formulario!F523&lt;&gt;"",IF(Formulario!F523=" "," ",Formulario!F523)," ")</f>
        <v xml:space="preserve"> </v>
      </c>
      <c r="K515" s="144" t="str">
        <f>IF(Formulario!G523&lt;&gt;"",IF(Formulario!G523=" "," ",Formulario!G523)," ")</f>
        <v xml:space="preserve"> </v>
      </c>
      <c r="L515" s="144" t="str">
        <f>IF(Formulario!H523&lt;&gt;"",IF(Formulario!H523=" "," ",Formulario!H523)," ")</f>
        <v xml:space="preserve"> </v>
      </c>
      <c r="M515" s="144" t="str">
        <f>IF(Formulario!I523&lt;&gt;"",IF(Formulario!I523=" "," ",Formulario!I523)," ")</f>
        <v xml:space="preserve"> </v>
      </c>
      <c r="N515" s="145" t="str">
        <f>IF(Formulario!J523&lt;&gt;"",IF(Formulario!J523=" "," ",Formulario!J523),IF(G515=".",".","Falta Fecha"))</f>
        <v>.</v>
      </c>
      <c r="O515" s="155">
        <f>Formulario!L523</f>
        <v>0</v>
      </c>
      <c r="P515" s="146">
        <f>IF(O515=1,"09:00",Formulario!M523)</f>
        <v>0</v>
      </c>
      <c r="Q515" s="146">
        <f>IF(O515=1,"18:30",Formulario!N523)</f>
        <v>0</v>
      </c>
      <c r="R515" s="146" t="str">
        <f>IF(Formulario!O523&lt;&gt;"",IF(Formulario!O523=" ",".",Formulario!O523),".")</f>
        <v>Post Venta</v>
      </c>
      <c r="S515" s="141" t="s">
        <v>131</v>
      </c>
    </row>
    <row r="516" spans="1:19">
      <c r="A516" s="141">
        <f>Formulario!B524</f>
        <v>0</v>
      </c>
      <c r="B516" s="144" t="str">
        <f>IF(G516="."," ",Formulario!D$5)</f>
        <v xml:space="preserve"> </v>
      </c>
      <c r="C516" s="144" t="str">
        <f>IF(G516=".","",Formulario!D$6)</f>
        <v/>
      </c>
      <c r="D516" s="144" t="str">
        <f>IF(H516=".","",Formulario!D$7)</f>
        <v/>
      </c>
      <c r="E516" s="144" t="str">
        <f>IF(G516=".","",Formulario!J$5)</f>
        <v/>
      </c>
      <c r="F516" s="145" t="str">
        <f>IF(G516=".","",Formulario!J$6)</f>
        <v/>
      </c>
      <c r="G516" s="180" t="str">
        <f>IF(Formulario!C524&lt;&gt;"",IF(Formulario!C524=" ","Falta Depto",IF(H516=".","Error En Descripción",Formulario!C524)),IF(H516=".",".","Falta Datos"))</f>
        <v>.</v>
      </c>
      <c r="H516" s="144" t="str">
        <f>IF(Formulario!D524&lt;&gt;"",IF(Formulario!D524=" ",".",Formulario!D524),".")</f>
        <v>.</v>
      </c>
      <c r="I516" s="144" t="str">
        <f>IF(Formulario!E524&lt;&gt;"",IF(Formulario!E524=" "," ",Formulario!E524),IF(G516=".",".","Falta Propietario"))</f>
        <v>.</v>
      </c>
      <c r="J516" s="144" t="str">
        <f>IF(Formulario!F524&lt;&gt;"",IF(Formulario!F524=" "," ",Formulario!F524)," ")</f>
        <v xml:space="preserve"> </v>
      </c>
      <c r="K516" s="144" t="str">
        <f>IF(Formulario!G524&lt;&gt;"",IF(Formulario!G524=" "," ",Formulario!G524)," ")</f>
        <v xml:space="preserve"> </v>
      </c>
      <c r="L516" s="144" t="str">
        <f>IF(Formulario!H524&lt;&gt;"",IF(Formulario!H524=" "," ",Formulario!H524)," ")</f>
        <v xml:space="preserve"> </v>
      </c>
      <c r="M516" s="144" t="str">
        <f>IF(Formulario!I524&lt;&gt;"",IF(Formulario!I524=" "," ",Formulario!I524)," ")</f>
        <v xml:space="preserve"> </v>
      </c>
      <c r="N516" s="145" t="str">
        <f>IF(Formulario!J524&lt;&gt;"",IF(Formulario!J524=" "," ",Formulario!J524),IF(G516=".",".","Falta Fecha"))</f>
        <v>.</v>
      </c>
      <c r="O516" s="155">
        <f>Formulario!L524</f>
        <v>0</v>
      </c>
      <c r="P516" s="146">
        <f>IF(O516=1,"09:00",Formulario!M524)</f>
        <v>0</v>
      </c>
      <c r="Q516" s="146">
        <f>IF(O516=1,"18:30",Formulario!N524)</f>
        <v>0</v>
      </c>
      <c r="R516" s="146" t="str">
        <f>IF(Formulario!O524&lt;&gt;"",IF(Formulario!O524=" ",".",Formulario!O524),".")</f>
        <v>Post Venta</v>
      </c>
      <c r="S516" s="141" t="s">
        <v>131</v>
      </c>
    </row>
    <row r="517" spans="1:19">
      <c r="A517" s="141">
        <f>Formulario!B525</f>
        <v>0</v>
      </c>
      <c r="B517" s="144" t="str">
        <f>IF(G517="."," ",Formulario!D$5)</f>
        <v xml:space="preserve"> </v>
      </c>
      <c r="C517" s="144" t="str">
        <f>IF(G517=".","",Formulario!D$6)</f>
        <v/>
      </c>
      <c r="D517" s="144" t="str">
        <f>IF(H517=".","",Formulario!D$7)</f>
        <v/>
      </c>
      <c r="E517" s="144" t="str">
        <f>IF(G517=".","",Formulario!J$5)</f>
        <v/>
      </c>
      <c r="F517" s="145" t="str">
        <f>IF(G517=".","",Formulario!J$6)</f>
        <v/>
      </c>
      <c r="G517" s="180" t="str">
        <f>IF(Formulario!C525&lt;&gt;"",IF(Formulario!C525=" ","Falta Depto",IF(H517=".","Error En Descripción",Formulario!C525)),IF(H517=".",".","Falta Datos"))</f>
        <v>.</v>
      </c>
      <c r="H517" s="144" t="str">
        <f>IF(Formulario!D525&lt;&gt;"",IF(Formulario!D525=" ",".",Formulario!D525),".")</f>
        <v>.</v>
      </c>
      <c r="I517" s="144" t="str">
        <f>IF(Formulario!E525&lt;&gt;"",IF(Formulario!E525=" "," ",Formulario!E525),IF(G517=".",".","Falta Propietario"))</f>
        <v>.</v>
      </c>
      <c r="J517" s="144" t="str">
        <f>IF(Formulario!F525&lt;&gt;"",IF(Formulario!F525=" "," ",Formulario!F525)," ")</f>
        <v xml:space="preserve"> </v>
      </c>
      <c r="K517" s="144" t="str">
        <f>IF(Formulario!G525&lt;&gt;"",IF(Formulario!G525=" "," ",Formulario!G525)," ")</f>
        <v xml:space="preserve"> </v>
      </c>
      <c r="L517" s="144" t="str">
        <f>IF(Formulario!H525&lt;&gt;"",IF(Formulario!H525=" "," ",Formulario!H525)," ")</f>
        <v xml:space="preserve"> </v>
      </c>
      <c r="M517" s="144" t="str">
        <f>IF(Formulario!I525&lt;&gt;"",IF(Formulario!I525=" "," ",Formulario!I525)," ")</f>
        <v xml:space="preserve"> </v>
      </c>
      <c r="N517" s="145" t="str">
        <f>IF(Formulario!J525&lt;&gt;"",IF(Formulario!J525=" "," ",Formulario!J525),IF(G517=".",".","Falta Fecha"))</f>
        <v>.</v>
      </c>
      <c r="O517" s="155">
        <f>Formulario!L525</f>
        <v>0</v>
      </c>
      <c r="P517" s="146">
        <f>IF(O517=1,"09:00",Formulario!M525)</f>
        <v>0</v>
      </c>
      <c r="Q517" s="146">
        <f>IF(O517=1,"18:30",Formulario!N525)</f>
        <v>0</v>
      </c>
      <c r="R517" s="146" t="str">
        <f>IF(Formulario!O525&lt;&gt;"",IF(Formulario!O525=" ",".",Formulario!O525),".")</f>
        <v>Post Venta</v>
      </c>
      <c r="S517" s="141" t="s">
        <v>131</v>
      </c>
    </row>
    <row r="518" spans="1:19">
      <c r="A518" s="141">
        <f>Formulario!B526</f>
        <v>0</v>
      </c>
      <c r="B518" s="144" t="str">
        <f>IF(G518="."," ",Formulario!D$5)</f>
        <v xml:space="preserve"> </v>
      </c>
      <c r="C518" s="144" t="str">
        <f>IF(G518=".","",Formulario!D$6)</f>
        <v/>
      </c>
      <c r="D518" s="144" t="str">
        <f>IF(H518=".","",Formulario!D$7)</f>
        <v/>
      </c>
      <c r="E518" s="144" t="str">
        <f>IF(G518=".","",Formulario!J$5)</f>
        <v/>
      </c>
      <c r="F518" s="145" t="str">
        <f>IF(G518=".","",Formulario!J$6)</f>
        <v/>
      </c>
      <c r="G518" s="180" t="str">
        <f>IF(Formulario!C526&lt;&gt;"",IF(Formulario!C526=" ","Falta Depto",IF(H518=".","Error En Descripción",Formulario!C526)),IF(H518=".",".","Falta Datos"))</f>
        <v>.</v>
      </c>
      <c r="H518" s="144" t="str">
        <f>IF(Formulario!D526&lt;&gt;"",IF(Formulario!D526=" ",".",Formulario!D526),".")</f>
        <v>.</v>
      </c>
      <c r="I518" s="144" t="str">
        <f>IF(Formulario!E526&lt;&gt;"",IF(Formulario!E526=" "," ",Formulario!E526),IF(G518=".",".","Falta Propietario"))</f>
        <v>.</v>
      </c>
      <c r="J518" s="144" t="str">
        <f>IF(Formulario!F526&lt;&gt;"",IF(Formulario!F526=" "," ",Formulario!F526)," ")</f>
        <v xml:space="preserve"> </v>
      </c>
      <c r="K518" s="144" t="str">
        <f>IF(Formulario!G526&lt;&gt;"",IF(Formulario!G526=" "," ",Formulario!G526)," ")</f>
        <v xml:space="preserve"> </v>
      </c>
      <c r="L518" s="144" t="str">
        <f>IF(Formulario!H526&lt;&gt;"",IF(Formulario!H526=" "," ",Formulario!H526)," ")</f>
        <v xml:space="preserve"> </v>
      </c>
      <c r="M518" s="144" t="str">
        <f>IF(Formulario!I526&lt;&gt;"",IF(Formulario!I526=" "," ",Formulario!I526)," ")</f>
        <v xml:space="preserve"> </v>
      </c>
      <c r="N518" s="145" t="str">
        <f>IF(Formulario!J526&lt;&gt;"",IF(Formulario!J526=" "," ",Formulario!J526),IF(G518=".",".","Falta Fecha"))</f>
        <v>.</v>
      </c>
      <c r="O518" s="155">
        <f>Formulario!L526</f>
        <v>0</v>
      </c>
      <c r="P518" s="146">
        <f>IF(O518=1,"09:00",Formulario!M526)</f>
        <v>0</v>
      </c>
      <c r="Q518" s="146">
        <f>IF(O518=1,"18:30",Formulario!N526)</f>
        <v>0</v>
      </c>
      <c r="R518" s="146" t="str">
        <f>IF(Formulario!O526&lt;&gt;"",IF(Formulario!O526=" ",".",Formulario!O526),".")</f>
        <v>Post Venta</v>
      </c>
      <c r="S518" s="141" t="s">
        <v>131</v>
      </c>
    </row>
    <row r="519" spans="1:19">
      <c r="A519" s="141">
        <f>Formulario!B527</f>
        <v>0</v>
      </c>
      <c r="B519" s="144" t="str">
        <f>IF(G519="."," ",Formulario!D$5)</f>
        <v xml:space="preserve"> </v>
      </c>
      <c r="C519" s="144" t="str">
        <f>IF(G519=".","",Formulario!D$6)</f>
        <v/>
      </c>
      <c r="D519" s="144" t="str">
        <f>IF(H519=".","",Formulario!D$7)</f>
        <v/>
      </c>
      <c r="E519" s="144" t="str">
        <f>IF(G519=".","",Formulario!J$5)</f>
        <v/>
      </c>
      <c r="F519" s="145" t="str">
        <f>IF(G519=".","",Formulario!J$6)</f>
        <v/>
      </c>
      <c r="G519" s="180" t="str">
        <f>IF(Formulario!C527&lt;&gt;"",IF(Formulario!C527=" ","Falta Depto",IF(H519=".","Error En Descripción",Formulario!C527)),IF(H519=".",".","Falta Datos"))</f>
        <v>.</v>
      </c>
      <c r="H519" s="144" t="str">
        <f>IF(Formulario!D527&lt;&gt;"",IF(Formulario!D527=" ",".",Formulario!D527),".")</f>
        <v>.</v>
      </c>
      <c r="I519" s="144" t="str">
        <f>IF(Formulario!E527&lt;&gt;"",IF(Formulario!E527=" "," ",Formulario!E527),IF(G519=".",".","Falta Propietario"))</f>
        <v>.</v>
      </c>
      <c r="J519" s="144" t="str">
        <f>IF(Formulario!F527&lt;&gt;"",IF(Formulario!F527=" "," ",Formulario!F527)," ")</f>
        <v xml:space="preserve"> </v>
      </c>
      <c r="K519" s="144" t="str">
        <f>IF(Formulario!G527&lt;&gt;"",IF(Formulario!G527=" "," ",Formulario!G527)," ")</f>
        <v xml:space="preserve"> </v>
      </c>
      <c r="L519" s="144" t="str">
        <f>IF(Formulario!H527&lt;&gt;"",IF(Formulario!H527=" "," ",Formulario!H527)," ")</f>
        <v xml:space="preserve"> </v>
      </c>
      <c r="M519" s="144" t="str">
        <f>IF(Formulario!I527&lt;&gt;"",IF(Formulario!I527=" "," ",Formulario!I527)," ")</f>
        <v xml:space="preserve"> </v>
      </c>
      <c r="N519" s="145" t="str">
        <f>IF(Formulario!J527&lt;&gt;"",IF(Formulario!J527=" "," ",Formulario!J527),IF(G519=".",".","Falta Fecha"))</f>
        <v>.</v>
      </c>
      <c r="O519" s="155">
        <f>Formulario!L527</f>
        <v>0</v>
      </c>
      <c r="P519" s="146">
        <f>IF(O519=1,"09:00",Formulario!M527)</f>
        <v>0</v>
      </c>
      <c r="Q519" s="146">
        <f>IF(O519=1,"18:30",Formulario!N527)</f>
        <v>0</v>
      </c>
      <c r="R519" s="146" t="str">
        <f>IF(Formulario!O527&lt;&gt;"",IF(Formulario!O527=" ",".",Formulario!O527),".")</f>
        <v>Post Venta</v>
      </c>
      <c r="S519" s="141" t="s">
        <v>131</v>
      </c>
    </row>
    <row r="520" spans="1:19">
      <c r="A520" s="141">
        <f>Formulario!B528</f>
        <v>0</v>
      </c>
      <c r="B520" s="144" t="str">
        <f>IF(G520="."," ",Formulario!D$5)</f>
        <v xml:space="preserve"> </v>
      </c>
      <c r="C520" s="144" t="str">
        <f>IF(G520=".","",Formulario!D$6)</f>
        <v/>
      </c>
      <c r="D520" s="144" t="str">
        <f>IF(H520=".","",Formulario!D$7)</f>
        <v/>
      </c>
      <c r="E520" s="144" t="str">
        <f>IF(G520=".","",Formulario!J$5)</f>
        <v/>
      </c>
      <c r="F520" s="145" t="str">
        <f>IF(G520=".","",Formulario!J$6)</f>
        <v/>
      </c>
      <c r="G520" s="180" t="str">
        <f>IF(Formulario!C528&lt;&gt;"",IF(Formulario!C528=" ","Falta Depto",IF(H520=".","Error En Descripción",Formulario!C528)),IF(H520=".",".","Falta Datos"))</f>
        <v>.</v>
      </c>
      <c r="H520" s="144" t="str">
        <f>IF(Formulario!D528&lt;&gt;"",IF(Formulario!D528=" ",".",Formulario!D528),".")</f>
        <v>.</v>
      </c>
      <c r="I520" s="144" t="str">
        <f>IF(Formulario!E528&lt;&gt;"",IF(Formulario!E528=" "," ",Formulario!E528),IF(G520=".",".","Falta Propietario"))</f>
        <v>.</v>
      </c>
      <c r="J520" s="144" t="str">
        <f>IF(Formulario!F528&lt;&gt;"",IF(Formulario!F528=" "," ",Formulario!F528)," ")</f>
        <v xml:space="preserve"> </v>
      </c>
      <c r="K520" s="144" t="str">
        <f>IF(Formulario!G528&lt;&gt;"",IF(Formulario!G528=" "," ",Formulario!G528)," ")</f>
        <v xml:space="preserve"> </v>
      </c>
      <c r="L520" s="144" t="str">
        <f>IF(Formulario!H528&lt;&gt;"",IF(Formulario!H528=" "," ",Formulario!H528)," ")</f>
        <v xml:space="preserve"> </v>
      </c>
      <c r="M520" s="144" t="str">
        <f>IF(Formulario!I528&lt;&gt;"",IF(Formulario!I528=" "," ",Formulario!I528)," ")</f>
        <v xml:space="preserve"> </v>
      </c>
      <c r="N520" s="145" t="str">
        <f>IF(Formulario!J528&lt;&gt;"",IF(Formulario!J528=" "," ",Formulario!J528),IF(G520=".",".","Falta Fecha"))</f>
        <v>.</v>
      </c>
      <c r="O520" s="155">
        <f>Formulario!L528</f>
        <v>0</v>
      </c>
      <c r="P520" s="146">
        <f>IF(O520=1,"09:00",Formulario!M528)</f>
        <v>0</v>
      </c>
      <c r="Q520" s="146">
        <f>IF(O520=1,"18:30",Formulario!N528)</f>
        <v>0</v>
      </c>
      <c r="R520" s="146" t="str">
        <f>IF(Formulario!O528&lt;&gt;"",IF(Formulario!O528=" ",".",Formulario!O528),".")</f>
        <v>Post Venta</v>
      </c>
      <c r="S520" s="141" t="s">
        <v>131</v>
      </c>
    </row>
    <row r="521" spans="1:19">
      <c r="A521" s="141">
        <f>Formulario!B529</f>
        <v>0</v>
      </c>
      <c r="B521" s="144" t="str">
        <f>IF(G521="."," ",Formulario!D$5)</f>
        <v xml:space="preserve"> </v>
      </c>
      <c r="C521" s="144" t="str">
        <f>IF(G521=".","",Formulario!D$6)</f>
        <v/>
      </c>
      <c r="D521" s="144" t="str">
        <f>IF(H521=".","",Formulario!D$7)</f>
        <v/>
      </c>
      <c r="E521" s="144" t="str">
        <f>IF(G521=".","",Formulario!J$5)</f>
        <v/>
      </c>
      <c r="F521" s="145" t="str">
        <f>IF(G521=".","",Formulario!J$6)</f>
        <v/>
      </c>
      <c r="G521" s="180" t="str">
        <f>IF(Formulario!C529&lt;&gt;"",IF(Formulario!C529=" ","Falta Depto",IF(H521=".","Error En Descripción",Formulario!C529)),IF(H521=".",".","Falta Datos"))</f>
        <v>.</v>
      </c>
      <c r="H521" s="144" t="str">
        <f>IF(Formulario!D529&lt;&gt;"",IF(Formulario!D529=" ",".",Formulario!D529),".")</f>
        <v>.</v>
      </c>
      <c r="I521" s="144" t="str">
        <f>IF(Formulario!E529&lt;&gt;"",IF(Formulario!E529=" "," ",Formulario!E529),IF(G521=".",".","Falta Propietario"))</f>
        <v>.</v>
      </c>
      <c r="J521" s="144" t="str">
        <f>IF(Formulario!F529&lt;&gt;"",IF(Formulario!F529=" "," ",Formulario!F529)," ")</f>
        <v xml:space="preserve"> </v>
      </c>
      <c r="K521" s="144" t="str">
        <f>IF(Formulario!G529&lt;&gt;"",IF(Formulario!G529=" "," ",Formulario!G529)," ")</f>
        <v xml:space="preserve"> </v>
      </c>
      <c r="L521" s="144" t="str">
        <f>IF(Formulario!H529&lt;&gt;"",IF(Formulario!H529=" "," ",Formulario!H529)," ")</f>
        <v xml:space="preserve"> </v>
      </c>
      <c r="M521" s="144" t="str">
        <f>IF(Formulario!I529&lt;&gt;"",IF(Formulario!I529=" "," ",Formulario!I529)," ")</f>
        <v xml:space="preserve"> </v>
      </c>
      <c r="N521" s="145" t="str">
        <f>IF(Formulario!J529&lt;&gt;"",IF(Formulario!J529=" "," ",Formulario!J529),IF(G521=".",".","Falta Fecha"))</f>
        <v>.</v>
      </c>
      <c r="O521" s="155">
        <f>Formulario!L529</f>
        <v>0</v>
      </c>
      <c r="P521" s="146">
        <f>IF(O521=1,"09:00",Formulario!M529)</f>
        <v>0</v>
      </c>
      <c r="Q521" s="146">
        <f>IF(O521=1,"18:30",Formulario!N529)</f>
        <v>0</v>
      </c>
      <c r="R521" s="146" t="str">
        <f>IF(Formulario!O529&lt;&gt;"",IF(Formulario!O529=" ",".",Formulario!O529),".")</f>
        <v>Post Venta</v>
      </c>
      <c r="S521" s="141" t="s">
        <v>131</v>
      </c>
    </row>
    <row r="522" spans="1:19">
      <c r="A522" s="141">
        <f>Formulario!B530</f>
        <v>0</v>
      </c>
      <c r="B522" s="144" t="str">
        <f>IF(G522="."," ",Formulario!D$5)</f>
        <v xml:space="preserve"> </v>
      </c>
      <c r="C522" s="144" t="str">
        <f>IF(G522=".","",Formulario!D$6)</f>
        <v/>
      </c>
      <c r="D522" s="144" t="str">
        <f>IF(H522=".","",Formulario!D$7)</f>
        <v/>
      </c>
      <c r="E522" s="144" t="str">
        <f>IF(G522=".","",Formulario!J$5)</f>
        <v/>
      </c>
      <c r="F522" s="145" t="str">
        <f>IF(G522=".","",Formulario!J$6)</f>
        <v/>
      </c>
      <c r="G522" s="180" t="str">
        <f>IF(Formulario!C530&lt;&gt;"",IF(Formulario!C530=" ","Falta Depto",IF(H522=".","Error En Descripción",Formulario!C530)),IF(H522=".",".","Falta Datos"))</f>
        <v>.</v>
      </c>
      <c r="H522" s="144" t="str">
        <f>IF(Formulario!D530&lt;&gt;"",IF(Formulario!D530=" ",".",Formulario!D530),".")</f>
        <v>.</v>
      </c>
      <c r="I522" s="144" t="str">
        <f>IF(Formulario!E530&lt;&gt;"",IF(Formulario!E530=" "," ",Formulario!E530),IF(G522=".",".","Falta Propietario"))</f>
        <v>.</v>
      </c>
      <c r="J522" s="144" t="str">
        <f>IF(Formulario!F530&lt;&gt;"",IF(Formulario!F530=" "," ",Formulario!F530)," ")</f>
        <v xml:space="preserve"> </v>
      </c>
      <c r="K522" s="144" t="str">
        <f>IF(Formulario!G530&lt;&gt;"",IF(Formulario!G530=" "," ",Formulario!G530)," ")</f>
        <v xml:space="preserve"> </v>
      </c>
      <c r="L522" s="144" t="str">
        <f>IF(Formulario!H530&lt;&gt;"",IF(Formulario!H530=" "," ",Formulario!H530)," ")</f>
        <v xml:space="preserve"> </v>
      </c>
      <c r="M522" s="144" t="str">
        <f>IF(Formulario!I530&lt;&gt;"",IF(Formulario!I530=" "," ",Formulario!I530)," ")</f>
        <v xml:space="preserve"> </v>
      </c>
      <c r="N522" s="145" t="str">
        <f>IF(Formulario!J530&lt;&gt;"",IF(Formulario!J530=" "," ",Formulario!J530),IF(G522=".",".","Falta Fecha"))</f>
        <v>.</v>
      </c>
      <c r="O522" s="155">
        <f>Formulario!L530</f>
        <v>0</v>
      </c>
      <c r="P522" s="146">
        <f>IF(O522=1,"09:00",Formulario!M530)</f>
        <v>0</v>
      </c>
      <c r="Q522" s="146">
        <f>IF(O522=1,"18:30",Formulario!N530)</f>
        <v>0</v>
      </c>
      <c r="R522" s="146" t="str">
        <f>IF(Formulario!O530&lt;&gt;"",IF(Formulario!O530=" ",".",Formulario!O530),".")</f>
        <v>Post Venta</v>
      </c>
      <c r="S522" s="141" t="s">
        <v>131</v>
      </c>
    </row>
    <row r="523" spans="1:19">
      <c r="A523" s="141">
        <f>Formulario!B531</f>
        <v>0</v>
      </c>
      <c r="B523" s="144" t="str">
        <f>IF(G523="."," ",Formulario!D$5)</f>
        <v xml:space="preserve"> </v>
      </c>
      <c r="C523" s="144" t="str">
        <f>IF(G523=".","",Formulario!D$6)</f>
        <v/>
      </c>
      <c r="D523" s="144" t="str">
        <f>IF(H523=".","",Formulario!D$7)</f>
        <v/>
      </c>
      <c r="E523" s="144" t="str">
        <f>IF(G523=".","",Formulario!J$5)</f>
        <v/>
      </c>
      <c r="F523" s="145" t="str">
        <f>IF(G523=".","",Formulario!J$6)</f>
        <v/>
      </c>
      <c r="G523" s="180" t="str">
        <f>IF(Formulario!C531&lt;&gt;"",IF(Formulario!C531=" ","Falta Depto",IF(H523=".","Error En Descripción",Formulario!C531)),IF(H523=".",".","Falta Datos"))</f>
        <v>.</v>
      </c>
      <c r="H523" s="144" t="str">
        <f>IF(Formulario!D531&lt;&gt;"",IF(Formulario!D531=" ",".",Formulario!D531),".")</f>
        <v>.</v>
      </c>
      <c r="I523" s="144" t="str">
        <f>IF(Formulario!E531&lt;&gt;"",IF(Formulario!E531=" "," ",Formulario!E531),IF(G523=".",".","Falta Propietario"))</f>
        <v>.</v>
      </c>
      <c r="J523" s="144" t="str">
        <f>IF(Formulario!F531&lt;&gt;"",IF(Formulario!F531=" "," ",Formulario!F531)," ")</f>
        <v xml:space="preserve"> </v>
      </c>
      <c r="K523" s="144" t="str">
        <f>IF(Formulario!G531&lt;&gt;"",IF(Formulario!G531=" "," ",Formulario!G531)," ")</f>
        <v xml:space="preserve"> </v>
      </c>
      <c r="L523" s="144" t="str">
        <f>IF(Formulario!H531&lt;&gt;"",IF(Formulario!H531=" "," ",Formulario!H531)," ")</f>
        <v xml:space="preserve"> </v>
      </c>
      <c r="M523" s="144" t="str">
        <f>IF(Formulario!I531&lt;&gt;"",IF(Formulario!I531=" "," ",Formulario!I531)," ")</f>
        <v xml:space="preserve"> </v>
      </c>
      <c r="N523" s="145" t="str">
        <f>IF(Formulario!J531&lt;&gt;"",IF(Formulario!J531=" "," ",Formulario!J531),IF(G523=".",".","Falta Fecha"))</f>
        <v>.</v>
      </c>
      <c r="O523" s="155">
        <f>Formulario!L531</f>
        <v>0</v>
      </c>
      <c r="P523" s="146">
        <f>IF(O523=1,"09:00",Formulario!M531)</f>
        <v>0</v>
      </c>
      <c r="Q523" s="146">
        <f>IF(O523=1,"18:30",Formulario!N531)</f>
        <v>0</v>
      </c>
      <c r="R523" s="146" t="str">
        <f>IF(Formulario!O531&lt;&gt;"",IF(Formulario!O531=" ",".",Formulario!O531),".")</f>
        <v>Post Venta</v>
      </c>
      <c r="S523" s="141" t="s">
        <v>131</v>
      </c>
    </row>
    <row r="524" spans="1:19">
      <c r="A524" s="141">
        <f>Formulario!B532</f>
        <v>0</v>
      </c>
      <c r="B524" s="144" t="str">
        <f>IF(G524="."," ",Formulario!D$5)</f>
        <v xml:space="preserve"> </v>
      </c>
      <c r="C524" s="144" t="str">
        <f>IF(G524=".","",Formulario!D$6)</f>
        <v/>
      </c>
      <c r="D524" s="144" t="str">
        <f>IF(H524=".","",Formulario!D$7)</f>
        <v/>
      </c>
      <c r="E524" s="144" t="str">
        <f>IF(G524=".","",Formulario!J$5)</f>
        <v/>
      </c>
      <c r="F524" s="145" t="str">
        <f>IF(G524=".","",Formulario!J$6)</f>
        <v/>
      </c>
      <c r="G524" s="180" t="str">
        <f>IF(Formulario!C532&lt;&gt;"",IF(Formulario!C532=" ","Falta Depto",IF(H524=".","Error En Descripción",Formulario!C532)),IF(H524=".",".","Falta Datos"))</f>
        <v>.</v>
      </c>
      <c r="H524" s="144" t="str">
        <f>IF(Formulario!D532&lt;&gt;"",IF(Formulario!D532=" ",".",Formulario!D532),".")</f>
        <v>.</v>
      </c>
      <c r="I524" s="144" t="str">
        <f>IF(Formulario!E532&lt;&gt;"",IF(Formulario!E532=" "," ",Formulario!E532),IF(G524=".",".","Falta Propietario"))</f>
        <v>.</v>
      </c>
      <c r="J524" s="144" t="str">
        <f>IF(Formulario!F532&lt;&gt;"",IF(Formulario!F532=" "," ",Formulario!F532)," ")</f>
        <v xml:space="preserve"> </v>
      </c>
      <c r="K524" s="144" t="str">
        <f>IF(Formulario!G532&lt;&gt;"",IF(Formulario!G532=" "," ",Formulario!G532)," ")</f>
        <v xml:space="preserve"> </v>
      </c>
      <c r="L524" s="144" t="str">
        <f>IF(Formulario!H532&lt;&gt;"",IF(Formulario!H532=" "," ",Formulario!H532)," ")</f>
        <v xml:space="preserve"> </v>
      </c>
      <c r="M524" s="144" t="str">
        <f>IF(Formulario!I532&lt;&gt;"",IF(Formulario!I532=" "," ",Formulario!I532)," ")</f>
        <v xml:space="preserve"> </v>
      </c>
      <c r="N524" s="145" t="str">
        <f>IF(Formulario!J532&lt;&gt;"",IF(Formulario!J532=" "," ",Formulario!J532),IF(G524=".",".","Falta Fecha"))</f>
        <v>.</v>
      </c>
      <c r="O524" s="155">
        <f>Formulario!L532</f>
        <v>0</v>
      </c>
      <c r="P524" s="146">
        <f>IF(O524=1,"09:00",Formulario!M532)</f>
        <v>0</v>
      </c>
      <c r="Q524" s="146">
        <f>IF(O524=1,"18:30",Formulario!N532)</f>
        <v>0</v>
      </c>
      <c r="R524" s="146" t="str">
        <f>IF(Formulario!O532&lt;&gt;"",IF(Formulario!O532=" ",".",Formulario!O532),".")</f>
        <v>Post Venta</v>
      </c>
      <c r="S524" s="141" t="s">
        <v>131</v>
      </c>
    </row>
    <row r="525" spans="1:19">
      <c r="A525" s="141">
        <f>Formulario!B533</f>
        <v>0</v>
      </c>
      <c r="B525" s="144" t="str">
        <f>IF(G525="."," ",Formulario!D$5)</f>
        <v xml:space="preserve"> </v>
      </c>
      <c r="C525" s="144" t="str">
        <f>IF(G525=".","",Formulario!D$6)</f>
        <v/>
      </c>
      <c r="D525" s="144" t="str">
        <f>IF(H525=".","",Formulario!D$7)</f>
        <v/>
      </c>
      <c r="E525" s="144" t="str">
        <f>IF(G525=".","",Formulario!J$5)</f>
        <v/>
      </c>
      <c r="F525" s="145" t="str">
        <f>IF(G525=".","",Formulario!J$6)</f>
        <v/>
      </c>
      <c r="G525" s="180" t="str">
        <f>IF(Formulario!C533&lt;&gt;"",IF(Formulario!C533=" ","Falta Depto",IF(H525=".","Error En Descripción",Formulario!C533)),IF(H525=".",".","Falta Datos"))</f>
        <v>.</v>
      </c>
      <c r="H525" s="144" t="str">
        <f>IF(Formulario!D533&lt;&gt;"",IF(Formulario!D533=" ",".",Formulario!D533),".")</f>
        <v>.</v>
      </c>
      <c r="I525" s="144" t="str">
        <f>IF(Formulario!E533&lt;&gt;"",IF(Formulario!E533=" "," ",Formulario!E533),IF(G525=".",".","Falta Propietario"))</f>
        <v>.</v>
      </c>
      <c r="J525" s="144" t="str">
        <f>IF(Formulario!F533&lt;&gt;"",IF(Formulario!F533=" "," ",Formulario!F533)," ")</f>
        <v xml:space="preserve"> </v>
      </c>
      <c r="K525" s="144" t="str">
        <f>IF(Formulario!G533&lt;&gt;"",IF(Formulario!G533=" "," ",Formulario!G533)," ")</f>
        <v xml:space="preserve"> </v>
      </c>
      <c r="L525" s="144" t="str">
        <f>IF(Formulario!H533&lt;&gt;"",IF(Formulario!H533=" "," ",Formulario!H533)," ")</f>
        <v xml:space="preserve"> </v>
      </c>
      <c r="M525" s="144" t="str">
        <f>IF(Formulario!I533&lt;&gt;"",IF(Formulario!I533=" "," ",Formulario!I533)," ")</f>
        <v xml:space="preserve"> </v>
      </c>
      <c r="N525" s="145" t="str">
        <f>IF(Formulario!J533&lt;&gt;"",IF(Formulario!J533=" "," ",Formulario!J533),IF(G525=".",".","Falta Fecha"))</f>
        <v>.</v>
      </c>
      <c r="O525" s="155">
        <f>Formulario!L533</f>
        <v>0</v>
      </c>
      <c r="P525" s="146">
        <f>IF(O525=1,"09:00",Formulario!M533)</f>
        <v>0</v>
      </c>
      <c r="Q525" s="146">
        <f>IF(O525=1,"18:30",Formulario!N533)</f>
        <v>0</v>
      </c>
      <c r="R525" s="146" t="str">
        <f>IF(Formulario!O533&lt;&gt;"",IF(Formulario!O533=" ",".",Formulario!O533),".")</f>
        <v>Post Venta</v>
      </c>
      <c r="S525" s="141" t="s">
        <v>131</v>
      </c>
    </row>
    <row r="526" spans="1:19">
      <c r="A526" s="141">
        <f>Formulario!B534</f>
        <v>0</v>
      </c>
      <c r="B526" s="144" t="str">
        <f>IF(G526="."," ",Formulario!D$5)</f>
        <v xml:space="preserve"> </v>
      </c>
      <c r="C526" s="144" t="str">
        <f>IF(G526=".","",Formulario!D$6)</f>
        <v/>
      </c>
      <c r="D526" s="144" t="str">
        <f>IF(H526=".","",Formulario!D$7)</f>
        <v/>
      </c>
      <c r="E526" s="144" t="str">
        <f>IF(G526=".","",Formulario!J$5)</f>
        <v/>
      </c>
      <c r="F526" s="145" t="str">
        <f>IF(G526=".","",Formulario!J$6)</f>
        <v/>
      </c>
      <c r="G526" s="180" t="str">
        <f>IF(Formulario!C534&lt;&gt;"",IF(Formulario!C534=" ","Falta Depto",IF(H526=".","Error En Descripción",Formulario!C534)),IF(H526=".",".","Falta Datos"))</f>
        <v>.</v>
      </c>
      <c r="H526" s="144" t="str">
        <f>IF(Formulario!D534&lt;&gt;"",IF(Formulario!D534=" ",".",Formulario!D534),".")</f>
        <v>.</v>
      </c>
      <c r="I526" s="144" t="str">
        <f>IF(Formulario!E534&lt;&gt;"",IF(Formulario!E534=" "," ",Formulario!E534),IF(G526=".",".","Falta Propietario"))</f>
        <v>.</v>
      </c>
      <c r="J526" s="144" t="str">
        <f>IF(Formulario!F534&lt;&gt;"",IF(Formulario!F534=" "," ",Formulario!F534)," ")</f>
        <v xml:space="preserve"> </v>
      </c>
      <c r="K526" s="144" t="str">
        <f>IF(Formulario!G534&lt;&gt;"",IF(Formulario!G534=" "," ",Formulario!G534)," ")</f>
        <v xml:space="preserve"> </v>
      </c>
      <c r="L526" s="144" t="str">
        <f>IF(Formulario!H534&lt;&gt;"",IF(Formulario!H534=" "," ",Formulario!H534)," ")</f>
        <v xml:space="preserve"> </v>
      </c>
      <c r="M526" s="144" t="str">
        <f>IF(Formulario!I534&lt;&gt;"",IF(Formulario!I534=" "," ",Formulario!I534)," ")</f>
        <v xml:space="preserve"> </v>
      </c>
      <c r="N526" s="145" t="str">
        <f>IF(Formulario!J534&lt;&gt;"",IF(Formulario!J534=" "," ",Formulario!J534),IF(G526=".",".","Falta Fecha"))</f>
        <v>.</v>
      </c>
      <c r="O526" s="155">
        <f>Formulario!L534</f>
        <v>0</v>
      </c>
      <c r="P526" s="146">
        <f>IF(O526=1,"09:00",Formulario!M534)</f>
        <v>0</v>
      </c>
      <c r="Q526" s="146">
        <f>IF(O526=1,"18:30",Formulario!N534)</f>
        <v>0</v>
      </c>
      <c r="R526" s="146" t="str">
        <f>IF(Formulario!O534&lt;&gt;"",IF(Formulario!O534=" ",".",Formulario!O534),".")</f>
        <v>Post Venta</v>
      </c>
      <c r="S526" s="141" t="s">
        <v>131</v>
      </c>
    </row>
    <row r="527" spans="1:19">
      <c r="A527" s="141">
        <f>Formulario!B535</f>
        <v>0</v>
      </c>
      <c r="B527" s="144" t="str">
        <f>IF(G527="."," ",Formulario!D$5)</f>
        <v xml:space="preserve"> </v>
      </c>
      <c r="C527" s="144" t="str">
        <f>IF(G527=".","",Formulario!D$6)</f>
        <v/>
      </c>
      <c r="D527" s="144" t="str">
        <f>IF(H527=".","",Formulario!D$7)</f>
        <v/>
      </c>
      <c r="E527" s="144" t="str">
        <f>IF(G527=".","",Formulario!J$5)</f>
        <v/>
      </c>
      <c r="F527" s="145" t="str">
        <f>IF(G527=".","",Formulario!J$6)</f>
        <v/>
      </c>
      <c r="G527" s="180" t="str">
        <f>IF(Formulario!C535&lt;&gt;"",IF(Formulario!C535=" ","Falta Depto",IF(H527=".","Error En Descripción",Formulario!C535)),IF(H527=".",".","Falta Datos"))</f>
        <v>.</v>
      </c>
      <c r="H527" s="144" t="str">
        <f>IF(Formulario!D535&lt;&gt;"",IF(Formulario!D535=" ",".",Formulario!D535),".")</f>
        <v>.</v>
      </c>
      <c r="I527" s="144" t="str">
        <f>IF(Formulario!E535&lt;&gt;"",IF(Formulario!E535=" "," ",Formulario!E535),IF(G527=".",".","Falta Propietario"))</f>
        <v>.</v>
      </c>
      <c r="J527" s="144" t="str">
        <f>IF(Formulario!F535&lt;&gt;"",IF(Formulario!F535=" "," ",Formulario!F535)," ")</f>
        <v xml:space="preserve"> </v>
      </c>
      <c r="K527" s="144" t="str">
        <f>IF(Formulario!G535&lt;&gt;"",IF(Formulario!G535=" "," ",Formulario!G535)," ")</f>
        <v xml:space="preserve"> </v>
      </c>
      <c r="L527" s="144" t="str">
        <f>IF(Formulario!H535&lt;&gt;"",IF(Formulario!H535=" "," ",Formulario!H535)," ")</f>
        <v xml:space="preserve"> </v>
      </c>
      <c r="M527" s="144" t="str">
        <f>IF(Formulario!I535&lt;&gt;"",IF(Formulario!I535=" "," ",Formulario!I535)," ")</f>
        <v xml:space="preserve"> </v>
      </c>
      <c r="N527" s="145" t="str">
        <f>IF(Formulario!J535&lt;&gt;"",IF(Formulario!J535=" "," ",Formulario!J535),IF(G527=".",".","Falta Fecha"))</f>
        <v>.</v>
      </c>
      <c r="O527" s="155">
        <f>Formulario!L535</f>
        <v>0</v>
      </c>
      <c r="P527" s="146">
        <f>IF(O527=1,"09:00",Formulario!M535)</f>
        <v>0</v>
      </c>
      <c r="Q527" s="146">
        <f>IF(O527=1,"18:30",Formulario!N535)</f>
        <v>0</v>
      </c>
      <c r="R527" s="146" t="str">
        <f>IF(Formulario!O535&lt;&gt;"",IF(Formulario!O535=" ",".",Formulario!O535),".")</f>
        <v>Post Venta</v>
      </c>
      <c r="S527" s="141" t="s">
        <v>131</v>
      </c>
    </row>
    <row r="528" spans="1:19">
      <c r="A528" s="141">
        <f>Formulario!B536</f>
        <v>0</v>
      </c>
      <c r="B528" s="144" t="str">
        <f>IF(G528="."," ",Formulario!D$5)</f>
        <v xml:space="preserve"> </v>
      </c>
      <c r="C528" s="144" t="str">
        <f>IF(G528=".","",Formulario!D$6)</f>
        <v/>
      </c>
      <c r="D528" s="144" t="str">
        <f>IF(H528=".","",Formulario!D$7)</f>
        <v/>
      </c>
      <c r="E528" s="144" t="str">
        <f>IF(G528=".","",Formulario!J$5)</f>
        <v/>
      </c>
      <c r="F528" s="145" t="str">
        <f>IF(G528=".","",Formulario!J$6)</f>
        <v/>
      </c>
      <c r="G528" s="180" t="str">
        <f>IF(Formulario!C536&lt;&gt;"",IF(Formulario!C536=" ","Falta Depto",IF(H528=".","Error En Descripción",Formulario!C536)),IF(H528=".",".","Falta Datos"))</f>
        <v>.</v>
      </c>
      <c r="H528" s="144" t="str">
        <f>IF(Formulario!D536&lt;&gt;"",IF(Formulario!D536=" ",".",Formulario!D536),".")</f>
        <v>.</v>
      </c>
      <c r="I528" s="144" t="str">
        <f>IF(Formulario!E536&lt;&gt;"",IF(Formulario!E536=" "," ",Formulario!E536),IF(G528=".",".","Falta Propietario"))</f>
        <v>.</v>
      </c>
      <c r="J528" s="144" t="str">
        <f>IF(Formulario!F536&lt;&gt;"",IF(Formulario!F536=" "," ",Formulario!F536)," ")</f>
        <v xml:space="preserve"> </v>
      </c>
      <c r="K528" s="144" t="str">
        <f>IF(Formulario!G536&lt;&gt;"",IF(Formulario!G536=" "," ",Formulario!G536)," ")</f>
        <v xml:space="preserve"> </v>
      </c>
      <c r="L528" s="144" t="str">
        <f>IF(Formulario!H536&lt;&gt;"",IF(Formulario!H536=" "," ",Formulario!H536)," ")</f>
        <v xml:space="preserve"> </v>
      </c>
      <c r="M528" s="144" t="str">
        <f>IF(Formulario!I536&lt;&gt;"",IF(Formulario!I536=" "," ",Formulario!I536)," ")</f>
        <v xml:space="preserve"> </v>
      </c>
      <c r="N528" s="145" t="str">
        <f>IF(Formulario!J536&lt;&gt;"",IF(Formulario!J536=" "," ",Formulario!J536),IF(G528=".",".","Falta Fecha"))</f>
        <v>.</v>
      </c>
      <c r="O528" s="155">
        <f>Formulario!L536</f>
        <v>0</v>
      </c>
      <c r="P528" s="146">
        <f>IF(O528=1,"09:00",Formulario!M536)</f>
        <v>0</v>
      </c>
      <c r="Q528" s="146">
        <f>IF(O528=1,"18:30",Formulario!N536)</f>
        <v>0</v>
      </c>
      <c r="R528" s="146" t="str">
        <f>IF(Formulario!O536&lt;&gt;"",IF(Formulario!O536=" ",".",Formulario!O536),".")</f>
        <v>Post Venta</v>
      </c>
      <c r="S528" s="141" t="s">
        <v>131</v>
      </c>
    </row>
    <row r="529" spans="1:19">
      <c r="A529" s="141">
        <f>Formulario!B537</f>
        <v>0</v>
      </c>
      <c r="B529" s="144" t="str">
        <f>IF(G529="."," ",Formulario!D$5)</f>
        <v xml:space="preserve"> </v>
      </c>
      <c r="C529" s="144" t="str">
        <f>IF(G529=".","",Formulario!D$6)</f>
        <v/>
      </c>
      <c r="D529" s="144" t="str">
        <f>IF(H529=".","",Formulario!D$7)</f>
        <v/>
      </c>
      <c r="E529" s="144" t="str">
        <f>IF(G529=".","",Formulario!J$5)</f>
        <v/>
      </c>
      <c r="F529" s="145" t="str">
        <f>IF(G529=".","",Formulario!J$6)</f>
        <v/>
      </c>
      <c r="G529" s="180" t="str">
        <f>IF(Formulario!C537&lt;&gt;"",IF(Formulario!C537=" ","Falta Depto",IF(H529=".","Error En Descripción",Formulario!C537)),IF(H529=".",".","Falta Datos"))</f>
        <v>.</v>
      </c>
      <c r="H529" s="144" t="str">
        <f>IF(Formulario!D537&lt;&gt;"",IF(Formulario!D537=" ",".",Formulario!D537),".")</f>
        <v>.</v>
      </c>
      <c r="I529" s="144" t="str">
        <f>IF(Formulario!E537&lt;&gt;"",IF(Formulario!E537=" "," ",Formulario!E537),IF(G529=".",".","Falta Propietario"))</f>
        <v>.</v>
      </c>
      <c r="J529" s="144" t="str">
        <f>IF(Formulario!F537&lt;&gt;"",IF(Formulario!F537=" "," ",Formulario!F537)," ")</f>
        <v xml:space="preserve"> </v>
      </c>
      <c r="K529" s="144" t="str">
        <f>IF(Formulario!G537&lt;&gt;"",IF(Formulario!G537=" "," ",Formulario!G537)," ")</f>
        <v xml:space="preserve"> </v>
      </c>
      <c r="L529" s="144" t="str">
        <f>IF(Formulario!H537&lt;&gt;"",IF(Formulario!H537=" "," ",Formulario!H537)," ")</f>
        <v xml:space="preserve"> </v>
      </c>
      <c r="M529" s="144" t="str">
        <f>IF(Formulario!I537&lt;&gt;"",IF(Formulario!I537=" "," ",Formulario!I537)," ")</f>
        <v xml:space="preserve"> </v>
      </c>
      <c r="N529" s="145" t="str">
        <f>IF(Formulario!J537&lt;&gt;"",IF(Formulario!J537=" "," ",Formulario!J537),IF(G529=".",".","Falta Fecha"))</f>
        <v>.</v>
      </c>
      <c r="O529" s="155">
        <f>Formulario!L537</f>
        <v>0</v>
      </c>
      <c r="P529" s="146">
        <f>IF(O529=1,"09:00",Formulario!M537)</f>
        <v>0</v>
      </c>
      <c r="Q529" s="146">
        <f>IF(O529=1,"18:30",Formulario!N537)</f>
        <v>0</v>
      </c>
      <c r="R529" s="146" t="str">
        <f>IF(Formulario!O537&lt;&gt;"",IF(Formulario!O537=" ",".",Formulario!O537),".")</f>
        <v>Post Venta</v>
      </c>
      <c r="S529" s="141" t="s">
        <v>131</v>
      </c>
    </row>
    <row r="530" spans="1:19">
      <c r="A530" s="141">
        <f>Formulario!B538</f>
        <v>0</v>
      </c>
      <c r="B530" s="144" t="str">
        <f>IF(G530="."," ",Formulario!D$5)</f>
        <v xml:space="preserve"> </v>
      </c>
      <c r="C530" s="144" t="str">
        <f>IF(G530=".","",Formulario!D$6)</f>
        <v/>
      </c>
      <c r="D530" s="144" t="str">
        <f>IF(H530=".","",Formulario!D$7)</f>
        <v/>
      </c>
      <c r="E530" s="144" t="str">
        <f>IF(G530=".","",Formulario!J$5)</f>
        <v/>
      </c>
      <c r="F530" s="145" t="str">
        <f>IF(G530=".","",Formulario!J$6)</f>
        <v/>
      </c>
      <c r="G530" s="180" t="str">
        <f>IF(Formulario!C538&lt;&gt;"",IF(Formulario!C538=" ","Falta Depto",IF(H530=".","Error En Descripción",Formulario!C538)),IF(H530=".",".","Falta Datos"))</f>
        <v>.</v>
      </c>
      <c r="H530" s="144" t="str">
        <f>IF(Formulario!D538&lt;&gt;"",IF(Formulario!D538=" ",".",Formulario!D538),".")</f>
        <v>.</v>
      </c>
      <c r="I530" s="144" t="str">
        <f>IF(Formulario!E538&lt;&gt;"",IF(Formulario!E538=" "," ",Formulario!E538),IF(G530=".",".","Falta Propietario"))</f>
        <v>.</v>
      </c>
      <c r="J530" s="144" t="str">
        <f>IF(Formulario!F538&lt;&gt;"",IF(Formulario!F538=" "," ",Formulario!F538)," ")</f>
        <v xml:space="preserve"> </v>
      </c>
      <c r="K530" s="144" t="str">
        <f>IF(Formulario!G538&lt;&gt;"",IF(Formulario!G538=" "," ",Formulario!G538)," ")</f>
        <v xml:space="preserve"> </v>
      </c>
      <c r="L530" s="144" t="str">
        <f>IF(Formulario!H538&lt;&gt;"",IF(Formulario!H538=" "," ",Formulario!H538)," ")</f>
        <v xml:space="preserve"> </v>
      </c>
      <c r="M530" s="144" t="str">
        <f>IF(Formulario!I538&lt;&gt;"",IF(Formulario!I538=" "," ",Formulario!I538)," ")</f>
        <v xml:space="preserve"> </v>
      </c>
      <c r="N530" s="145" t="str">
        <f>IF(Formulario!J538&lt;&gt;"",IF(Formulario!J538=" "," ",Formulario!J538),IF(G530=".",".","Falta Fecha"))</f>
        <v>.</v>
      </c>
      <c r="O530" s="155">
        <f>Formulario!L538</f>
        <v>0</v>
      </c>
      <c r="P530" s="146">
        <f>IF(O530=1,"09:00",Formulario!M538)</f>
        <v>0</v>
      </c>
      <c r="Q530" s="146">
        <f>IF(O530=1,"18:30",Formulario!N538)</f>
        <v>0</v>
      </c>
      <c r="R530" s="146" t="str">
        <f>IF(Formulario!O538&lt;&gt;"",IF(Formulario!O538=" ",".",Formulario!O538),".")</f>
        <v>Post Venta</v>
      </c>
      <c r="S530" s="141" t="s">
        <v>131</v>
      </c>
    </row>
    <row r="531" spans="1:19">
      <c r="A531" s="141">
        <f>Formulario!B539</f>
        <v>0</v>
      </c>
      <c r="B531" s="144" t="str">
        <f>IF(G531="."," ",Formulario!D$5)</f>
        <v xml:space="preserve"> </v>
      </c>
      <c r="C531" s="144" t="str">
        <f>IF(G531=".","",Formulario!D$6)</f>
        <v/>
      </c>
      <c r="D531" s="144" t="str">
        <f>IF(H531=".","",Formulario!D$7)</f>
        <v/>
      </c>
      <c r="E531" s="144" t="str">
        <f>IF(G531=".","",Formulario!J$5)</f>
        <v/>
      </c>
      <c r="F531" s="145" t="str">
        <f>IF(G531=".","",Formulario!J$6)</f>
        <v/>
      </c>
      <c r="G531" s="180" t="str">
        <f>IF(Formulario!C539&lt;&gt;"",IF(Formulario!C539=" ","Falta Depto",IF(H531=".","Error En Descripción",Formulario!C539)),IF(H531=".",".","Falta Datos"))</f>
        <v>.</v>
      </c>
      <c r="H531" s="144" t="str">
        <f>IF(Formulario!D539&lt;&gt;"",IF(Formulario!D539=" ",".",Formulario!D539),".")</f>
        <v>.</v>
      </c>
      <c r="I531" s="144" t="str">
        <f>IF(Formulario!E539&lt;&gt;"",IF(Formulario!E539=" "," ",Formulario!E539),IF(G531=".",".","Falta Propietario"))</f>
        <v>.</v>
      </c>
      <c r="J531" s="144" t="str">
        <f>IF(Formulario!F539&lt;&gt;"",IF(Formulario!F539=" "," ",Formulario!F539)," ")</f>
        <v xml:space="preserve"> </v>
      </c>
      <c r="K531" s="144" t="str">
        <f>IF(Formulario!G539&lt;&gt;"",IF(Formulario!G539=" "," ",Formulario!G539)," ")</f>
        <v xml:space="preserve"> </v>
      </c>
      <c r="L531" s="144" t="str">
        <f>IF(Formulario!H539&lt;&gt;"",IF(Formulario!H539=" "," ",Formulario!H539)," ")</f>
        <v xml:space="preserve"> </v>
      </c>
      <c r="M531" s="144" t="str">
        <f>IF(Formulario!I539&lt;&gt;"",IF(Formulario!I539=" "," ",Formulario!I539)," ")</f>
        <v xml:space="preserve"> </v>
      </c>
      <c r="N531" s="145" t="str">
        <f>IF(Formulario!J539&lt;&gt;"",IF(Formulario!J539=" "," ",Formulario!J539),IF(G531=".",".","Falta Fecha"))</f>
        <v>.</v>
      </c>
      <c r="O531" s="155">
        <f>Formulario!L539</f>
        <v>0</v>
      </c>
      <c r="P531" s="146">
        <f>IF(O531=1,"09:00",Formulario!M539)</f>
        <v>0</v>
      </c>
      <c r="Q531" s="146">
        <f>IF(O531=1,"18:30",Formulario!N539)</f>
        <v>0</v>
      </c>
      <c r="R531" s="146" t="str">
        <f>IF(Formulario!O539&lt;&gt;"",IF(Formulario!O539=" ",".",Formulario!O539),".")</f>
        <v>Post Venta</v>
      </c>
      <c r="S531" s="141" t="s">
        <v>131</v>
      </c>
    </row>
    <row r="532" spans="1:19">
      <c r="A532" s="141">
        <f>Formulario!B540</f>
        <v>0</v>
      </c>
      <c r="B532" s="144" t="str">
        <f>IF(G532="."," ",Formulario!D$5)</f>
        <v xml:space="preserve"> </v>
      </c>
      <c r="C532" s="144" t="str">
        <f>IF(G532=".","",Formulario!D$6)</f>
        <v/>
      </c>
      <c r="D532" s="144" t="str">
        <f>IF(H532=".","",Formulario!D$7)</f>
        <v/>
      </c>
      <c r="E532" s="144" t="str">
        <f>IF(G532=".","",Formulario!J$5)</f>
        <v/>
      </c>
      <c r="F532" s="145" t="str">
        <f>IF(G532=".","",Formulario!J$6)</f>
        <v/>
      </c>
      <c r="G532" s="180" t="str">
        <f>IF(Formulario!C540&lt;&gt;"",IF(Formulario!C540=" ","Falta Depto",IF(H532=".","Error En Descripción",Formulario!C540)),IF(H532=".",".","Falta Datos"))</f>
        <v>.</v>
      </c>
      <c r="H532" s="144" t="str">
        <f>IF(Formulario!D540&lt;&gt;"",IF(Formulario!D540=" ",".",Formulario!D540),".")</f>
        <v>.</v>
      </c>
      <c r="I532" s="144" t="str">
        <f>IF(Formulario!E540&lt;&gt;"",IF(Formulario!E540=" "," ",Formulario!E540),IF(G532=".",".","Falta Propietario"))</f>
        <v>.</v>
      </c>
      <c r="J532" s="144" t="str">
        <f>IF(Formulario!F540&lt;&gt;"",IF(Formulario!F540=" "," ",Formulario!F540)," ")</f>
        <v xml:space="preserve"> </v>
      </c>
      <c r="K532" s="144" t="str">
        <f>IF(Formulario!G540&lt;&gt;"",IF(Formulario!G540=" "," ",Formulario!G540)," ")</f>
        <v xml:space="preserve"> </v>
      </c>
      <c r="L532" s="144" t="str">
        <f>IF(Formulario!H540&lt;&gt;"",IF(Formulario!H540=" "," ",Formulario!H540)," ")</f>
        <v xml:space="preserve"> </v>
      </c>
      <c r="M532" s="144" t="str">
        <f>IF(Formulario!I540&lt;&gt;"",IF(Formulario!I540=" "," ",Formulario!I540)," ")</f>
        <v xml:space="preserve"> </v>
      </c>
      <c r="N532" s="145" t="str">
        <f>IF(Formulario!J540&lt;&gt;"",IF(Formulario!J540=" "," ",Formulario!J540),IF(G532=".",".","Falta Fecha"))</f>
        <v>.</v>
      </c>
      <c r="O532" s="155">
        <f>Formulario!L540</f>
        <v>0</v>
      </c>
      <c r="P532" s="146">
        <f>IF(O532=1,"09:00",Formulario!M540)</f>
        <v>0</v>
      </c>
      <c r="Q532" s="146">
        <f>IF(O532=1,"18:30",Formulario!N540)</f>
        <v>0</v>
      </c>
      <c r="R532" s="146" t="str">
        <f>IF(Formulario!O540&lt;&gt;"",IF(Formulario!O540=" ",".",Formulario!O540),".")</f>
        <v>Post Venta</v>
      </c>
      <c r="S532" s="141" t="s">
        <v>131</v>
      </c>
    </row>
    <row r="533" spans="1:19">
      <c r="A533" s="141">
        <f>Formulario!B541</f>
        <v>0</v>
      </c>
      <c r="B533" s="144" t="str">
        <f>IF(G533="."," ",Formulario!D$5)</f>
        <v xml:space="preserve"> </v>
      </c>
      <c r="C533" s="144" t="str">
        <f>IF(G533=".","",Formulario!D$6)</f>
        <v/>
      </c>
      <c r="D533" s="144" t="str">
        <f>IF(H533=".","",Formulario!D$7)</f>
        <v/>
      </c>
      <c r="E533" s="144" t="str">
        <f>IF(G533=".","",Formulario!J$5)</f>
        <v/>
      </c>
      <c r="F533" s="145" t="str">
        <f>IF(G533=".","",Formulario!J$6)</f>
        <v/>
      </c>
      <c r="G533" s="180" t="str">
        <f>IF(Formulario!C541&lt;&gt;"",IF(Formulario!C541=" ","Falta Depto",IF(H533=".","Error En Descripción",Formulario!C541)),IF(H533=".",".","Falta Datos"))</f>
        <v>.</v>
      </c>
      <c r="H533" s="144" t="str">
        <f>IF(Formulario!D541&lt;&gt;"",IF(Formulario!D541=" ",".",Formulario!D541),".")</f>
        <v>.</v>
      </c>
      <c r="I533" s="144" t="str">
        <f>IF(Formulario!E541&lt;&gt;"",IF(Formulario!E541=" "," ",Formulario!E541),IF(G533=".",".","Falta Propietario"))</f>
        <v>.</v>
      </c>
      <c r="J533" s="144" t="str">
        <f>IF(Formulario!F541&lt;&gt;"",IF(Formulario!F541=" "," ",Formulario!F541)," ")</f>
        <v xml:space="preserve"> </v>
      </c>
      <c r="K533" s="144" t="str">
        <f>IF(Formulario!G541&lt;&gt;"",IF(Formulario!G541=" "," ",Formulario!G541)," ")</f>
        <v xml:space="preserve"> </v>
      </c>
      <c r="L533" s="144" t="str">
        <f>IF(Formulario!H541&lt;&gt;"",IF(Formulario!H541=" "," ",Formulario!H541)," ")</f>
        <v xml:space="preserve"> </v>
      </c>
      <c r="M533" s="144" t="str">
        <f>IF(Formulario!I541&lt;&gt;"",IF(Formulario!I541=" "," ",Formulario!I541)," ")</f>
        <v xml:space="preserve"> </v>
      </c>
      <c r="N533" s="145" t="str">
        <f>IF(Formulario!J541&lt;&gt;"",IF(Formulario!J541=" "," ",Formulario!J541),IF(G533=".",".","Falta Fecha"))</f>
        <v>.</v>
      </c>
      <c r="O533" s="155">
        <f>Formulario!L541</f>
        <v>0</v>
      </c>
      <c r="P533" s="146">
        <f>IF(O533=1,"09:00",Formulario!M541)</f>
        <v>0</v>
      </c>
      <c r="Q533" s="146">
        <f>IF(O533=1,"18:30",Formulario!N541)</f>
        <v>0</v>
      </c>
      <c r="R533" s="146" t="str">
        <f>IF(Formulario!O541&lt;&gt;"",IF(Formulario!O541=" ",".",Formulario!O541),".")</f>
        <v>Post Venta</v>
      </c>
      <c r="S533" s="141" t="s">
        <v>131</v>
      </c>
    </row>
    <row r="534" spans="1:19">
      <c r="A534" s="141">
        <f>Formulario!B542</f>
        <v>0</v>
      </c>
      <c r="B534" s="144" t="str">
        <f>IF(G534="."," ",Formulario!D$5)</f>
        <v xml:space="preserve"> </v>
      </c>
      <c r="C534" s="144" t="str">
        <f>IF(G534=".","",Formulario!D$6)</f>
        <v/>
      </c>
      <c r="D534" s="144" t="str">
        <f>IF(H534=".","",Formulario!D$7)</f>
        <v/>
      </c>
      <c r="E534" s="144" t="str">
        <f>IF(G534=".","",Formulario!J$5)</f>
        <v/>
      </c>
      <c r="F534" s="145" t="str">
        <f>IF(G534=".","",Formulario!J$6)</f>
        <v/>
      </c>
      <c r="G534" s="180" t="str">
        <f>IF(Formulario!C542&lt;&gt;"",IF(Formulario!C542=" ","Falta Depto",IF(H534=".","Error En Descripción",Formulario!C542)),IF(H534=".",".","Falta Datos"))</f>
        <v>.</v>
      </c>
      <c r="H534" s="144" t="str">
        <f>IF(Formulario!D542&lt;&gt;"",IF(Formulario!D542=" ",".",Formulario!D542),".")</f>
        <v>.</v>
      </c>
      <c r="I534" s="144" t="str">
        <f>IF(Formulario!E542&lt;&gt;"",IF(Formulario!E542=" "," ",Formulario!E542),IF(G534=".",".","Falta Propietario"))</f>
        <v>.</v>
      </c>
      <c r="J534" s="144" t="str">
        <f>IF(Formulario!F542&lt;&gt;"",IF(Formulario!F542=" "," ",Formulario!F542)," ")</f>
        <v xml:space="preserve"> </v>
      </c>
      <c r="K534" s="144" t="str">
        <f>IF(Formulario!G542&lt;&gt;"",IF(Formulario!G542=" "," ",Formulario!G542)," ")</f>
        <v xml:space="preserve"> </v>
      </c>
      <c r="L534" s="144" t="str">
        <f>IF(Formulario!H542&lt;&gt;"",IF(Formulario!H542=" "," ",Formulario!H542)," ")</f>
        <v xml:space="preserve"> </v>
      </c>
      <c r="M534" s="144" t="str">
        <f>IF(Formulario!I542&lt;&gt;"",IF(Formulario!I542=" "," ",Formulario!I542)," ")</f>
        <v xml:space="preserve"> </v>
      </c>
      <c r="N534" s="145" t="str">
        <f>IF(Formulario!J542&lt;&gt;"",IF(Formulario!J542=" "," ",Formulario!J542),IF(G534=".",".","Falta Fecha"))</f>
        <v>.</v>
      </c>
      <c r="O534" s="155">
        <f>Formulario!L542</f>
        <v>0</v>
      </c>
      <c r="P534" s="146">
        <f>IF(O534=1,"09:00",Formulario!M542)</f>
        <v>0</v>
      </c>
      <c r="Q534" s="146">
        <f>IF(O534=1,"18:30",Formulario!N542)</f>
        <v>0</v>
      </c>
      <c r="R534" s="146" t="str">
        <f>IF(Formulario!O542&lt;&gt;"",IF(Formulario!O542=" ",".",Formulario!O542),".")</f>
        <v>Post Venta</v>
      </c>
      <c r="S534" s="141" t="s">
        <v>131</v>
      </c>
    </row>
    <row r="535" spans="1:19">
      <c r="A535" s="141">
        <f>Formulario!B543</f>
        <v>0</v>
      </c>
      <c r="B535" s="144" t="str">
        <f>IF(G535="."," ",Formulario!D$5)</f>
        <v xml:space="preserve"> </v>
      </c>
      <c r="C535" s="144" t="str">
        <f>IF(G535=".","",Formulario!D$6)</f>
        <v/>
      </c>
      <c r="D535" s="144" t="str">
        <f>IF(H535=".","",Formulario!D$7)</f>
        <v/>
      </c>
      <c r="E535" s="144" t="str">
        <f>IF(G535=".","",Formulario!J$5)</f>
        <v/>
      </c>
      <c r="F535" s="145" t="str">
        <f>IF(G535=".","",Formulario!J$6)</f>
        <v/>
      </c>
      <c r="G535" s="180" t="str">
        <f>IF(Formulario!C543&lt;&gt;"",IF(Formulario!C543=" ","Falta Depto",IF(H535=".","Error En Descripción",Formulario!C543)),IF(H535=".",".","Falta Datos"))</f>
        <v>.</v>
      </c>
      <c r="H535" s="144" t="str">
        <f>IF(Formulario!D543&lt;&gt;"",IF(Formulario!D543=" ",".",Formulario!D543),".")</f>
        <v>.</v>
      </c>
      <c r="I535" s="144" t="str">
        <f>IF(Formulario!E543&lt;&gt;"",IF(Formulario!E543=" "," ",Formulario!E543),IF(G535=".",".","Falta Propietario"))</f>
        <v>.</v>
      </c>
      <c r="J535" s="144" t="str">
        <f>IF(Formulario!F543&lt;&gt;"",IF(Formulario!F543=" "," ",Formulario!F543)," ")</f>
        <v xml:space="preserve"> </v>
      </c>
      <c r="K535" s="144" t="str">
        <f>IF(Formulario!G543&lt;&gt;"",IF(Formulario!G543=" "," ",Formulario!G543)," ")</f>
        <v xml:space="preserve"> </v>
      </c>
      <c r="L535" s="144" t="str">
        <f>IF(Formulario!H543&lt;&gt;"",IF(Formulario!H543=" "," ",Formulario!H543)," ")</f>
        <v xml:space="preserve"> </v>
      </c>
      <c r="M535" s="144" t="str">
        <f>IF(Formulario!I543&lt;&gt;"",IF(Formulario!I543=" "," ",Formulario!I543)," ")</f>
        <v xml:space="preserve"> </v>
      </c>
      <c r="N535" s="145" t="str">
        <f>IF(Formulario!J543&lt;&gt;"",IF(Formulario!J543=" "," ",Formulario!J543),IF(G535=".",".","Falta Fecha"))</f>
        <v>.</v>
      </c>
      <c r="O535" s="155">
        <f>Formulario!L543</f>
        <v>0</v>
      </c>
      <c r="P535" s="146">
        <f>IF(O535=1,"09:00",Formulario!M543)</f>
        <v>0</v>
      </c>
      <c r="Q535" s="146">
        <f>IF(O535=1,"18:30",Formulario!N543)</f>
        <v>0</v>
      </c>
      <c r="R535" s="146" t="str">
        <f>IF(Formulario!O543&lt;&gt;"",IF(Formulario!O543=" ",".",Formulario!O543),".")</f>
        <v>Post Venta</v>
      </c>
      <c r="S535" s="141" t="s">
        <v>131</v>
      </c>
    </row>
    <row r="536" spans="1:19">
      <c r="A536" s="141">
        <f>Formulario!B544</f>
        <v>0</v>
      </c>
      <c r="B536" s="144" t="str">
        <f>IF(G536="."," ",Formulario!D$5)</f>
        <v xml:space="preserve"> </v>
      </c>
      <c r="C536" s="144" t="str">
        <f>IF(G536=".","",Formulario!D$6)</f>
        <v/>
      </c>
      <c r="D536" s="144" t="str">
        <f>IF(H536=".","",Formulario!D$7)</f>
        <v/>
      </c>
      <c r="E536" s="144" t="str">
        <f>IF(G536=".","",Formulario!J$5)</f>
        <v/>
      </c>
      <c r="F536" s="145" t="str">
        <f>IF(G536=".","",Formulario!J$6)</f>
        <v/>
      </c>
      <c r="G536" s="180" t="str">
        <f>IF(Formulario!C544&lt;&gt;"",IF(Formulario!C544=" ","Falta Depto",IF(H536=".","Error En Descripción",Formulario!C544)),IF(H536=".",".","Falta Datos"))</f>
        <v>.</v>
      </c>
      <c r="H536" s="144" t="str">
        <f>IF(Formulario!D544&lt;&gt;"",IF(Formulario!D544=" ",".",Formulario!D544),".")</f>
        <v>.</v>
      </c>
      <c r="I536" s="144" t="str">
        <f>IF(Formulario!E544&lt;&gt;"",IF(Formulario!E544=" "," ",Formulario!E544),IF(G536=".",".","Falta Propietario"))</f>
        <v>.</v>
      </c>
      <c r="J536" s="144" t="str">
        <f>IF(Formulario!F544&lt;&gt;"",IF(Formulario!F544=" "," ",Formulario!F544)," ")</f>
        <v xml:space="preserve"> </v>
      </c>
      <c r="K536" s="144" t="str">
        <f>IF(Formulario!G544&lt;&gt;"",IF(Formulario!G544=" "," ",Formulario!G544)," ")</f>
        <v xml:space="preserve"> </v>
      </c>
      <c r="L536" s="144" t="str">
        <f>IF(Formulario!H544&lt;&gt;"",IF(Formulario!H544=" "," ",Formulario!H544)," ")</f>
        <v xml:space="preserve"> </v>
      </c>
      <c r="M536" s="144" t="str">
        <f>IF(Formulario!I544&lt;&gt;"",IF(Formulario!I544=" "," ",Formulario!I544)," ")</f>
        <v xml:space="preserve"> </v>
      </c>
      <c r="N536" s="145" t="str">
        <f>IF(Formulario!J544&lt;&gt;"",IF(Formulario!J544=" "," ",Formulario!J544),IF(G536=".",".","Falta Fecha"))</f>
        <v>.</v>
      </c>
      <c r="O536" s="155">
        <f>Formulario!L544</f>
        <v>0</v>
      </c>
      <c r="P536" s="146">
        <f>IF(O536=1,"09:00",Formulario!M544)</f>
        <v>0</v>
      </c>
      <c r="Q536" s="146">
        <f>IF(O536=1,"18:30",Formulario!N544)</f>
        <v>0</v>
      </c>
      <c r="R536" s="146" t="str">
        <f>IF(Formulario!O544&lt;&gt;"",IF(Formulario!O544=" ",".",Formulario!O544),".")</f>
        <v>Post Venta</v>
      </c>
      <c r="S536" s="141" t="s">
        <v>131</v>
      </c>
    </row>
    <row r="537" spans="1:19">
      <c r="A537" s="141">
        <f>Formulario!B545</f>
        <v>0</v>
      </c>
      <c r="B537" s="144" t="str">
        <f>IF(G537="."," ",Formulario!D$5)</f>
        <v xml:space="preserve"> </v>
      </c>
      <c r="C537" s="144" t="str">
        <f>IF(G537=".","",Formulario!D$6)</f>
        <v/>
      </c>
      <c r="D537" s="144" t="str">
        <f>IF(H537=".","",Formulario!D$7)</f>
        <v/>
      </c>
      <c r="E537" s="144" t="str">
        <f>IF(G537=".","",Formulario!J$5)</f>
        <v/>
      </c>
      <c r="F537" s="145" t="str">
        <f>IF(G537=".","",Formulario!J$6)</f>
        <v/>
      </c>
      <c r="G537" s="180" t="str">
        <f>IF(Formulario!C545&lt;&gt;"",IF(Formulario!C545=" ","Falta Depto",IF(H537=".","Error En Descripción",Formulario!C545)),IF(H537=".",".","Falta Datos"))</f>
        <v>.</v>
      </c>
      <c r="H537" s="144" t="str">
        <f>IF(Formulario!D545&lt;&gt;"",IF(Formulario!D545=" ",".",Formulario!D545),".")</f>
        <v>.</v>
      </c>
      <c r="I537" s="144" t="str">
        <f>IF(Formulario!E545&lt;&gt;"",IF(Formulario!E545=" "," ",Formulario!E545),IF(G537=".",".","Falta Propietario"))</f>
        <v>.</v>
      </c>
      <c r="J537" s="144" t="str">
        <f>IF(Formulario!F545&lt;&gt;"",IF(Formulario!F545=" "," ",Formulario!F545)," ")</f>
        <v xml:space="preserve"> </v>
      </c>
      <c r="K537" s="144" t="str">
        <f>IF(Formulario!G545&lt;&gt;"",IF(Formulario!G545=" "," ",Formulario!G545)," ")</f>
        <v xml:space="preserve"> </v>
      </c>
      <c r="L537" s="144" t="str">
        <f>IF(Formulario!H545&lt;&gt;"",IF(Formulario!H545=" "," ",Formulario!H545)," ")</f>
        <v xml:space="preserve"> </v>
      </c>
      <c r="M537" s="144" t="str">
        <f>IF(Formulario!I545&lt;&gt;"",IF(Formulario!I545=" "," ",Formulario!I545)," ")</f>
        <v xml:space="preserve"> </v>
      </c>
      <c r="N537" s="145" t="str">
        <f>IF(Formulario!J545&lt;&gt;"",IF(Formulario!J545=" "," ",Formulario!J545),IF(G537=".",".","Falta Fecha"))</f>
        <v>.</v>
      </c>
      <c r="O537" s="155">
        <f>Formulario!L545</f>
        <v>0</v>
      </c>
      <c r="P537" s="146">
        <f>IF(O537=1,"09:00",Formulario!M545)</f>
        <v>0</v>
      </c>
      <c r="Q537" s="146">
        <f>IF(O537=1,"18:30",Formulario!N545)</f>
        <v>0</v>
      </c>
      <c r="R537" s="146" t="str">
        <f>IF(Formulario!O545&lt;&gt;"",IF(Formulario!O545=" ",".",Formulario!O545),".")</f>
        <v>Post Venta</v>
      </c>
      <c r="S537" s="141" t="s">
        <v>131</v>
      </c>
    </row>
    <row r="538" spans="1:19">
      <c r="A538" s="141">
        <f>Formulario!B546</f>
        <v>0</v>
      </c>
      <c r="B538" s="144" t="str">
        <f>IF(G538="."," ",Formulario!D$5)</f>
        <v xml:space="preserve"> </v>
      </c>
      <c r="C538" s="144" t="str">
        <f>IF(G538=".","",Formulario!D$6)</f>
        <v/>
      </c>
      <c r="D538" s="144" t="str">
        <f>IF(H538=".","",Formulario!D$7)</f>
        <v/>
      </c>
      <c r="E538" s="144" t="str">
        <f>IF(G538=".","",Formulario!J$5)</f>
        <v/>
      </c>
      <c r="F538" s="145" t="str">
        <f>IF(G538=".","",Formulario!J$6)</f>
        <v/>
      </c>
      <c r="G538" s="180" t="str">
        <f>IF(Formulario!C546&lt;&gt;"",IF(Formulario!C546=" ","Falta Depto",IF(H538=".","Error En Descripción",Formulario!C546)),IF(H538=".",".","Falta Datos"))</f>
        <v>.</v>
      </c>
      <c r="H538" s="144" t="str">
        <f>IF(Formulario!D546&lt;&gt;"",IF(Formulario!D546=" ",".",Formulario!D546),".")</f>
        <v>.</v>
      </c>
      <c r="I538" s="144" t="str">
        <f>IF(Formulario!E546&lt;&gt;"",IF(Formulario!E546=" "," ",Formulario!E546),IF(G538=".",".","Falta Propietario"))</f>
        <v>.</v>
      </c>
      <c r="J538" s="144" t="str">
        <f>IF(Formulario!F546&lt;&gt;"",IF(Formulario!F546=" "," ",Formulario!F546)," ")</f>
        <v xml:space="preserve"> </v>
      </c>
      <c r="K538" s="144" t="str">
        <f>IF(Formulario!G546&lt;&gt;"",IF(Formulario!G546=" "," ",Formulario!G546)," ")</f>
        <v xml:space="preserve"> </v>
      </c>
      <c r="L538" s="144" t="str">
        <f>IF(Formulario!H546&lt;&gt;"",IF(Formulario!H546=" "," ",Formulario!H546)," ")</f>
        <v xml:space="preserve"> </v>
      </c>
      <c r="M538" s="144" t="str">
        <f>IF(Formulario!I546&lt;&gt;"",IF(Formulario!I546=" "," ",Formulario!I546)," ")</f>
        <v xml:space="preserve"> </v>
      </c>
      <c r="N538" s="145" t="str">
        <f>IF(Formulario!J546&lt;&gt;"",IF(Formulario!J546=" "," ",Formulario!J546),IF(G538=".",".","Falta Fecha"))</f>
        <v>.</v>
      </c>
      <c r="O538" s="155">
        <f>Formulario!L546</f>
        <v>0</v>
      </c>
      <c r="P538" s="146">
        <f>IF(O538=1,"09:00",Formulario!M546)</f>
        <v>0</v>
      </c>
      <c r="Q538" s="146">
        <f>IF(O538=1,"18:30",Formulario!N546)</f>
        <v>0</v>
      </c>
      <c r="R538" s="146" t="str">
        <f>IF(Formulario!O546&lt;&gt;"",IF(Formulario!O546=" ",".",Formulario!O546),".")</f>
        <v>Post Venta</v>
      </c>
      <c r="S538" s="141" t="s">
        <v>131</v>
      </c>
    </row>
    <row r="539" spans="1:19">
      <c r="A539" s="141">
        <f>Formulario!B547</f>
        <v>0</v>
      </c>
      <c r="B539" s="144" t="str">
        <f>IF(G539="."," ",Formulario!D$5)</f>
        <v xml:space="preserve"> </v>
      </c>
      <c r="C539" s="144" t="str">
        <f>IF(G539=".","",Formulario!D$6)</f>
        <v/>
      </c>
      <c r="D539" s="144" t="str">
        <f>IF(H539=".","",Formulario!D$7)</f>
        <v/>
      </c>
      <c r="E539" s="144" t="str">
        <f>IF(G539=".","",Formulario!J$5)</f>
        <v/>
      </c>
      <c r="F539" s="145" t="str">
        <f>IF(G539=".","",Formulario!J$6)</f>
        <v/>
      </c>
      <c r="G539" s="180" t="str">
        <f>IF(Formulario!C547&lt;&gt;"",IF(Formulario!C547=" ","Falta Depto",IF(H539=".","Error En Descripción",Formulario!C547)),IF(H539=".",".","Falta Datos"))</f>
        <v>.</v>
      </c>
      <c r="H539" s="144" t="str">
        <f>IF(Formulario!D547&lt;&gt;"",IF(Formulario!D547=" ",".",Formulario!D547),".")</f>
        <v>.</v>
      </c>
      <c r="I539" s="144" t="str">
        <f>IF(Formulario!E547&lt;&gt;"",IF(Formulario!E547=" "," ",Formulario!E547),IF(G539=".",".","Falta Propietario"))</f>
        <v>.</v>
      </c>
      <c r="J539" s="144" t="str">
        <f>IF(Formulario!F547&lt;&gt;"",IF(Formulario!F547=" "," ",Formulario!F547)," ")</f>
        <v xml:space="preserve"> </v>
      </c>
      <c r="K539" s="144" t="str">
        <f>IF(Formulario!G547&lt;&gt;"",IF(Formulario!G547=" "," ",Formulario!G547)," ")</f>
        <v xml:space="preserve"> </v>
      </c>
      <c r="L539" s="144" t="str">
        <f>IF(Formulario!H547&lt;&gt;"",IF(Formulario!H547=" "," ",Formulario!H547)," ")</f>
        <v xml:space="preserve"> </v>
      </c>
      <c r="M539" s="144" t="str">
        <f>IF(Formulario!I547&lt;&gt;"",IF(Formulario!I547=" "," ",Formulario!I547)," ")</f>
        <v xml:space="preserve"> </v>
      </c>
      <c r="N539" s="145" t="str">
        <f>IF(Formulario!J547&lt;&gt;"",IF(Formulario!J547=" "," ",Formulario!J547),IF(G539=".",".","Falta Fecha"))</f>
        <v>.</v>
      </c>
      <c r="O539" s="155">
        <f>Formulario!L547</f>
        <v>0</v>
      </c>
      <c r="P539" s="146">
        <f>IF(O539=1,"09:00",Formulario!M547)</f>
        <v>0</v>
      </c>
      <c r="Q539" s="146">
        <f>IF(O539=1,"18:30",Formulario!N547)</f>
        <v>0</v>
      </c>
      <c r="R539" s="146" t="str">
        <f>IF(Formulario!O547&lt;&gt;"",IF(Formulario!O547=" ",".",Formulario!O547),".")</f>
        <v>Post Venta</v>
      </c>
      <c r="S539" s="141" t="s">
        <v>131</v>
      </c>
    </row>
    <row r="540" spans="1:19">
      <c r="A540" s="141">
        <f>Formulario!B548</f>
        <v>0</v>
      </c>
      <c r="B540" s="144" t="str">
        <f>IF(G540="."," ",Formulario!D$5)</f>
        <v xml:space="preserve"> </v>
      </c>
      <c r="C540" s="144" t="str">
        <f>IF(G540=".","",Formulario!D$6)</f>
        <v/>
      </c>
      <c r="D540" s="144" t="str">
        <f>IF(H540=".","",Formulario!D$7)</f>
        <v/>
      </c>
      <c r="E540" s="144" t="str">
        <f>IF(G540=".","",Formulario!J$5)</f>
        <v/>
      </c>
      <c r="F540" s="145" t="str">
        <f>IF(G540=".","",Formulario!J$6)</f>
        <v/>
      </c>
      <c r="G540" s="180" t="str">
        <f>IF(Formulario!C548&lt;&gt;"",IF(Formulario!C548=" ","Falta Depto",IF(H540=".","Error En Descripción",Formulario!C548)),IF(H540=".",".","Falta Datos"))</f>
        <v>.</v>
      </c>
      <c r="H540" s="144" t="str">
        <f>IF(Formulario!D548&lt;&gt;"",IF(Formulario!D548=" ",".",Formulario!D548),".")</f>
        <v>.</v>
      </c>
      <c r="I540" s="144" t="str">
        <f>IF(Formulario!E548&lt;&gt;"",IF(Formulario!E548=" "," ",Formulario!E548),IF(G540=".",".","Falta Propietario"))</f>
        <v>.</v>
      </c>
      <c r="J540" s="144" t="str">
        <f>IF(Formulario!F548&lt;&gt;"",IF(Formulario!F548=" "," ",Formulario!F548)," ")</f>
        <v xml:space="preserve"> </v>
      </c>
      <c r="K540" s="144" t="str">
        <f>IF(Formulario!G548&lt;&gt;"",IF(Formulario!G548=" "," ",Formulario!G548)," ")</f>
        <v xml:space="preserve"> </v>
      </c>
      <c r="L540" s="144" t="str">
        <f>IF(Formulario!H548&lt;&gt;"",IF(Formulario!H548=" "," ",Formulario!H548)," ")</f>
        <v xml:space="preserve"> </v>
      </c>
      <c r="M540" s="144" t="str">
        <f>IF(Formulario!I548&lt;&gt;"",IF(Formulario!I548=" "," ",Formulario!I548)," ")</f>
        <v xml:space="preserve"> </v>
      </c>
      <c r="N540" s="145" t="str">
        <f>IF(Formulario!J548&lt;&gt;"",IF(Formulario!J548=" "," ",Formulario!J548),IF(G540=".",".","Falta Fecha"))</f>
        <v>.</v>
      </c>
      <c r="O540" s="155">
        <f>Formulario!L548</f>
        <v>0</v>
      </c>
      <c r="P540" s="146">
        <f>IF(O540=1,"09:00",Formulario!M548)</f>
        <v>0</v>
      </c>
      <c r="Q540" s="146">
        <f>IF(O540=1,"18:30",Formulario!N548)</f>
        <v>0</v>
      </c>
      <c r="R540" s="146" t="str">
        <f>IF(Formulario!O548&lt;&gt;"",IF(Formulario!O548=" ",".",Formulario!O548),".")</f>
        <v>Post Venta</v>
      </c>
      <c r="S540" s="141" t="s">
        <v>131</v>
      </c>
    </row>
    <row r="541" spans="1:19">
      <c r="A541" s="141">
        <f>Formulario!B549</f>
        <v>0</v>
      </c>
      <c r="B541" s="144" t="str">
        <f>IF(G541="."," ",Formulario!D$5)</f>
        <v xml:space="preserve"> </v>
      </c>
      <c r="C541" s="144" t="str">
        <f>IF(G541=".","",Formulario!D$6)</f>
        <v/>
      </c>
      <c r="D541" s="144" t="str">
        <f>IF(H541=".","",Formulario!D$7)</f>
        <v/>
      </c>
      <c r="E541" s="144" t="str">
        <f>IF(G541=".","",Formulario!J$5)</f>
        <v/>
      </c>
      <c r="F541" s="145" t="str">
        <f>IF(G541=".","",Formulario!J$6)</f>
        <v/>
      </c>
      <c r="G541" s="180" t="str">
        <f>IF(Formulario!C549&lt;&gt;"",IF(Formulario!C549=" ","Falta Depto",IF(H541=".","Error En Descripción",Formulario!C549)),IF(H541=".",".","Falta Datos"))</f>
        <v>.</v>
      </c>
      <c r="H541" s="144" t="str">
        <f>IF(Formulario!D549&lt;&gt;"",IF(Formulario!D549=" ",".",Formulario!D549),".")</f>
        <v>.</v>
      </c>
      <c r="I541" s="144" t="str">
        <f>IF(Formulario!E549&lt;&gt;"",IF(Formulario!E549=" "," ",Formulario!E549),IF(G541=".",".","Falta Propietario"))</f>
        <v>.</v>
      </c>
      <c r="J541" s="144" t="str">
        <f>IF(Formulario!F549&lt;&gt;"",IF(Formulario!F549=" "," ",Formulario!F549)," ")</f>
        <v xml:space="preserve"> </v>
      </c>
      <c r="K541" s="144" t="str">
        <f>IF(Formulario!G549&lt;&gt;"",IF(Formulario!G549=" "," ",Formulario!G549)," ")</f>
        <v xml:space="preserve"> </v>
      </c>
      <c r="L541" s="144" t="str">
        <f>IF(Formulario!H549&lt;&gt;"",IF(Formulario!H549=" "," ",Formulario!H549)," ")</f>
        <v xml:space="preserve"> </v>
      </c>
      <c r="M541" s="144" t="str">
        <f>IF(Formulario!I549&lt;&gt;"",IF(Formulario!I549=" "," ",Formulario!I549)," ")</f>
        <v xml:space="preserve"> </v>
      </c>
      <c r="N541" s="145" t="str">
        <f>IF(Formulario!J549&lt;&gt;"",IF(Formulario!J549=" "," ",Formulario!J549),IF(G541=".",".","Falta Fecha"))</f>
        <v>.</v>
      </c>
      <c r="O541" s="155">
        <f>Formulario!L549</f>
        <v>0</v>
      </c>
      <c r="P541" s="146">
        <f>IF(O541=1,"09:00",Formulario!M549)</f>
        <v>0</v>
      </c>
      <c r="Q541" s="146">
        <f>IF(O541=1,"18:30",Formulario!N549)</f>
        <v>0</v>
      </c>
      <c r="R541" s="146" t="str">
        <f>IF(Formulario!O549&lt;&gt;"",IF(Formulario!O549=" ",".",Formulario!O549),".")</f>
        <v>Post Venta</v>
      </c>
      <c r="S541" s="141" t="s">
        <v>131</v>
      </c>
    </row>
    <row r="542" spans="1:19">
      <c r="A542" s="141">
        <f>Formulario!B550</f>
        <v>0</v>
      </c>
      <c r="B542" s="144" t="str">
        <f>IF(G542="."," ",Formulario!D$5)</f>
        <v xml:space="preserve"> </v>
      </c>
      <c r="C542" s="144" t="str">
        <f>IF(G542=".","",Formulario!D$6)</f>
        <v/>
      </c>
      <c r="D542" s="144" t="str">
        <f>IF(H542=".","",Formulario!D$7)</f>
        <v/>
      </c>
      <c r="E542" s="144" t="str">
        <f>IF(G542=".","",Formulario!J$5)</f>
        <v/>
      </c>
      <c r="F542" s="145" t="str">
        <f>IF(G542=".","",Formulario!J$6)</f>
        <v/>
      </c>
      <c r="G542" s="180" t="str">
        <f>IF(Formulario!C550&lt;&gt;"",IF(Formulario!C550=" ","Falta Depto",IF(H542=".","Error En Descripción",Formulario!C550)),IF(H542=".",".","Falta Datos"))</f>
        <v>.</v>
      </c>
      <c r="H542" s="144" t="str">
        <f>IF(Formulario!D550&lt;&gt;"",IF(Formulario!D550=" ",".",Formulario!D550),".")</f>
        <v>.</v>
      </c>
      <c r="I542" s="144" t="str">
        <f>IF(Formulario!E550&lt;&gt;"",IF(Formulario!E550=" "," ",Formulario!E550),IF(G542=".",".","Falta Propietario"))</f>
        <v>.</v>
      </c>
      <c r="J542" s="144" t="str">
        <f>IF(Formulario!F550&lt;&gt;"",IF(Formulario!F550=" "," ",Formulario!F550)," ")</f>
        <v xml:space="preserve"> </v>
      </c>
      <c r="K542" s="144" t="str">
        <f>IF(Formulario!G550&lt;&gt;"",IF(Formulario!G550=" "," ",Formulario!G550)," ")</f>
        <v xml:space="preserve"> </v>
      </c>
      <c r="L542" s="144" t="str">
        <f>IF(Formulario!H550&lt;&gt;"",IF(Formulario!H550=" "," ",Formulario!H550)," ")</f>
        <v xml:space="preserve"> </v>
      </c>
      <c r="M542" s="144" t="str">
        <f>IF(Formulario!I550&lt;&gt;"",IF(Formulario!I550=" "," ",Formulario!I550)," ")</f>
        <v xml:space="preserve"> </v>
      </c>
      <c r="N542" s="145" t="str">
        <f>IF(Formulario!J550&lt;&gt;"",IF(Formulario!J550=" "," ",Formulario!J550),IF(G542=".",".","Falta Fecha"))</f>
        <v>.</v>
      </c>
      <c r="O542" s="155">
        <f>Formulario!L550</f>
        <v>0</v>
      </c>
      <c r="P542" s="146">
        <f>IF(O542=1,"09:00",Formulario!M550)</f>
        <v>0</v>
      </c>
      <c r="Q542" s="146">
        <f>IF(O542=1,"18:30",Formulario!N550)</f>
        <v>0</v>
      </c>
      <c r="R542" s="146" t="str">
        <f>IF(Formulario!O550&lt;&gt;"",IF(Formulario!O550=" ",".",Formulario!O550),".")</f>
        <v>Post Venta</v>
      </c>
      <c r="S542" s="141" t="s">
        <v>131</v>
      </c>
    </row>
    <row r="543" spans="1:19">
      <c r="A543" s="141">
        <f>Formulario!B551</f>
        <v>0</v>
      </c>
      <c r="B543" s="144" t="str">
        <f>IF(G543="."," ",Formulario!D$5)</f>
        <v xml:space="preserve"> </v>
      </c>
      <c r="C543" s="144" t="str">
        <f>IF(G543=".","",Formulario!D$6)</f>
        <v/>
      </c>
      <c r="D543" s="144" t="str">
        <f>IF(H543=".","",Formulario!D$7)</f>
        <v/>
      </c>
      <c r="E543" s="144" t="str">
        <f>IF(G543=".","",Formulario!J$5)</f>
        <v/>
      </c>
      <c r="F543" s="145" t="str">
        <f>IF(G543=".","",Formulario!J$6)</f>
        <v/>
      </c>
      <c r="G543" s="180" t="str">
        <f>IF(Formulario!C551&lt;&gt;"",IF(Formulario!C551=" ","Falta Depto",IF(H543=".","Error En Descripción",Formulario!C551)),IF(H543=".",".","Falta Datos"))</f>
        <v>.</v>
      </c>
      <c r="H543" s="144" t="str">
        <f>IF(Formulario!D551&lt;&gt;"",IF(Formulario!D551=" ",".",Formulario!D551),".")</f>
        <v>.</v>
      </c>
      <c r="I543" s="144" t="str">
        <f>IF(Formulario!E551&lt;&gt;"",IF(Formulario!E551=" "," ",Formulario!E551),IF(G543=".",".","Falta Propietario"))</f>
        <v>.</v>
      </c>
      <c r="J543" s="144" t="str">
        <f>IF(Formulario!F551&lt;&gt;"",IF(Formulario!F551=" "," ",Formulario!F551)," ")</f>
        <v xml:space="preserve"> </v>
      </c>
      <c r="K543" s="144" t="str">
        <f>IF(Formulario!G551&lt;&gt;"",IF(Formulario!G551=" "," ",Formulario!G551)," ")</f>
        <v xml:space="preserve"> </v>
      </c>
      <c r="L543" s="144" t="str">
        <f>IF(Formulario!H551&lt;&gt;"",IF(Formulario!H551=" "," ",Formulario!H551)," ")</f>
        <v xml:space="preserve"> </v>
      </c>
      <c r="M543" s="144" t="str">
        <f>IF(Formulario!I551&lt;&gt;"",IF(Formulario!I551=" "," ",Formulario!I551)," ")</f>
        <v xml:space="preserve"> </v>
      </c>
      <c r="N543" s="145" t="str">
        <f>IF(Formulario!J551&lt;&gt;"",IF(Formulario!J551=" "," ",Formulario!J551),IF(G543=".",".","Falta Fecha"))</f>
        <v>.</v>
      </c>
      <c r="O543" s="155">
        <f>Formulario!L551</f>
        <v>0</v>
      </c>
      <c r="P543" s="146">
        <f>IF(O543=1,"09:00",Formulario!M551)</f>
        <v>0</v>
      </c>
      <c r="Q543" s="146">
        <f>IF(O543=1,"18:30",Formulario!N551)</f>
        <v>0</v>
      </c>
      <c r="R543" s="146" t="str">
        <f>IF(Formulario!O551&lt;&gt;"",IF(Formulario!O551=" ",".",Formulario!O551),".")</f>
        <v>Post Venta</v>
      </c>
      <c r="S543" s="141" t="s">
        <v>131</v>
      </c>
    </row>
    <row r="544" spans="1:19">
      <c r="A544" s="141">
        <f>Formulario!B552</f>
        <v>0</v>
      </c>
      <c r="B544" s="144" t="str">
        <f>IF(G544="."," ",Formulario!D$5)</f>
        <v xml:space="preserve"> </v>
      </c>
      <c r="C544" s="144" t="str">
        <f>IF(G544=".","",Formulario!D$6)</f>
        <v/>
      </c>
      <c r="D544" s="144" t="str">
        <f>IF(H544=".","",Formulario!D$7)</f>
        <v/>
      </c>
      <c r="E544" s="144" t="str">
        <f>IF(G544=".","",Formulario!J$5)</f>
        <v/>
      </c>
      <c r="F544" s="145" t="str">
        <f>IF(G544=".","",Formulario!J$6)</f>
        <v/>
      </c>
      <c r="G544" s="180" t="str">
        <f>IF(Formulario!C552&lt;&gt;"",IF(Formulario!C552=" ","Falta Depto",IF(H544=".","Error En Descripción",Formulario!C552)),IF(H544=".",".","Falta Datos"))</f>
        <v>.</v>
      </c>
      <c r="H544" s="144" t="str">
        <f>IF(Formulario!D552&lt;&gt;"",IF(Formulario!D552=" ",".",Formulario!D552),".")</f>
        <v>.</v>
      </c>
      <c r="I544" s="144" t="str">
        <f>IF(Formulario!E552&lt;&gt;"",IF(Formulario!E552=" "," ",Formulario!E552),IF(G544=".",".","Falta Propietario"))</f>
        <v>.</v>
      </c>
      <c r="J544" s="144" t="str">
        <f>IF(Formulario!F552&lt;&gt;"",IF(Formulario!F552=" "," ",Formulario!F552)," ")</f>
        <v xml:space="preserve"> </v>
      </c>
      <c r="K544" s="144" t="str">
        <f>IF(Formulario!G552&lt;&gt;"",IF(Formulario!G552=" "," ",Formulario!G552)," ")</f>
        <v xml:space="preserve"> </v>
      </c>
      <c r="L544" s="144" t="str">
        <f>IF(Formulario!H552&lt;&gt;"",IF(Formulario!H552=" "," ",Formulario!H552)," ")</f>
        <v xml:space="preserve"> </v>
      </c>
      <c r="M544" s="144" t="str">
        <f>IF(Formulario!I552&lt;&gt;"",IF(Formulario!I552=" "," ",Formulario!I552)," ")</f>
        <v xml:space="preserve"> </v>
      </c>
      <c r="N544" s="145" t="str">
        <f>IF(Formulario!J552&lt;&gt;"",IF(Formulario!J552=" "," ",Formulario!J552),IF(G544=".",".","Falta Fecha"))</f>
        <v>.</v>
      </c>
      <c r="O544" s="155">
        <f>Formulario!L552</f>
        <v>0</v>
      </c>
      <c r="P544" s="146">
        <f>IF(O544=1,"09:00",Formulario!M552)</f>
        <v>0</v>
      </c>
      <c r="Q544" s="146">
        <f>IF(O544=1,"18:30",Formulario!N552)</f>
        <v>0</v>
      </c>
      <c r="R544" s="146" t="str">
        <f>IF(Formulario!O552&lt;&gt;"",IF(Formulario!O552=" ",".",Formulario!O552),".")</f>
        <v>Post Venta</v>
      </c>
      <c r="S544" s="141" t="s">
        <v>131</v>
      </c>
    </row>
    <row r="545" spans="1:19">
      <c r="A545" s="141">
        <f>Formulario!B553</f>
        <v>0</v>
      </c>
      <c r="B545" s="144" t="str">
        <f>IF(G545="."," ",Formulario!D$5)</f>
        <v xml:space="preserve"> </v>
      </c>
      <c r="C545" s="144" t="str">
        <f>IF(G545=".","",Formulario!D$6)</f>
        <v/>
      </c>
      <c r="D545" s="144" t="str">
        <f>IF(H545=".","",Formulario!D$7)</f>
        <v/>
      </c>
      <c r="E545" s="144" t="str">
        <f>IF(G545=".","",Formulario!J$5)</f>
        <v/>
      </c>
      <c r="F545" s="145" t="str">
        <f>IF(G545=".","",Formulario!J$6)</f>
        <v/>
      </c>
      <c r="G545" s="180" t="str">
        <f>IF(Formulario!C553&lt;&gt;"",IF(Formulario!C553=" ","Falta Depto",IF(H545=".","Error En Descripción",Formulario!C553)),IF(H545=".",".","Falta Datos"))</f>
        <v>.</v>
      </c>
      <c r="H545" s="144" t="str">
        <f>IF(Formulario!D553&lt;&gt;"",IF(Formulario!D553=" ",".",Formulario!D553),".")</f>
        <v>.</v>
      </c>
      <c r="I545" s="144" t="str">
        <f>IF(Formulario!E553&lt;&gt;"",IF(Formulario!E553=" "," ",Formulario!E553),IF(G545=".",".","Falta Propietario"))</f>
        <v>.</v>
      </c>
      <c r="J545" s="144" t="str">
        <f>IF(Formulario!F553&lt;&gt;"",IF(Formulario!F553=" "," ",Formulario!F553)," ")</f>
        <v xml:space="preserve"> </v>
      </c>
      <c r="K545" s="144" t="str">
        <f>IF(Formulario!G553&lt;&gt;"",IF(Formulario!G553=" "," ",Formulario!G553)," ")</f>
        <v xml:space="preserve"> </v>
      </c>
      <c r="L545" s="144" t="str">
        <f>IF(Formulario!H553&lt;&gt;"",IF(Formulario!H553=" "," ",Formulario!H553)," ")</f>
        <v xml:space="preserve"> </v>
      </c>
      <c r="M545" s="144" t="str">
        <f>IF(Formulario!I553&lt;&gt;"",IF(Formulario!I553=" "," ",Formulario!I553)," ")</f>
        <v xml:space="preserve"> </v>
      </c>
      <c r="N545" s="145" t="str">
        <f>IF(Formulario!J553&lt;&gt;"",IF(Formulario!J553=" "," ",Formulario!J553),IF(G545=".",".","Falta Fecha"))</f>
        <v>.</v>
      </c>
      <c r="O545" s="155">
        <f>Formulario!L553</f>
        <v>0</v>
      </c>
      <c r="P545" s="146">
        <f>IF(O545=1,"09:00",Formulario!M553)</f>
        <v>0</v>
      </c>
      <c r="Q545" s="146">
        <f>IF(O545=1,"18:30",Formulario!N553)</f>
        <v>0</v>
      </c>
      <c r="R545" s="146" t="str">
        <f>IF(Formulario!O553&lt;&gt;"",IF(Formulario!O553=" ",".",Formulario!O553),".")</f>
        <v>Post Venta</v>
      </c>
      <c r="S545" s="141" t="s">
        <v>131</v>
      </c>
    </row>
    <row r="546" spans="1:19">
      <c r="A546" s="141">
        <f>Formulario!B554</f>
        <v>0</v>
      </c>
      <c r="B546" s="144" t="str">
        <f>IF(G546="."," ",Formulario!D$5)</f>
        <v xml:space="preserve"> </v>
      </c>
      <c r="C546" s="144" t="str">
        <f>IF(G546=".","",Formulario!D$6)</f>
        <v/>
      </c>
      <c r="D546" s="144" t="str">
        <f>IF(H546=".","",Formulario!D$7)</f>
        <v/>
      </c>
      <c r="E546" s="144" t="str">
        <f>IF(G546=".","",Formulario!J$5)</f>
        <v/>
      </c>
      <c r="F546" s="145" t="str">
        <f>IF(G546=".","",Formulario!J$6)</f>
        <v/>
      </c>
      <c r="G546" s="180" t="str">
        <f>IF(Formulario!C554&lt;&gt;"",IF(Formulario!C554=" ","Falta Depto",IF(H546=".","Error En Descripción",Formulario!C554)),IF(H546=".",".","Falta Datos"))</f>
        <v>.</v>
      </c>
      <c r="H546" s="144" t="str">
        <f>IF(Formulario!D554&lt;&gt;"",IF(Formulario!D554=" ",".",Formulario!D554),".")</f>
        <v>.</v>
      </c>
      <c r="I546" s="144" t="str">
        <f>IF(Formulario!E554&lt;&gt;"",IF(Formulario!E554=" "," ",Formulario!E554),IF(G546=".",".","Falta Propietario"))</f>
        <v>.</v>
      </c>
      <c r="J546" s="144" t="str">
        <f>IF(Formulario!F554&lt;&gt;"",IF(Formulario!F554=" "," ",Formulario!F554)," ")</f>
        <v xml:space="preserve"> </v>
      </c>
      <c r="K546" s="144" t="str">
        <f>IF(Formulario!G554&lt;&gt;"",IF(Formulario!G554=" "," ",Formulario!G554)," ")</f>
        <v xml:space="preserve"> </v>
      </c>
      <c r="L546" s="144" t="str">
        <f>IF(Formulario!H554&lt;&gt;"",IF(Formulario!H554=" "," ",Formulario!H554)," ")</f>
        <v xml:space="preserve"> </v>
      </c>
      <c r="M546" s="144" t="str">
        <f>IF(Formulario!I554&lt;&gt;"",IF(Formulario!I554=" "," ",Formulario!I554)," ")</f>
        <v xml:space="preserve"> </v>
      </c>
      <c r="N546" s="145" t="str">
        <f>IF(Formulario!J554&lt;&gt;"",IF(Formulario!J554=" "," ",Formulario!J554),IF(G546=".",".","Falta Fecha"))</f>
        <v>.</v>
      </c>
      <c r="O546" s="155">
        <f>Formulario!L554</f>
        <v>0</v>
      </c>
      <c r="P546" s="146">
        <f>IF(O546=1,"09:00",Formulario!M554)</f>
        <v>0</v>
      </c>
      <c r="Q546" s="146">
        <f>IF(O546=1,"18:30",Formulario!N554)</f>
        <v>0</v>
      </c>
      <c r="R546" s="146" t="str">
        <f>IF(Formulario!O554&lt;&gt;"",IF(Formulario!O554=" ",".",Formulario!O554),".")</f>
        <v>Post Venta</v>
      </c>
      <c r="S546" s="141" t="s">
        <v>131</v>
      </c>
    </row>
    <row r="547" spans="1:19">
      <c r="A547" s="141">
        <f>Formulario!B555</f>
        <v>0</v>
      </c>
      <c r="B547" s="144" t="str">
        <f>IF(G547="."," ",Formulario!D$5)</f>
        <v xml:space="preserve"> </v>
      </c>
      <c r="C547" s="144" t="str">
        <f>IF(G547=".","",Formulario!D$6)</f>
        <v/>
      </c>
      <c r="D547" s="144" t="str">
        <f>IF(H547=".","",Formulario!D$7)</f>
        <v/>
      </c>
      <c r="E547" s="144" t="str">
        <f>IF(G547=".","",Formulario!J$5)</f>
        <v/>
      </c>
      <c r="F547" s="145" t="str">
        <f>IF(G547=".","",Formulario!J$6)</f>
        <v/>
      </c>
      <c r="G547" s="180" t="str">
        <f>IF(Formulario!C555&lt;&gt;"",IF(Formulario!C555=" ","Falta Depto",IF(H547=".","Error En Descripción",Formulario!C555)),IF(H547=".",".","Falta Datos"))</f>
        <v>.</v>
      </c>
      <c r="H547" s="144" t="str">
        <f>IF(Formulario!D555&lt;&gt;"",IF(Formulario!D555=" ",".",Formulario!D555),".")</f>
        <v>.</v>
      </c>
      <c r="I547" s="144" t="str">
        <f>IF(Formulario!E555&lt;&gt;"",IF(Formulario!E555=" "," ",Formulario!E555),IF(G547=".",".","Falta Propietario"))</f>
        <v>.</v>
      </c>
      <c r="J547" s="144" t="str">
        <f>IF(Formulario!F555&lt;&gt;"",IF(Formulario!F555=" "," ",Formulario!F555)," ")</f>
        <v xml:space="preserve"> </v>
      </c>
      <c r="K547" s="144" t="str">
        <f>IF(Formulario!G555&lt;&gt;"",IF(Formulario!G555=" "," ",Formulario!G555)," ")</f>
        <v xml:space="preserve"> </v>
      </c>
      <c r="L547" s="144" t="str">
        <f>IF(Formulario!H555&lt;&gt;"",IF(Formulario!H555=" "," ",Formulario!H555)," ")</f>
        <v xml:space="preserve"> </v>
      </c>
      <c r="M547" s="144" t="str">
        <f>IF(Formulario!I555&lt;&gt;"",IF(Formulario!I555=" "," ",Formulario!I555)," ")</f>
        <v xml:space="preserve"> </v>
      </c>
      <c r="N547" s="145" t="str">
        <f>IF(Formulario!J555&lt;&gt;"",IF(Formulario!J555=" "," ",Formulario!J555),IF(G547=".",".","Falta Fecha"))</f>
        <v>.</v>
      </c>
      <c r="O547" s="155">
        <f>Formulario!L555</f>
        <v>0</v>
      </c>
      <c r="P547" s="146">
        <f>IF(O547=1,"09:00",Formulario!M555)</f>
        <v>0</v>
      </c>
      <c r="Q547" s="146">
        <f>IF(O547=1,"18:30",Formulario!N555)</f>
        <v>0</v>
      </c>
      <c r="R547" s="146" t="str">
        <f>IF(Formulario!O555&lt;&gt;"",IF(Formulario!O555=" ",".",Formulario!O555),".")</f>
        <v>Post Venta</v>
      </c>
      <c r="S547" s="141" t="s">
        <v>131</v>
      </c>
    </row>
    <row r="548" spans="1:19">
      <c r="A548" s="141">
        <f>Formulario!B556</f>
        <v>0</v>
      </c>
      <c r="B548" s="144" t="str">
        <f>IF(G548="."," ",Formulario!D$5)</f>
        <v xml:space="preserve"> </v>
      </c>
      <c r="C548" s="144" t="str">
        <f>IF(G548=".","",Formulario!D$6)</f>
        <v/>
      </c>
      <c r="D548" s="144" t="str">
        <f>IF(H548=".","",Formulario!D$7)</f>
        <v/>
      </c>
      <c r="E548" s="144" t="str">
        <f>IF(G548=".","",Formulario!J$5)</f>
        <v/>
      </c>
      <c r="F548" s="145" t="str">
        <f>IF(G548=".","",Formulario!J$6)</f>
        <v/>
      </c>
      <c r="G548" s="180" t="str">
        <f>IF(Formulario!C556&lt;&gt;"",IF(Formulario!C556=" ","Falta Depto",IF(H548=".","Error En Descripción",Formulario!C556)),IF(H548=".",".","Falta Datos"))</f>
        <v>.</v>
      </c>
      <c r="H548" s="144" t="str">
        <f>IF(Formulario!D556&lt;&gt;"",IF(Formulario!D556=" ",".",Formulario!D556),".")</f>
        <v>.</v>
      </c>
      <c r="I548" s="144" t="str">
        <f>IF(Formulario!E556&lt;&gt;"",IF(Formulario!E556=" "," ",Formulario!E556),IF(G548=".",".","Falta Propietario"))</f>
        <v>.</v>
      </c>
      <c r="J548" s="144" t="str">
        <f>IF(Formulario!F556&lt;&gt;"",IF(Formulario!F556=" "," ",Formulario!F556)," ")</f>
        <v xml:space="preserve"> </v>
      </c>
      <c r="K548" s="144" t="str">
        <f>IF(Formulario!G556&lt;&gt;"",IF(Formulario!G556=" "," ",Formulario!G556)," ")</f>
        <v xml:space="preserve"> </v>
      </c>
      <c r="L548" s="144" t="str">
        <f>IF(Formulario!H556&lt;&gt;"",IF(Formulario!H556=" "," ",Formulario!H556)," ")</f>
        <v xml:space="preserve"> </v>
      </c>
      <c r="M548" s="144" t="str">
        <f>IF(Formulario!I556&lt;&gt;"",IF(Formulario!I556=" "," ",Formulario!I556)," ")</f>
        <v xml:space="preserve"> </v>
      </c>
      <c r="N548" s="145" t="str">
        <f>IF(Formulario!J556&lt;&gt;"",IF(Formulario!J556=" "," ",Formulario!J556),IF(G548=".",".","Falta Fecha"))</f>
        <v>.</v>
      </c>
      <c r="O548" s="155">
        <f>Formulario!L556</f>
        <v>0</v>
      </c>
      <c r="P548" s="146">
        <f>IF(O548=1,"09:00",Formulario!M556)</f>
        <v>0</v>
      </c>
      <c r="Q548" s="146">
        <f>IF(O548=1,"18:30",Formulario!N556)</f>
        <v>0</v>
      </c>
      <c r="R548" s="146" t="str">
        <f>IF(Formulario!O556&lt;&gt;"",IF(Formulario!O556=" ",".",Formulario!O556),".")</f>
        <v>Post Venta</v>
      </c>
      <c r="S548" s="141" t="s">
        <v>131</v>
      </c>
    </row>
    <row r="549" spans="1:19">
      <c r="A549" s="141">
        <f>Formulario!B557</f>
        <v>0</v>
      </c>
      <c r="B549" s="144" t="str">
        <f>IF(G549="."," ",Formulario!D$5)</f>
        <v xml:space="preserve"> </v>
      </c>
      <c r="C549" s="144" t="str">
        <f>IF(G549=".","",Formulario!D$6)</f>
        <v/>
      </c>
      <c r="D549" s="144" t="str">
        <f>IF(H549=".","",Formulario!D$7)</f>
        <v/>
      </c>
      <c r="E549" s="144" t="str">
        <f>IF(G549=".","",Formulario!J$5)</f>
        <v/>
      </c>
      <c r="F549" s="145" t="str">
        <f>IF(G549=".","",Formulario!J$6)</f>
        <v/>
      </c>
      <c r="G549" s="180" t="str">
        <f>IF(Formulario!C557&lt;&gt;"",IF(Formulario!C557=" ","Falta Depto",IF(H549=".","Error En Descripción",Formulario!C557)),IF(H549=".",".","Falta Datos"))</f>
        <v>.</v>
      </c>
      <c r="H549" s="144" t="str">
        <f>IF(Formulario!D557&lt;&gt;"",IF(Formulario!D557=" ",".",Formulario!D557),".")</f>
        <v>.</v>
      </c>
      <c r="I549" s="144" t="str">
        <f>IF(Formulario!E557&lt;&gt;"",IF(Formulario!E557=" "," ",Formulario!E557),IF(G549=".",".","Falta Propietario"))</f>
        <v>.</v>
      </c>
      <c r="J549" s="144" t="str">
        <f>IF(Formulario!F557&lt;&gt;"",IF(Formulario!F557=" "," ",Formulario!F557)," ")</f>
        <v xml:space="preserve"> </v>
      </c>
      <c r="K549" s="144" t="str">
        <f>IF(Formulario!G557&lt;&gt;"",IF(Formulario!G557=" "," ",Formulario!G557)," ")</f>
        <v xml:space="preserve"> </v>
      </c>
      <c r="L549" s="144" t="str">
        <f>IF(Formulario!H557&lt;&gt;"",IF(Formulario!H557=" "," ",Formulario!H557)," ")</f>
        <v xml:space="preserve"> </v>
      </c>
      <c r="M549" s="144" t="str">
        <f>IF(Formulario!I557&lt;&gt;"",IF(Formulario!I557=" "," ",Formulario!I557)," ")</f>
        <v xml:space="preserve"> </v>
      </c>
      <c r="N549" s="145" t="str">
        <f>IF(Formulario!J557&lt;&gt;"",IF(Formulario!J557=" "," ",Formulario!J557),IF(G549=".",".","Falta Fecha"))</f>
        <v>.</v>
      </c>
      <c r="O549" s="155">
        <f>Formulario!L557</f>
        <v>0</v>
      </c>
      <c r="P549" s="146">
        <f>IF(O549=1,"09:00",Formulario!M557)</f>
        <v>0</v>
      </c>
      <c r="Q549" s="146">
        <f>IF(O549=1,"18:30",Formulario!N557)</f>
        <v>0</v>
      </c>
      <c r="R549" s="146" t="str">
        <f>IF(Formulario!O557&lt;&gt;"",IF(Formulario!O557=" ",".",Formulario!O557),".")</f>
        <v>Post Venta</v>
      </c>
      <c r="S549" s="141" t="s">
        <v>131</v>
      </c>
    </row>
    <row r="550" spans="1:19">
      <c r="A550" s="141">
        <f>Formulario!B558</f>
        <v>0</v>
      </c>
      <c r="B550" s="144" t="str">
        <f>IF(G550="."," ",Formulario!D$5)</f>
        <v xml:space="preserve"> </v>
      </c>
      <c r="C550" s="144" t="str">
        <f>IF(G550=".","",Formulario!D$6)</f>
        <v/>
      </c>
      <c r="D550" s="144" t="str">
        <f>IF(H550=".","",Formulario!D$7)</f>
        <v/>
      </c>
      <c r="E550" s="144" t="str">
        <f>IF(G550=".","",Formulario!J$5)</f>
        <v/>
      </c>
      <c r="F550" s="145" t="str">
        <f>IF(G550=".","",Formulario!J$6)</f>
        <v/>
      </c>
      <c r="G550" s="180" t="str">
        <f>IF(Formulario!C558&lt;&gt;"",IF(Formulario!C558=" ","Falta Depto",IF(H550=".","Error En Descripción",Formulario!C558)),IF(H550=".",".","Falta Datos"))</f>
        <v>.</v>
      </c>
      <c r="H550" s="144" t="str">
        <f>IF(Formulario!D558&lt;&gt;"",IF(Formulario!D558=" ",".",Formulario!D558),".")</f>
        <v>.</v>
      </c>
      <c r="I550" s="144" t="str">
        <f>IF(Formulario!E558&lt;&gt;"",IF(Formulario!E558=" "," ",Formulario!E558),IF(G550=".",".","Falta Propietario"))</f>
        <v>.</v>
      </c>
      <c r="J550" s="144" t="str">
        <f>IF(Formulario!F558&lt;&gt;"",IF(Formulario!F558=" "," ",Formulario!F558)," ")</f>
        <v xml:space="preserve"> </v>
      </c>
      <c r="K550" s="144" t="str">
        <f>IF(Formulario!G558&lt;&gt;"",IF(Formulario!G558=" "," ",Formulario!G558)," ")</f>
        <v xml:space="preserve"> </v>
      </c>
      <c r="L550" s="144" t="str">
        <f>IF(Formulario!H558&lt;&gt;"",IF(Formulario!H558=" "," ",Formulario!H558)," ")</f>
        <v xml:space="preserve"> </v>
      </c>
      <c r="M550" s="144" t="str">
        <f>IF(Formulario!I558&lt;&gt;"",IF(Formulario!I558=" "," ",Formulario!I558)," ")</f>
        <v xml:space="preserve"> </v>
      </c>
      <c r="N550" s="145" t="str">
        <f>IF(Formulario!J558&lt;&gt;"",IF(Formulario!J558=" "," ",Formulario!J558),IF(G550=".",".","Falta Fecha"))</f>
        <v>.</v>
      </c>
      <c r="O550" s="155">
        <f>Formulario!L558</f>
        <v>0</v>
      </c>
      <c r="P550" s="146">
        <f>IF(O550=1,"09:00",Formulario!M558)</f>
        <v>0</v>
      </c>
      <c r="Q550" s="146">
        <f>IF(O550=1,"18:30",Formulario!N558)</f>
        <v>0</v>
      </c>
      <c r="R550" s="146" t="str">
        <f>IF(Formulario!O558&lt;&gt;"",IF(Formulario!O558=" ",".",Formulario!O558),".")</f>
        <v>Post Venta</v>
      </c>
      <c r="S550" s="141" t="s">
        <v>131</v>
      </c>
    </row>
    <row r="551" spans="1:19">
      <c r="A551" s="141">
        <f>Formulario!B559</f>
        <v>0</v>
      </c>
      <c r="B551" s="144" t="str">
        <f>IF(G551="."," ",Formulario!D$5)</f>
        <v xml:space="preserve"> </v>
      </c>
      <c r="C551" s="144" t="str">
        <f>IF(G551=".","",Formulario!D$6)</f>
        <v/>
      </c>
      <c r="D551" s="144" t="str">
        <f>IF(H551=".","",Formulario!D$7)</f>
        <v/>
      </c>
      <c r="E551" s="144" t="str">
        <f>IF(G551=".","",Formulario!J$5)</f>
        <v/>
      </c>
      <c r="F551" s="145" t="str">
        <f>IF(G551=".","",Formulario!J$6)</f>
        <v/>
      </c>
      <c r="G551" s="180" t="str">
        <f>IF(Formulario!C559&lt;&gt;"",IF(Formulario!C559=" ","Falta Depto",IF(H551=".","Error En Descripción",Formulario!C559)),IF(H551=".",".","Falta Datos"))</f>
        <v>.</v>
      </c>
      <c r="H551" s="144" t="str">
        <f>IF(Formulario!D559&lt;&gt;"",IF(Formulario!D559=" ",".",Formulario!D559),".")</f>
        <v>.</v>
      </c>
      <c r="I551" s="144" t="str">
        <f>IF(Formulario!E559&lt;&gt;"",IF(Formulario!E559=" "," ",Formulario!E559),IF(G551=".",".","Falta Propietario"))</f>
        <v>.</v>
      </c>
      <c r="J551" s="144" t="str">
        <f>IF(Formulario!F559&lt;&gt;"",IF(Formulario!F559=" "," ",Formulario!F559)," ")</f>
        <v xml:space="preserve"> </v>
      </c>
      <c r="K551" s="144" t="str">
        <f>IF(Formulario!G559&lt;&gt;"",IF(Formulario!G559=" "," ",Formulario!G559)," ")</f>
        <v xml:space="preserve"> </v>
      </c>
      <c r="L551" s="144" t="str">
        <f>IF(Formulario!H559&lt;&gt;"",IF(Formulario!H559=" "," ",Formulario!H559)," ")</f>
        <v xml:space="preserve"> </v>
      </c>
      <c r="M551" s="144" t="str">
        <f>IF(Formulario!I559&lt;&gt;"",IF(Formulario!I559=" "," ",Formulario!I559)," ")</f>
        <v xml:space="preserve"> </v>
      </c>
      <c r="N551" s="145" t="str">
        <f>IF(Formulario!J559&lt;&gt;"",IF(Formulario!J559=" "," ",Formulario!J559),IF(G551=".",".","Falta Fecha"))</f>
        <v>.</v>
      </c>
      <c r="O551" s="155">
        <f>Formulario!L559</f>
        <v>0</v>
      </c>
      <c r="P551" s="146">
        <f>IF(O551=1,"09:00",Formulario!M559)</f>
        <v>0</v>
      </c>
      <c r="Q551" s="146">
        <f>IF(O551=1,"18:30",Formulario!N559)</f>
        <v>0</v>
      </c>
      <c r="R551" s="146" t="str">
        <f>IF(Formulario!O559&lt;&gt;"",IF(Formulario!O559=" ",".",Formulario!O559),".")</f>
        <v>Post Venta</v>
      </c>
      <c r="S551" s="141" t="s">
        <v>131</v>
      </c>
    </row>
    <row r="552" spans="1:19">
      <c r="A552" s="141">
        <f>Formulario!B560</f>
        <v>0</v>
      </c>
      <c r="B552" s="144" t="str">
        <f>IF(G552="."," ",Formulario!D$5)</f>
        <v xml:space="preserve"> </v>
      </c>
      <c r="C552" s="144" t="str">
        <f>IF(G552=".","",Formulario!D$6)</f>
        <v/>
      </c>
      <c r="D552" s="144" t="str">
        <f>IF(H552=".","",Formulario!D$7)</f>
        <v/>
      </c>
      <c r="E552" s="144" t="str">
        <f>IF(G552=".","",Formulario!J$5)</f>
        <v/>
      </c>
      <c r="F552" s="145" t="str">
        <f>IF(G552=".","",Formulario!J$6)</f>
        <v/>
      </c>
      <c r="G552" s="180" t="str">
        <f>IF(Formulario!C560&lt;&gt;"",IF(Formulario!C560=" ","Falta Depto",IF(H552=".","Error En Descripción",Formulario!C560)),IF(H552=".",".","Falta Datos"))</f>
        <v>.</v>
      </c>
      <c r="H552" s="144" t="str">
        <f>IF(Formulario!D560&lt;&gt;"",IF(Formulario!D560=" ",".",Formulario!D560),".")</f>
        <v>.</v>
      </c>
      <c r="I552" s="144" t="str">
        <f>IF(Formulario!E560&lt;&gt;"",IF(Formulario!E560=" "," ",Formulario!E560),IF(G552=".",".","Falta Propietario"))</f>
        <v>.</v>
      </c>
      <c r="J552" s="144" t="str">
        <f>IF(Formulario!F560&lt;&gt;"",IF(Formulario!F560=" "," ",Formulario!F560)," ")</f>
        <v xml:space="preserve"> </v>
      </c>
      <c r="K552" s="144" t="str">
        <f>IF(Formulario!G560&lt;&gt;"",IF(Formulario!G560=" "," ",Formulario!G560)," ")</f>
        <v xml:space="preserve"> </v>
      </c>
      <c r="L552" s="144" t="str">
        <f>IF(Formulario!H560&lt;&gt;"",IF(Formulario!H560=" "," ",Formulario!H560)," ")</f>
        <v xml:space="preserve"> </v>
      </c>
      <c r="M552" s="144" t="str">
        <f>IF(Formulario!I560&lt;&gt;"",IF(Formulario!I560=" "," ",Formulario!I560)," ")</f>
        <v xml:space="preserve"> </v>
      </c>
      <c r="N552" s="145" t="str">
        <f>IF(Formulario!J560&lt;&gt;"",IF(Formulario!J560=" "," ",Formulario!J560),IF(G552=".",".","Falta Fecha"))</f>
        <v>.</v>
      </c>
      <c r="O552" s="155">
        <f>Formulario!L560</f>
        <v>0</v>
      </c>
      <c r="P552" s="146">
        <f>IF(O552=1,"09:00",Formulario!M560)</f>
        <v>0</v>
      </c>
      <c r="Q552" s="146">
        <f>IF(O552=1,"18:30",Formulario!N560)</f>
        <v>0</v>
      </c>
      <c r="R552" s="146" t="str">
        <f>IF(Formulario!O560&lt;&gt;"",IF(Formulario!O560=" ",".",Formulario!O560),".")</f>
        <v>Post Venta</v>
      </c>
      <c r="S552" s="141" t="s">
        <v>131</v>
      </c>
    </row>
    <row r="553" spans="1:19">
      <c r="A553" s="141">
        <f>Formulario!B561</f>
        <v>0</v>
      </c>
      <c r="B553" s="144" t="str">
        <f>IF(G553="."," ",Formulario!D$5)</f>
        <v xml:space="preserve"> </v>
      </c>
      <c r="C553" s="144" t="str">
        <f>IF(G553=".","",Formulario!D$6)</f>
        <v/>
      </c>
      <c r="D553" s="144" t="str">
        <f>IF(H553=".","",Formulario!D$7)</f>
        <v/>
      </c>
      <c r="E553" s="144" t="str">
        <f>IF(G553=".","",Formulario!J$5)</f>
        <v/>
      </c>
      <c r="F553" s="145" t="str">
        <f>IF(G553=".","",Formulario!J$6)</f>
        <v/>
      </c>
      <c r="G553" s="180" t="str">
        <f>IF(Formulario!C561&lt;&gt;"",IF(Formulario!C561=" ","Falta Depto",IF(H553=".","Error En Descripción",Formulario!C561)),IF(H553=".",".","Falta Datos"))</f>
        <v>.</v>
      </c>
      <c r="H553" s="144" t="str">
        <f>IF(Formulario!D561&lt;&gt;"",IF(Formulario!D561=" ",".",Formulario!D561),".")</f>
        <v>.</v>
      </c>
      <c r="I553" s="144" t="str">
        <f>IF(Formulario!E561&lt;&gt;"",IF(Formulario!E561=" "," ",Formulario!E561),IF(G553=".",".","Falta Propietario"))</f>
        <v>.</v>
      </c>
      <c r="J553" s="144" t="str">
        <f>IF(Formulario!F561&lt;&gt;"",IF(Formulario!F561=" "," ",Formulario!F561)," ")</f>
        <v xml:space="preserve"> </v>
      </c>
      <c r="K553" s="144" t="str">
        <f>IF(Formulario!G561&lt;&gt;"",IF(Formulario!G561=" "," ",Formulario!G561)," ")</f>
        <v xml:space="preserve"> </v>
      </c>
      <c r="L553" s="144" t="str">
        <f>IF(Formulario!H561&lt;&gt;"",IF(Formulario!H561=" "," ",Formulario!H561)," ")</f>
        <v xml:space="preserve"> </v>
      </c>
      <c r="M553" s="144" t="str">
        <f>IF(Formulario!I561&lt;&gt;"",IF(Formulario!I561=" "," ",Formulario!I561)," ")</f>
        <v xml:space="preserve"> </v>
      </c>
      <c r="N553" s="145" t="str">
        <f>IF(Formulario!J561&lt;&gt;"",IF(Formulario!J561=" "," ",Formulario!J561),IF(G553=".",".","Falta Fecha"))</f>
        <v>.</v>
      </c>
      <c r="O553" s="155">
        <f>Formulario!L561</f>
        <v>0</v>
      </c>
      <c r="P553" s="146">
        <f>IF(O553=1,"09:00",Formulario!M561)</f>
        <v>0</v>
      </c>
      <c r="Q553" s="146">
        <f>IF(O553=1,"18:30",Formulario!N561)</f>
        <v>0</v>
      </c>
      <c r="R553" s="146" t="str">
        <f>IF(Formulario!O561&lt;&gt;"",IF(Formulario!O561=" ",".",Formulario!O561),".")</f>
        <v>Post Venta</v>
      </c>
      <c r="S553" s="141" t="s">
        <v>131</v>
      </c>
    </row>
    <row r="554" spans="1:19">
      <c r="A554" s="141">
        <f>Formulario!B562</f>
        <v>0</v>
      </c>
      <c r="B554" s="144" t="str">
        <f>IF(G554="."," ",Formulario!D$5)</f>
        <v xml:space="preserve"> </v>
      </c>
      <c r="C554" s="144" t="str">
        <f>IF(G554=".","",Formulario!D$6)</f>
        <v/>
      </c>
      <c r="D554" s="144" t="str">
        <f>IF(H554=".","",Formulario!D$7)</f>
        <v/>
      </c>
      <c r="E554" s="144" t="str">
        <f>IF(G554=".","",Formulario!J$5)</f>
        <v/>
      </c>
      <c r="F554" s="145" t="str">
        <f>IF(G554=".","",Formulario!J$6)</f>
        <v/>
      </c>
      <c r="G554" s="180" t="str">
        <f>IF(Formulario!C562&lt;&gt;"",IF(Formulario!C562=" ","Falta Depto",IF(H554=".","Error En Descripción",Formulario!C562)),IF(H554=".",".","Falta Datos"))</f>
        <v>.</v>
      </c>
      <c r="H554" s="144" t="str">
        <f>IF(Formulario!D562&lt;&gt;"",IF(Formulario!D562=" ",".",Formulario!D562),".")</f>
        <v>.</v>
      </c>
      <c r="I554" s="144" t="str">
        <f>IF(Formulario!E562&lt;&gt;"",IF(Formulario!E562=" "," ",Formulario!E562),IF(G554=".",".","Falta Propietario"))</f>
        <v>.</v>
      </c>
      <c r="J554" s="144" t="str">
        <f>IF(Formulario!F562&lt;&gt;"",IF(Formulario!F562=" "," ",Formulario!F562)," ")</f>
        <v xml:space="preserve"> </v>
      </c>
      <c r="K554" s="144" t="str">
        <f>IF(Formulario!G562&lt;&gt;"",IF(Formulario!G562=" "," ",Formulario!G562)," ")</f>
        <v xml:space="preserve"> </v>
      </c>
      <c r="L554" s="144" t="str">
        <f>IF(Formulario!H562&lt;&gt;"",IF(Formulario!H562=" "," ",Formulario!H562)," ")</f>
        <v xml:space="preserve"> </v>
      </c>
      <c r="M554" s="144" t="str">
        <f>IF(Formulario!I562&lt;&gt;"",IF(Formulario!I562=" "," ",Formulario!I562)," ")</f>
        <v xml:space="preserve"> </v>
      </c>
      <c r="N554" s="145" t="str">
        <f>IF(Formulario!J562&lt;&gt;"",IF(Formulario!J562=" "," ",Formulario!J562),IF(G554=".",".","Falta Fecha"))</f>
        <v>.</v>
      </c>
      <c r="O554" s="155">
        <f>Formulario!L562</f>
        <v>0</v>
      </c>
      <c r="P554" s="146">
        <f>IF(O554=1,"09:00",Formulario!M562)</f>
        <v>0</v>
      </c>
      <c r="Q554" s="146">
        <f>IF(O554=1,"18:30",Formulario!N562)</f>
        <v>0</v>
      </c>
      <c r="R554" s="146" t="str">
        <f>IF(Formulario!O562&lt;&gt;"",IF(Formulario!O562=" ",".",Formulario!O562),".")</f>
        <v>Post Venta</v>
      </c>
      <c r="S554" s="141" t="s">
        <v>131</v>
      </c>
    </row>
    <row r="555" spans="1:19">
      <c r="A555" s="141">
        <f>Formulario!B563</f>
        <v>0</v>
      </c>
      <c r="B555" s="144" t="str">
        <f>IF(G555="."," ",Formulario!D$5)</f>
        <v xml:space="preserve"> </v>
      </c>
      <c r="C555" s="144" t="str">
        <f>IF(G555=".","",Formulario!D$6)</f>
        <v/>
      </c>
      <c r="D555" s="144" t="str">
        <f>IF(H555=".","",Formulario!D$7)</f>
        <v/>
      </c>
      <c r="E555" s="144" t="str">
        <f>IF(G555=".","",Formulario!J$5)</f>
        <v/>
      </c>
      <c r="F555" s="145" t="str">
        <f>IF(G555=".","",Formulario!J$6)</f>
        <v/>
      </c>
      <c r="G555" s="180" t="str">
        <f>IF(Formulario!C563&lt;&gt;"",IF(Formulario!C563=" ","Falta Depto",IF(H555=".","Error En Descripción",Formulario!C563)),IF(H555=".",".","Falta Datos"))</f>
        <v>.</v>
      </c>
      <c r="H555" s="144" t="str">
        <f>IF(Formulario!D563&lt;&gt;"",IF(Formulario!D563=" ",".",Formulario!D563),".")</f>
        <v>.</v>
      </c>
      <c r="I555" s="144" t="str">
        <f>IF(Formulario!E563&lt;&gt;"",IF(Formulario!E563=" "," ",Formulario!E563),IF(G555=".",".","Falta Propietario"))</f>
        <v>.</v>
      </c>
      <c r="J555" s="144" t="str">
        <f>IF(Formulario!F563&lt;&gt;"",IF(Formulario!F563=" "," ",Formulario!F563)," ")</f>
        <v xml:space="preserve"> </v>
      </c>
      <c r="K555" s="144" t="str">
        <f>IF(Formulario!G563&lt;&gt;"",IF(Formulario!G563=" "," ",Formulario!G563)," ")</f>
        <v xml:space="preserve"> </v>
      </c>
      <c r="L555" s="144" t="str">
        <f>IF(Formulario!H563&lt;&gt;"",IF(Formulario!H563=" "," ",Formulario!H563)," ")</f>
        <v xml:space="preserve"> </v>
      </c>
      <c r="M555" s="144" t="str">
        <f>IF(Formulario!I563&lt;&gt;"",IF(Formulario!I563=" "," ",Formulario!I563)," ")</f>
        <v xml:space="preserve"> </v>
      </c>
      <c r="N555" s="145" t="str">
        <f>IF(Formulario!J563&lt;&gt;"",IF(Formulario!J563=" "," ",Formulario!J563),IF(G555=".",".","Falta Fecha"))</f>
        <v>.</v>
      </c>
      <c r="O555" s="155">
        <f>Formulario!L563</f>
        <v>0</v>
      </c>
      <c r="P555" s="146">
        <f>IF(O555=1,"09:00",Formulario!M563)</f>
        <v>0</v>
      </c>
      <c r="Q555" s="146">
        <f>IF(O555=1,"18:30",Formulario!N563)</f>
        <v>0</v>
      </c>
      <c r="R555" s="146" t="str">
        <f>IF(Formulario!O563&lt;&gt;"",IF(Formulario!O563=" ",".",Formulario!O563),".")</f>
        <v>Post Venta</v>
      </c>
      <c r="S555" s="141" t="s">
        <v>131</v>
      </c>
    </row>
    <row r="556" spans="1:19">
      <c r="A556" s="141">
        <f>Formulario!B564</f>
        <v>0</v>
      </c>
      <c r="B556" s="144" t="str">
        <f>IF(G556="."," ",Formulario!D$5)</f>
        <v xml:space="preserve"> </v>
      </c>
      <c r="C556" s="144" t="str">
        <f>IF(G556=".","",Formulario!D$6)</f>
        <v/>
      </c>
      <c r="D556" s="144" t="str">
        <f>IF(H556=".","",Formulario!D$7)</f>
        <v/>
      </c>
      <c r="E556" s="144" t="str">
        <f>IF(G556=".","",Formulario!J$5)</f>
        <v/>
      </c>
      <c r="F556" s="145" t="str">
        <f>IF(G556=".","",Formulario!J$6)</f>
        <v/>
      </c>
      <c r="G556" s="180" t="str">
        <f>IF(Formulario!C564&lt;&gt;"",IF(Formulario!C564=" ","Falta Depto",IF(H556=".","Error En Descripción",Formulario!C564)),IF(H556=".",".","Falta Datos"))</f>
        <v>.</v>
      </c>
      <c r="H556" s="144" t="str">
        <f>IF(Formulario!D564&lt;&gt;"",IF(Formulario!D564=" ",".",Formulario!D564),".")</f>
        <v>.</v>
      </c>
      <c r="I556" s="144" t="str">
        <f>IF(Formulario!E564&lt;&gt;"",IF(Formulario!E564=" "," ",Formulario!E564),IF(G556=".",".","Falta Propietario"))</f>
        <v>.</v>
      </c>
      <c r="J556" s="144" t="str">
        <f>IF(Formulario!F564&lt;&gt;"",IF(Formulario!F564=" "," ",Formulario!F564)," ")</f>
        <v xml:space="preserve"> </v>
      </c>
      <c r="K556" s="144" t="str">
        <f>IF(Formulario!G564&lt;&gt;"",IF(Formulario!G564=" "," ",Formulario!G564)," ")</f>
        <v xml:space="preserve"> </v>
      </c>
      <c r="L556" s="144" t="str">
        <f>IF(Formulario!H564&lt;&gt;"",IF(Formulario!H564=" "," ",Formulario!H564)," ")</f>
        <v xml:space="preserve"> </v>
      </c>
      <c r="M556" s="144" t="str">
        <f>IF(Formulario!I564&lt;&gt;"",IF(Formulario!I564=" "," ",Formulario!I564)," ")</f>
        <v xml:space="preserve"> </v>
      </c>
      <c r="N556" s="145" t="str">
        <f>IF(Formulario!J564&lt;&gt;"",IF(Formulario!J564=" "," ",Formulario!J564),IF(G556=".",".","Falta Fecha"))</f>
        <v>.</v>
      </c>
      <c r="O556" s="155">
        <f>Formulario!L564</f>
        <v>0</v>
      </c>
      <c r="P556" s="146">
        <f>IF(O556=1,"09:00",Formulario!M564)</f>
        <v>0</v>
      </c>
      <c r="Q556" s="146">
        <f>IF(O556=1,"18:30",Formulario!N564)</f>
        <v>0</v>
      </c>
      <c r="R556" s="146" t="str">
        <f>IF(Formulario!O564&lt;&gt;"",IF(Formulario!O564=" ",".",Formulario!O564),".")</f>
        <v>Post Venta</v>
      </c>
      <c r="S556" s="141" t="s">
        <v>131</v>
      </c>
    </row>
    <row r="557" spans="1:19">
      <c r="A557" s="141">
        <f>Formulario!B565</f>
        <v>0</v>
      </c>
      <c r="B557" s="144" t="str">
        <f>IF(G557="."," ",Formulario!D$5)</f>
        <v xml:space="preserve"> </v>
      </c>
      <c r="C557" s="144" t="str">
        <f>IF(G557=".","",Formulario!D$6)</f>
        <v/>
      </c>
      <c r="D557" s="144" t="str">
        <f>IF(H557=".","",Formulario!D$7)</f>
        <v/>
      </c>
      <c r="E557" s="144" t="str">
        <f>IF(G557=".","",Formulario!J$5)</f>
        <v/>
      </c>
      <c r="F557" s="145" t="str">
        <f>IF(G557=".","",Formulario!J$6)</f>
        <v/>
      </c>
      <c r="G557" s="180" t="str">
        <f>IF(Formulario!C565&lt;&gt;"",IF(Formulario!C565=" ","Falta Depto",IF(H557=".","Error En Descripción",Formulario!C565)),IF(H557=".",".","Falta Datos"))</f>
        <v>.</v>
      </c>
      <c r="H557" s="144" t="str">
        <f>IF(Formulario!D565&lt;&gt;"",IF(Formulario!D565=" ",".",Formulario!D565),".")</f>
        <v>.</v>
      </c>
      <c r="I557" s="144" t="str">
        <f>IF(Formulario!E565&lt;&gt;"",IF(Formulario!E565=" "," ",Formulario!E565),IF(G557=".",".","Falta Propietario"))</f>
        <v>.</v>
      </c>
      <c r="J557" s="144" t="str">
        <f>IF(Formulario!F565&lt;&gt;"",IF(Formulario!F565=" "," ",Formulario!F565)," ")</f>
        <v xml:space="preserve"> </v>
      </c>
      <c r="K557" s="144" t="str">
        <f>IF(Formulario!G565&lt;&gt;"",IF(Formulario!G565=" "," ",Formulario!G565)," ")</f>
        <v xml:space="preserve"> </v>
      </c>
      <c r="L557" s="144" t="str">
        <f>IF(Formulario!H565&lt;&gt;"",IF(Formulario!H565=" "," ",Formulario!H565)," ")</f>
        <v xml:space="preserve"> </v>
      </c>
      <c r="M557" s="144" t="str">
        <f>IF(Formulario!I565&lt;&gt;"",IF(Formulario!I565=" "," ",Formulario!I565)," ")</f>
        <v xml:space="preserve"> </v>
      </c>
      <c r="N557" s="145" t="str">
        <f>IF(Formulario!J565&lt;&gt;"",IF(Formulario!J565=" "," ",Formulario!J565),IF(G557=".",".","Falta Fecha"))</f>
        <v>.</v>
      </c>
      <c r="O557" s="155">
        <f>Formulario!L565</f>
        <v>0</v>
      </c>
      <c r="P557" s="146">
        <f>IF(O557=1,"09:00",Formulario!M565)</f>
        <v>0</v>
      </c>
      <c r="Q557" s="146">
        <f>IF(O557=1,"18:30",Formulario!N565)</f>
        <v>0</v>
      </c>
      <c r="R557" s="146" t="str">
        <f>IF(Formulario!O565&lt;&gt;"",IF(Formulario!O565=" ",".",Formulario!O565),".")</f>
        <v>Post Venta</v>
      </c>
      <c r="S557" s="141" t="s">
        <v>131</v>
      </c>
    </row>
    <row r="558" spans="1:19">
      <c r="A558" s="141">
        <f>Formulario!B566</f>
        <v>0</v>
      </c>
      <c r="B558" s="144" t="str">
        <f>IF(G558="."," ",Formulario!D$5)</f>
        <v xml:space="preserve"> </v>
      </c>
      <c r="C558" s="144" t="str">
        <f>IF(G558=".","",Formulario!D$6)</f>
        <v/>
      </c>
      <c r="D558" s="144" t="str">
        <f>IF(H558=".","",Formulario!D$7)</f>
        <v/>
      </c>
      <c r="E558" s="144" t="str">
        <f>IF(G558=".","",Formulario!J$5)</f>
        <v/>
      </c>
      <c r="F558" s="145" t="str">
        <f>IF(G558=".","",Formulario!J$6)</f>
        <v/>
      </c>
      <c r="G558" s="180" t="str">
        <f>IF(Formulario!C566&lt;&gt;"",IF(Formulario!C566=" ","Falta Depto",IF(H558=".","Error En Descripción",Formulario!C566)),IF(H558=".",".","Falta Datos"))</f>
        <v>.</v>
      </c>
      <c r="H558" s="144" t="str">
        <f>IF(Formulario!D566&lt;&gt;"",IF(Formulario!D566=" ",".",Formulario!D566),".")</f>
        <v>.</v>
      </c>
      <c r="I558" s="144" t="str">
        <f>IF(Formulario!E566&lt;&gt;"",IF(Formulario!E566=" "," ",Formulario!E566),IF(G558=".",".","Falta Propietario"))</f>
        <v>.</v>
      </c>
      <c r="J558" s="144" t="str">
        <f>IF(Formulario!F566&lt;&gt;"",IF(Formulario!F566=" "," ",Formulario!F566)," ")</f>
        <v xml:space="preserve"> </v>
      </c>
      <c r="K558" s="144" t="str">
        <f>IF(Formulario!G566&lt;&gt;"",IF(Formulario!G566=" "," ",Formulario!G566)," ")</f>
        <v xml:space="preserve"> </v>
      </c>
      <c r="L558" s="144" t="str">
        <f>IF(Formulario!H566&lt;&gt;"",IF(Formulario!H566=" "," ",Formulario!H566)," ")</f>
        <v xml:space="preserve"> </v>
      </c>
      <c r="M558" s="144" t="str">
        <f>IF(Formulario!I566&lt;&gt;"",IF(Formulario!I566=" "," ",Formulario!I566)," ")</f>
        <v xml:space="preserve"> </v>
      </c>
      <c r="N558" s="145" t="str">
        <f>IF(Formulario!J566&lt;&gt;"",IF(Formulario!J566=" "," ",Formulario!J566),IF(G558=".",".","Falta Fecha"))</f>
        <v>.</v>
      </c>
      <c r="O558" s="155">
        <f>Formulario!L566</f>
        <v>0</v>
      </c>
      <c r="P558" s="146">
        <f>IF(O558=1,"09:00",Formulario!M566)</f>
        <v>0</v>
      </c>
      <c r="Q558" s="146">
        <f>IF(O558=1,"18:30",Formulario!N566)</f>
        <v>0</v>
      </c>
      <c r="R558" s="146" t="str">
        <f>IF(Formulario!O566&lt;&gt;"",IF(Formulario!O566=" ",".",Formulario!O566),".")</f>
        <v>Post Venta</v>
      </c>
      <c r="S558" s="141" t="s">
        <v>131</v>
      </c>
    </row>
    <row r="559" spans="1:19">
      <c r="A559" s="141">
        <f>Formulario!B567</f>
        <v>0</v>
      </c>
      <c r="B559" s="144" t="str">
        <f>IF(G559="."," ",Formulario!D$5)</f>
        <v xml:space="preserve"> </v>
      </c>
      <c r="C559" s="144" t="str">
        <f>IF(G559=".","",Formulario!D$6)</f>
        <v/>
      </c>
      <c r="D559" s="144" t="str">
        <f>IF(H559=".","",Formulario!D$7)</f>
        <v/>
      </c>
      <c r="E559" s="144" t="str">
        <f>IF(G559=".","",Formulario!J$5)</f>
        <v/>
      </c>
      <c r="F559" s="145" t="str">
        <f>IF(G559=".","",Formulario!J$6)</f>
        <v/>
      </c>
      <c r="G559" s="180" t="str">
        <f>IF(Formulario!C567&lt;&gt;"",IF(Formulario!C567=" ","Falta Depto",IF(H559=".","Error En Descripción",Formulario!C567)),IF(H559=".",".","Falta Datos"))</f>
        <v>.</v>
      </c>
      <c r="H559" s="144" t="str">
        <f>IF(Formulario!D567&lt;&gt;"",IF(Formulario!D567=" ",".",Formulario!D567),".")</f>
        <v>.</v>
      </c>
      <c r="I559" s="144" t="str">
        <f>IF(Formulario!E567&lt;&gt;"",IF(Formulario!E567=" "," ",Formulario!E567),IF(G559=".",".","Falta Propietario"))</f>
        <v>.</v>
      </c>
      <c r="J559" s="144" t="str">
        <f>IF(Formulario!F567&lt;&gt;"",IF(Formulario!F567=" "," ",Formulario!F567)," ")</f>
        <v xml:space="preserve"> </v>
      </c>
      <c r="K559" s="144" t="str">
        <f>IF(Formulario!G567&lt;&gt;"",IF(Formulario!G567=" "," ",Formulario!G567)," ")</f>
        <v xml:space="preserve"> </v>
      </c>
      <c r="L559" s="144" t="str">
        <f>IF(Formulario!H567&lt;&gt;"",IF(Formulario!H567=" "," ",Formulario!H567)," ")</f>
        <v xml:space="preserve"> </v>
      </c>
      <c r="M559" s="144" t="str">
        <f>IF(Formulario!I567&lt;&gt;"",IF(Formulario!I567=" "," ",Formulario!I567)," ")</f>
        <v xml:space="preserve"> </v>
      </c>
      <c r="N559" s="145" t="str">
        <f>IF(Formulario!J567&lt;&gt;"",IF(Formulario!J567=" "," ",Formulario!J567),IF(G559=".",".","Falta Fecha"))</f>
        <v>.</v>
      </c>
      <c r="O559" s="155">
        <f>Formulario!L567</f>
        <v>0</v>
      </c>
      <c r="P559" s="146">
        <f>IF(O559=1,"09:00",Formulario!M567)</f>
        <v>0</v>
      </c>
      <c r="Q559" s="146">
        <f>IF(O559=1,"18:30",Formulario!N567)</f>
        <v>0</v>
      </c>
      <c r="R559" s="146" t="str">
        <f>IF(Formulario!O567&lt;&gt;"",IF(Formulario!O567=" ",".",Formulario!O567),".")</f>
        <v>Post Venta</v>
      </c>
      <c r="S559" s="141" t="s">
        <v>131</v>
      </c>
    </row>
    <row r="560" spans="1:19">
      <c r="A560" s="141">
        <f>Formulario!B568</f>
        <v>0</v>
      </c>
      <c r="B560" s="144" t="str">
        <f>IF(G560="."," ",Formulario!D$5)</f>
        <v xml:space="preserve"> </v>
      </c>
      <c r="C560" s="144" t="str">
        <f>IF(G560=".","",Formulario!D$6)</f>
        <v/>
      </c>
      <c r="D560" s="144" t="str">
        <f>IF(H560=".","",Formulario!D$7)</f>
        <v/>
      </c>
      <c r="E560" s="144" t="str">
        <f>IF(G560=".","",Formulario!J$5)</f>
        <v/>
      </c>
      <c r="F560" s="145" t="str">
        <f>IF(G560=".","",Formulario!J$6)</f>
        <v/>
      </c>
      <c r="G560" s="180" t="str">
        <f>IF(Formulario!C568&lt;&gt;"",IF(Formulario!C568=" ","Falta Depto",IF(H560=".","Error En Descripción",Formulario!C568)),IF(H560=".",".","Falta Datos"))</f>
        <v>.</v>
      </c>
      <c r="H560" s="144" t="str">
        <f>IF(Formulario!D568&lt;&gt;"",IF(Formulario!D568=" ",".",Formulario!D568),".")</f>
        <v>.</v>
      </c>
      <c r="I560" s="144" t="str">
        <f>IF(Formulario!E568&lt;&gt;"",IF(Formulario!E568=" "," ",Formulario!E568),IF(G560=".",".","Falta Propietario"))</f>
        <v>.</v>
      </c>
      <c r="J560" s="144" t="str">
        <f>IF(Formulario!F568&lt;&gt;"",IF(Formulario!F568=" "," ",Formulario!F568)," ")</f>
        <v xml:space="preserve"> </v>
      </c>
      <c r="K560" s="144" t="str">
        <f>IF(Formulario!G568&lt;&gt;"",IF(Formulario!G568=" "," ",Formulario!G568)," ")</f>
        <v xml:space="preserve"> </v>
      </c>
      <c r="L560" s="144" t="str">
        <f>IF(Formulario!H568&lt;&gt;"",IF(Formulario!H568=" "," ",Formulario!H568)," ")</f>
        <v xml:space="preserve"> </v>
      </c>
      <c r="M560" s="144" t="str">
        <f>IF(Formulario!I568&lt;&gt;"",IF(Formulario!I568=" "," ",Formulario!I568)," ")</f>
        <v xml:space="preserve"> </v>
      </c>
      <c r="N560" s="145" t="str">
        <f>IF(Formulario!J568&lt;&gt;"",IF(Formulario!J568=" "," ",Formulario!J568),IF(G560=".",".","Falta Fecha"))</f>
        <v>.</v>
      </c>
      <c r="O560" s="155">
        <f>Formulario!L568</f>
        <v>0</v>
      </c>
      <c r="P560" s="146">
        <f>IF(O560=1,"09:00",Formulario!M568)</f>
        <v>0</v>
      </c>
      <c r="Q560" s="146">
        <f>IF(O560=1,"18:30",Formulario!N568)</f>
        <v>0</v>
      </c>
      <c r="R560" s="146" t="str">
        <f>IF(Formulario!O568&lt;&gt;"",IF(Formulario!O568=" ",".",Formulario!O568),".")</f>
        <v>Post Venta</v>
      </c>
      <c r="S560" s="141" t="s">
        <v>131</v>
      </c>
    </row>
    <row r="561" spans="1:19">
      <c r="A561" s="141">
        <f>Formulario!B569</f>
        <v>0</v>
      </c>
      <c r="B561" s="144" t="str">
        <f>IF(G561="."," ",Formulario!D$5)</f>
        <v xml:space="preserve"> </v>
      </c>
      <c r="C561" s="144" t="str">
        <f>IF(G561=".","",Formulario!D$6)</f>
        <v/>
      </c>
      <c r="D561" s="144" t="str">
        <f>IF(H561=".","",Formulario!D$7)</f>
        <v/>
      </c>
      <c r="E561" s="144" t="str">
        <f>IF(G561=".","",Formulario!J$5)</f>
        <v/>
      </c>
      <c r="F561" s="145" t="str">
        <f>IF(G561=".","",Formulario!J$6)</f>
        <v/>
      </c>
      <c r="G561" s="180" t="str">
        <f>IF(Formulario!C569&lt;&gt;"",IF(Formulario!C569=" ","Falta Depto",IF(H561=".","Error En Descripción",Formulario!C569)),IF(H561=".",".","Falta Datos"))</f>
        <v>.</v>
      </c>
      <c r="H561" s="144" t="str">
        <f>IF(Formulario!D569&lt;&gt;"",IF(Formulario!D569=" ",".",Formulario!D569),".")</f>
        <v>.</v>
      </c>
      <c r="I561" s="144" t="str">
        <f>IF(Formulario!E569&lt;&gt;"",IF(Formulario!E569=" "," ",Formulario!E569),IF(G561=".",".","Falta Propietario"))</f>
        <v>.</v>
      </c>
      <c r="J561" s="144" t="str">
        <f>IF(Formulario!F569&lt;&gt;"",IF(Formulario!F569=" "," ",Formulario!F569)," ")</f>
        <v xml:space="preserve"> </v>
      </c>
      <c r="K561" s="144" t="str">
        <f>IF(Formulario!G569&lt;&gt;"",IF(Formulario!G569=" "," ",Formulario!G569)," ")</f>
        <v xml:space="preserve"> </v>
      </c>
      <c r="L561" s="144" t="str">
        <f>IF(Formulario!H569&lt;&gt;"",IF(Formulario!H569=" "," ",Formulario!H569)," ")</f>
        <v xml:space="preserve"> </v>
      </c>
      <c r="M561" s="144" t="str">
        <f>IF(Formulario!I569&lt;&gt;"",IF(Formulario!I569=" "," ",Formulario!I569)," ")</f>
        <v xml:space="preserve"> </v>
      </c>
      <c r="N561" s="145" t="str">
        <f>IF(Formulario!J569&lt;&gt;"",IF(Formulario!J569=" "," ",Formulario!J569),IF(G561=".",".","Falta Fecha"))</f>
        <v>.</v>
      </c>
      <c r="O561" s="155">
        <f>Formulario!L569</f>
        <v>0</v>
      </c>
      <c r="P561" s="146">
        <f>IF(O561=1,"09:00",Formulario!M569)</f>
        <v>0</v>
      </c>
      <c r="Q561" s="146">
        <f>IF(O561=1,"18:30",Formulario!N569)</f>
        <v>0</v>
      </c>
      <c r="R561" s="146" t="str">
        <f>IF(Formulario!O569&lt;&gt;"",IF(Formulario!O569=" ",".",Formulario!O569),".")</f>
        <v>Post Venta</v>
      </c>
      <c r="S561" s="141" t="s">
        <v>131</v>
      </c>
    </row>
    <row r="562" spans="1:19">
      <c r="A562" s="141">
        <f>Formulario!B570</f>
        <v>0</v>
      </c>
      <c r="B562" s="144" t="str">
        <f>IF(G562="."," ",Formulario!D$5)</f>
        <v xml:space="preserve"> </v>
      </c>
      <c r="C562" s="144" t="str">
        <f>IF(G562=".","",Formulario!D$6)</f>
        <v/>
      </c>
      <c r="D562" s="144" t="str">
        <f>IF(H562=".","",Formulario!D$7)</f>
        <v/>
      </c>
      <c r="E562" s="144" t="str">
        <f>IF(G562=".","",Formulario!J$5)</f>
        <v/>
      </c>
      <c r="F562" s="145" t="str">
        <f>IF(G562=".","",Formulario!J$6)</f>
        <v/>
      </c>
      <c r="G562" s="180" t="str">
        <f>IF(Formulario!C570&lt;&gt;"",IF(Formulario!C570=" ","Falta Depto",IF(H562=".","Error En Descripción",Formulario!C570)),IF(H562=".",".","Falta Datos"))</f>
        <v>.</v>
      </c>
      <c r="H562" s="144" t="str">
        <f>IF(Formulario!D570&lt;&gt;"",IF(Formulario!D570=" ",".",Formulario!D570),".")</f>
        <v>.</v>
      </c>
      <c r="I562" s="144" t="str">
        <f>IF(Formulario!E570&lt;&gt;"",IF(Formulario!E570=" "," ",Formulario!E570),IF(G562=".",".","Falta Propietario"))</f>
        <v>.</v>
      </c>
      <c r="J562" s="144" t="str">
        <f>IF(Formulario!F570&lt;&gt;"",IF(Formulario!F570=" "," ",Formulario!F570)," ")</f>
        <v xml:space="preserve"> </v>
      </c>
      <c r="K562" s="144" t="str">
        <f>IF(Formulario!G570&lt;&gt;"",IF(Formulario!G570=" "," ",Formulario!G570)," ")</f>
        <v xml:space="preserve"> </v>
      </c>
      <c r="L562" s="144" t="str">
        <f>IF(Formulario!H570&lt;&gt;"",IF(Formulario!H570=" "," ",Formulario!H570)," ")</f>
        <v xml:space="preserve"> </v>
      </c>
      <c r="M562" s="144" t="str">
        <f>IF(Formulario!I570&lt;&gt;"",IF(Formulario!I570=" "," ",Formulario!I570)," ")</f>
        <v xml:space="preserve"> </v>
      </c>
      <c r="N562" s="145" t="str">
        <f>IF(Formulario!J570&lt;&gt;"",IF(Formulario!J570=" "," ",Formulario!J570),IF(G562=".",".","Falta Fecha"))</f>
        <v>.</v>
      </c>
      <c r="O562" s="155">
        <f>Formulario!L570</f>
        <v>0</v>
      </c>
      <c r="P562" s="146">
        <f>IF(O562=1,"09:00",Formulario!M570)</f>
        <v>0</v>
      </c>
      <c r="Q562" s="146">
        <f>IF(O562=1,"18:30",Formulario!N570)</f>
        <v>0</v>
      </c>
      <c r="R562" s="146" t="str">
        <f>IF(Formulario!O570&lt;&gt;"",IF(Formulario!O570=" ",".",Formulario!O570),".")</f>
        <v>Post Venta</v>
      </c>
      <c r="S562" s="141" t="s">
        <v>131</v>
      </c>
    </row>
    <row r="563" spans="1:19">
      <c r="A563" s="141">
        <f>Formulario!B571</f>
        <v>0</v>
      </c>
      <c r="B563" s="144" t="str">
        <f>IF(G563="."," ",Formulario!D$5)</f>
        <v xml:space="preserve"> </v>
      </c>
      <c r="C563" s="144" t="str">
        <f>IF(G563=".","",Formulario!D$6)</f>
        <v/>
      </c>
      <c r="D563" s="144" t="str">
        <f>IF(H563=".","",Formulario!D$7)</f>
        <v/>
      </c>
      <c r="E563" s="144" t="str">
        <f>IF(G563=".","",Formulario!J$5)</f>
        <v/>
      </c>
      <c r="F563" s="145" t="str">
        <f>IF(G563=".","",Formulario!J$6)</f>
        <v/>
      </c>
      <c r="G563" s="180" t="str">
        <f>IF(Formulario!C571&lt;&gt;"",IF(Formulario!C571=" ","Falta Depto",IF(H563=".","Error En Descripción",Formulario!C571)),IF(H563=".",".","Falta Datos"))</f>
        <v>.</v>
      </c>
      <c r="H563" s="144" t="str">
        <f>IF(Formulario!D571&lt;&gt;"",IF(Formulario!D571=" ",".",Formulario!D571),".")</f>
        <v>.</v>
      </c>
      <c r="I563" s="144" t="str">
        <f>IF(Formulario!E571&lt;&gt;"",IF(Formulario!E571=" "," ",Formulario!E571),IF(G563=".",".","Falta Propietario"))</f>
        <v>.</v>
      </c>
      <c r="J563" s="144" t="str">
        <f>IF(Formulario!F571&lt;&gt;"",IF(Formulario!F571=" "," ",Formulario!F571)," ")</f>
        <v xml:space="preserve"> </v>
      </c>
      <c r="K563" s="144" t="str">
        <f>IF(Formulario!G571&lt;&gt;"",IF(Formulario!G571=" "," ",Formulario!G571)," ")</f>
        <v xml:space="preserve"> </v>
      </c>
      <c r="L563" s="144" t="str">
        <f>IF(Formulario!H571&lt;&gt;"",IF(Formulario!H571=" "," ",Formulario!H571)," ")</f>
        <v xml:space="preserve"> </v>
      </c>
      <c r="M563" s="144" t="str">
        <f>IF(Formulario!I571&lt;&gt;"",IF(Formulario!I571=" "," ",Formulario!I571)," ")</f>
        <v xml:space="preserve"> </v>
      </c>
      <c r="N563" s="145" t="str">
        <f>IF(Formulario!J571&lt;&gt;"",IF(Formulario!J571=" "," ",Formulario!J571),IF(G563=".",".","Falta Fecha"))</f>
        <v>.</v>
      </c>
      <c r="O563" s="155">
        <f>Formulario!L571</f>
        <v>0</v>
      </c>
      <c r="P563" s="146">
        <f>IF(O563=1,"09:00",Formulario!M571)</f>
        <v>0</v>
      </c>
      <c r="Q563" s="146">
        <f>IF(O563=1,"18:30",Formulario!N571)</f>
        <v>0</v>
      </c>
      <c r="R563" s="146" t="str">
        <f>IF(Formulario!O571&lt;&gt;"",IF(Formulario!O571=" ",".",Formulario!O571),".")</f>
        <v>Post Venta</v>
      </c>
      <c r="S563" s="141" t="s">
        <v>131</v>
      </c>
    </row>
    <row r="564" spans="1:19">
      <c r="A564" s="141">
        <f>Formulario!B572</f>
        <v>0</v>
      </c>
      <c r="B564" s="144" t="str">
        <f>IF(G564="."," ",Formulario!D$5)</f>
        <v xml:space="preserve"> </v>
      </c>
      <c r="C564" s="144" t="str">
        <f>IF(G564=".","",Formulario!D$6)</f>
        <v/>
      </c>
      <c r="D564" s="144" t="str">
        <f>IF(H564=".","",Formulario!D$7)</f>
        <v/>
      </c>
      <c r="E564" s="144" t="str">
        <f>IF(G564=".","",Formulario!J$5)</f>
        <v/>
      </c>
      <c r="F564" s="145" t="str">
        <f>IF(G564=".","",Formulario!J$6)</f>
        <v/>
      </c>
      <c r="G564" s="180" t="str">
        <f>IF(Formulario!C572&lt;&gt;"",IF(Formulario!C572=" ","Falta Depto",IF(H564=".","Error En Descripción",Formulario!C572)),IF(H564=".",".","Falta Datos"))</f>
        <v>.</v>
      </c>
      <c r="H564" s="144" t="str">
        <f>IF(Formulario!D572&lt;&gt;"",IF(Formulario!D572=" ",".",Formulario!D572),".")</f>
        <v>.</v>
      </c>
      <c r="I564" s="144" t="str">
        <f>IF(Formulario!E572&lt;&gt;"",IF(Formulario!E572=" "," ",Formulario!E572),IF(G564=".",".","Falta Propietario"))</f>
        <v>.</v>
      </c>
      <c r="J564" s="144" t="str">
        <f>IF(Formulario!F572&lt;&gt;"",IF(Formulario!F572=" "," ",Formulario!F572)," ")</f>
        <v xml:space="preserve"> </v>
      </c>
      <c r="K564" s="144" t="str">
        <f>IF(Formulario!G572&lt;&gt;"",IF(Formulario!G572=" "," ",Formulario!G572)," ")</f>
        <v xml:space="preserve"> </v>
      </c>
      <c r="L564" s="144" t="str">
        <f>IF(Formulario!H572&lt;&gt;"",IF(Formulario!H572=" "," ",Formulario!H572)," ")</f>
        <v xml:space="preserve"> </v>
      </c>
      <c r="M564" s="144" t="str">
        <f>IF(Formulario!I572&lt;&gt;"",IF(Formulario!I572=" "," ",Formulario!I572)," ")</f>
        <v xml:space="preserve"> </v>
      </c>
      <c r="N564" s="145" t="str">
        <f>IF(Formulario!J572&lt;&gt;"",IF(Formulario!J572=" "," ",Formulario!J572),IF(G564=".",".","Falta Fecha"))</f>
        <v>.</v>
      </c>
      <c r="O564" s="155">
        <f>Formulario!L572</f>
        <v>0</v>
      </c>
      <c r="P564" s="146">
        <f>IF(O564=1,"09:00",Formulario!M572)</f>
        <v>0</v>
      </c>
      <c r="Q564" s="146">
        <f>IF(O564=1,"18:30",Formulario!N572)</f>
        <v>0</v>
      </c>
      <c r="R564" s="146" t="str">
        <f>IF(Formulario!O572&lt;&gt;"",IF(Formulario!O572=" ",".",Formulario!O572),".")</f>
        <v>Post Venta</v>
      </c>
      <c r="S564" s="141" t="s">
        <v>131</v>
      </c>
    </row>
    <row r="565" spans="1:19">
      <c r="A565" s="141">
        <f>Formulario!B573</f>
        <v>0</v>
      </c>
      <c r="B565" s="144" t="str">
        <f>IF(G565="."," ",Formulario!D$5)</f>
        <v xml:space="preserve"> </v>
      </c>
      <c r="C565" s="144" t="str">
        <f>IF(G565=".","",Formulario!D$6)</f>
        <v/>
      </c>
      <c r="D565" s="144" t="str">
        <f>IF(H565=".","",Formulario!D$7)</f>
        <v/>
      </c>
      <c r="E565" s="144" t="str">
        <f>IF(G565=".","",Formulario!J$5)</f>
        <v/>
      </c>
      <c r="F565" s="145" t="str">
        <f>IF(G565=".","",Formulario!J$6)</f>
        <v/>
      </c>
      <c r="G565" s="180" t="str">
        <f>IF(Formulario!C573&lt;&gt;"",IF(Formulario!C573=" ","Falta Depto",IF(H565=".","Error En Descripción",Formulario!C573)),IF(H565=".",".","Falta Datos"))</f>
        <v>.</v>
      </c>
      <c r="H565" s="144" t="str">
        <f>IF(Formulario!D573&lt;&gt;"",IF(Formulario!D573=" ",".",Formulario!D573),".")</f>
        <v>.</v>
      </c>
      <c r="I565" s="144" t="str">
        <f>IF(Formulario!E573&lt;&gt;"",IF(Formulario!E573=" "," ",Formulario!E573),IF(G565=".",".","Falta Propietario"))</f>
        <v>.</v>
      </c>
      <c r="J565" s="144" t="str">
        <f>IF(Formulario!F573&lt;&gt;"",IF(Formulario!F573=" "," ",Formulario!F573)," ")</f>
        <v xml:space="preserve"> </v>
      </c>
      <c r="K565" s="144" t="str">
        <f>IF(Formulario!G573&lt;&gt;"",IF(Formulario!G573=" "," ",Formulario!G573)," ")</f>
        <v xml:space="preserve"> </v>
      </c>
      <c r="L565" s="144" t="str">
        <f>IF(Formulario!H573&lt;&gt;"",IF(Formulario!H573=" "," ",Formulario!H573)," ")</f>
        <v xml:space="preserve"> </v>
      </c>
      <c r="M565" s="144" t="str">
        <f>IF(Formulario!I573&lt;&gt;"",IF(Formulario!I573=" "," ",Formulario!I573)," ")</f>
        <v xml:space="preserve"> </v>
      </c>
      <c r="N565" s="145" t="str">
        <f>IF(Formulario!J573&lt;&gt;"",IF(Formulario!J573=" "," ",Formulario!J573),IF(G565=".",".","Falta Fecha"))</f>
        <v>.</v>
      </c>
      <c r="O565" s="155">
        <f>Formulario!L573</f>
        <v>0</v>
      </c>
      <c r="P565" s="146">
        <f>IF(O565=1,"09:00",Formulario!M573)</f>
        <v>0</v>
      </c>
      <c r="Q565" s="146">
        <f>IF(O565=1,"18:30",Formulario!N573)</f>
        <v>0</v>
      </c>
      <c r="R565" s="146" t="str">
        <f>IF(Formulario!O573&lt;&gt;"",IF(Formulario!O573=" ",".",Formulario!O573),".")</f>
        <v>Post Venta</v>
      </c>
      <c r="S565" s="141" t="s">
        <v>131</v>
      </c>
    </row>
    <row r="566" spans="1:19">
      <c r="A566" s="141">
        <f>Formulario!B574</f>
        <v>0</v>
      </c>
      <c r="B566" s="144" t="str">
        <f>IF(G566="."," ",Formulario!D$5)</f>
        <v xml:space="preserve"> </v>
      </c>
      <c r="C566" s="144" t="str">
        <f>IF(G566=".","",Formulario!D$6)</f>
        <v/>
      </c>
      <c r="D566" s="144" t="str">
        <f>IF(H566=".","",Formulario!D$7)</f>
        <v/>
      </c>
      <c r="E566" s="144" t="str">
        <f>IF(G566=".","",Formulario!J$5)</f>
        <v/>
      </c>
      <c r="F566" s="145" t="str">
        <f>IF(G566=".","",Formulario!J$6)</f>
        <v/>
      </c>
      <c r="G566" s="180" t="str">
        <f>IF(Formulario!C574&lt;&gt;"",IF(Formulario!C574=" ","Falta Depto",IF(H566=".","Error En Descripción",Formulario!C574)),IF(H566=".",".","Falta Datos"))</f>
        <v>.</v>
      </c>
      <c r="H566" s="144" t="str">
        <f>IF(Formulario!D574&lt;&gt;"",IF(Formulario!D574=" ",".",Formulario!D574),".")</f>
        <v>.</v>
      </c>
      <c r="I566" s="144" t="str">
        <f>IF(Formulario!E574&lt;&gt;"",IF(Formulario!E574=" "," ",Formulario!E574),IF(G566=".",".","Falta Propietario"))</f>
        <v>.</v>
      </c>
      <c r="J566" s="144" t="str">
        <f>IF(Formulario!F574&lt;&gt;"",IF(Formulario!F574=" "," ",Formulario!F574)," ")</f>
        <v xml:space="preserve"> </v>
      </c>
      <c r="K566" s="144" t="str">
        <f>IF(Formulario!G574&lt;&gt;"",IF(Formulario!G574=" "," ",Formulario!G574)," ")</f>
        <v xml:space="preserve"> </v>
      </c>
      <c r="L566" s="144" t="str">
        <f>IF(Formulario!H574&lt;&gt;"",IF(Formulario!H574=" "," ",Formulario!H574)," ")</f>
        <v xml:space="preserve"> </v>
      </c>
      <c r="M566" s="144" t="str">
        <f>IF(Formulario!I574&lt;&gt;"",IF(Formulario!I574=" "," ",Formulario!I574)," ")</f>
        <v xml:space="preserve"> </v>
      </c>
      <c r="N566" s="145" t="str">
        <f>IF(Formulario!J574&lt;&gt;"",IF(Formulario!J574=" "," ",Formulario!J574),IF(G566=".",".","Falta Fecha"))</f>
        <v>.</v>
      </c>
      <c r="O566" s="155">
        <f>Formulario!L574</f>
        <v>0</v>
      </c>
      <c r="P566" s="146">
        <f>IF(O566=1,"09:00",Formulario!M574)</f>
        <v>0</v>
      </c>
      <c r="Q566" s="146">
        <f>IF(O566=1,"18:30",Formulario!N574)</f>
        <v>0</v>
      </c>
      <c r="R566" s="146" t="str">
        <f>IF(Formulario!O574&lt;&gt;"",IF(Formulario!O574=" ",".",Formulario!O574),".")</f>
        <v>Post Venta</v>
      </c>
      <c r="S566" s="141" t="s">
        <v>131</v>
      </c>
    </row>
    <row r="567" spans="1:19">
      <c r="A567" s="141">
        <f>Formulario!B575</f>
        <v>0</v>
      </c>
      <c r="B567" s="144" t="str">
        <f>IF(G567="."," ",Formulario!D$5)</f>
        <v xml:space="preserve"> </v>
      </c>
      <c r="C567" s="144" t="str">
        <f>IF(G567=".","",Formulario!D$6)</f>
        <v/>
      </c>
      <c r="D567" s="144" t="str">
        <f>IF(H567=".","",Formulario!D$7)</f>
        <v/>
      </c>
      <c r="E567" s="144" t="str">
        <f>IF(G567=".","",Formulario!J$5)</f>
        <v/>
      </c>
      <c r="F567" s="145" t="str">
        <f>IF(G567=".","",Formulario!J$6)</f>
        <v/>
      </c>
      <c r="G567" s="180" t="str">
        <f>IF(Formulario!C575&lt;&gt;"",IF(Formulario!C575=" ","Falta Depto",IF(H567=".","Error En Descripción",Formulario!C575)),IF(H567=".",".","Falta Datos"))</f>
        <v>.</v>
      </c>
      <c r="H567" s="144" t="str">
        <f>IF(Formulario!D575&lt;&gt;"",IF(Formulario!D575=" ",".",Formulario!D575),".")</f>
        <v>.</v>
      </c>
      <c r="I567" s="144" t="str">
        <f>IF(Formulario!E575&lt;&gt;"",IF(Formulario!E575=" "," ",Formulario!E575),IF(G567=".",".","Falta Propietario"))</f>
        <v>.</v>
      </c>
      <c r="J567" s="144" t="str">
        <f>IF(Formulario!F575&lt;&gt;"",IF(Formulario!F575=" "," ",Formulario!F575)," ")</f>
        <v xml:space="preserve"> </v>
      </c>
      <c r="K567" s="144" t="str">
        <f>IF(Formulario!G575&lt;&gt;"",IF(Formulario!G575=" "," ",Formulario!G575)," ")</f>
        <v xml:space="preserve"> </v>
      </c>
      <c r="L567" s="144" t="str">
        <f>IF(Formulario!H575&lt;&gt;"",IF(Formulario!H575=" "," ",Formulario!H575)," ")</f>
        <v xml:space="preserve"> </v>
      </c>
      <c r="M567" s="144" t="str">
        <f>IF(Formulario!I575&lt;&gt;"",IF(Formulario!I575=" "," ",Formulario!I575)," ")</f>
        <v xml:space="preserve"> </v>
      </c>
      <c r="N567" s="145" t="str">
        <f>IF(Formulario!J575&lt;&gt;"",IF(Formulario!J575=" "," ",Formulario!J575),IF(G567=".",".","Falta Fecha"))</f>
        <v>.</v>
      </c>
      <c r="O567" s="155">
        <f>Formulario!L575</f>
        <v>0</v>
      </c>
      <c r="P567" s="146">
        <f>IF(O567=1,"09:00",Formulario!M575)</f>
        <v>0</v>
      </c>
      <c r="Q567" s="146">
        <f>IF(O567=1,"18:30",Formulario!N575)</f>
        <v>0</v>
      </c>
      <c r="R567" s="146" t="str">
        <f>IF(Formulario!O575&lt;&gt;"",IF(Formulario!O575=" ",".",Formulario!O575),".")</f>
        <v>Post Venta</v>
      </c>
      <c r="S567" s="141" t="s">
        <v>131</v>
      </c>
    </row>
    <row r="568" spans="1:19">
      <c r="A568" s="141">
        <f>Formulario!B576</f>
        <v>0</v>
      </c>
      <c r="B568" s="144" t="str">
        <f>IF(G568="."," ",Formulario!D$5)</f>
        <v xml:space="preserve"> </v>
      </c>
      <c r="C568" s="144" t="str">
        <f>IF(G568=".","",Formulario!D$6)</f>
        <v/>
      </c>
      <c r="D568" s="144" t="str">
        <f>IF(H568=".","",Formulario!D$7)</f>
        <v/>
      </c>
      <c r="E568" s="144" t="str">
        <f>IF(G568=".","",Formulario!J$5)</f>
        <v/>
      </c>
      <c r="F568" s="145" t="str">
        <f>IF(G568=".","",Formulario!J$6)</f>
        <v/>
      </c>
      <c r="G568" s="180" t="str">
        <f>IF(Formulario!C576&lt;&gt;"",IF(Formulario!C576=" ","Falta Depto",IF(H568=".","Error En Descripción",Formulario!C576)),IF(H568=".",".","Falta Datos"))</f>
        <v>.</v>
      </c>
      <c r="H568" s="144" t="str">
        <f>IF(Formulario!D576&lt;&gt;"",IF(Formulario!D576=" ",".",Formulario!D576),".")</f>
        <v>.</v>
      </c>
      <c r="I568" s="144" t="str">
        <f>IF(Formulario!E576&lt;&gt;"",IF(Formulario!E576=" "," ",Formulario!E576),IF(G568=".",".","Falta Propietario"))</f>
        <v>.</v>
      </c>
      <c r="J568" s="144" t="str">
        <f>IF(Formulario!F576&lt;&gt;"",IF(Formulario!F576=" "," ",Formulario!F576)," ")</f>
        <v xml:space="preserve"> </v>
      </c>
      <c r="K568" s="144" t="str">
        <f>IF(Formulario!G576&lt;&gt;"",IF(Formulario!G576=" "," ",Formulario!G576)," ")</f>
        <v xml:space="preserve"> </v>
      </c>
      <c r="L568" s="144" t="str">
        <f>IF(Formulario!H576&lt;&gt;"",IF(Formulario!H576=" "," ",Formulario!H576)," ")</f>
        <v xml:space="preserve"> </v>
      </c>
      <c r="M568" s="144" t="str">
        <f>IF(Formulario!I576&lt;&gt;"",IF(Formulario!I576=" "," ",Formulario!I576)," ")</f>
        <v xml:space="preserve"> </v>
      </c>
      <c r="N568" s="145" t="str">
        <f>IF(Formulario!J576&lt;&gt;"",IF(Formulario!J576=" "," ",Formulario!J576),IF(G568=".",".","Falta Fecha"))</f>
        <v>.</v>
      </c>
      <c r="O568" s="155">
        <f>Formulario!L576</f>
        <v>0</v>
      </c>
      <c r="P568" s="146">
        <f>IF(O568=1,"09:00",Formulario!M576)</f>
        <v>0</v>
      </c>
      <c r="Q568" s="146">
        <f>IF(O568=1,"18:30",Formulario!N576)</f>
        <v>0</v>
      </c>
      <c r="R568" s="146" t="str">
        <f>IF(Formulario!O576&lt;&gt;"",IF(Formulario!O576=" ",".",Formulario!O576),".")</f>
        <v>Post Venta</v>
      </c>
      <c r="S568" s="141" t="s">
        <v>131</v>
      </c>
    </row>
    <row r="569" spans="1:19">
      <c r="A569" s="141">
        <f>Formulario!B577</f>
        <v>0</v>
      </c>
      <c r="B569" s="144" t="str">
        <f>IF(G569="."," ",Formulario!D$5)</f>
        <v xml:space="preserve"> </v>
      </c>
      <c r="C569" s="144" t="str">
        <f>IF(G569=".","",Formulario!D$6)</f>
        <v/>
      </c>
      <c r="D569" s="144" t="str">
        <f>IF(H569=".","",Formulario!D$7)</f>
        <v/>
      </c>
      <c r="E569" s="144" t="str">
        <f>IF(G569=".","",Formulario!J$5)</f>
        <v/>
      </c>
      <c r="F569" s="145" t="str">
        <f>IF(G569=".","",Formulario!J$6)</f>
        <v/>
      </c>
      <c r="G569" s="180" t="str">
        <f>IF(Formulario!C577&lt;&gt;"",IF(Formulario!C577=" ","Falta Depto",IF(H569=".","Error En Descripción",Formulario!C577)),IF(H569=".",".","Falta Datos"))</f>
        <v>.</v>
      </c>
      <c r="H569" s="144" t="str">
        <f>IF(Formulario!D577&lt;&gt;"",IF(Formulario!D577=" ",".",Formulario!D577),".")</f>
        <v>.</v>
      </c>
      <c r="I569" s="144" t="str">
        <f>IF(Formulario!E577&lt;&gt;"",IF(Formulario!E577=" "," ",Formulario!E577),IF(G569=".",".","Falta Propietario"))</f>
        <v>.</v>
      </c>
      <c r="J569" s="144" t="str">
        <f>IF(Formulario!F577&lt;&gt;"",IF(Formulario!F577=" "," ",Formulario!F577)," ")</f>
        <v xml:space="preserve"> </v>
      </c>
      <c r="K569" s="144" t="str">
        <f>IF(Formulario!G577&lt;&gt;"",IF(Formulario!G577=" "," ",Formulario!G577)," ")</f>
        <v xml:space="preserve"> </v>
      </c>
      <c r="L569" s="144" t="str">
        <f>IF(Formulario!H577&lt;&gt;"",IF(Formulario!H577=" "," ",Formulario!H577)," ")</f>
        <v xml:space="preserve"> </v>
      </c>
      <c r="M569" s="144" t="str">
        <f>IF(Formulario!I577&lt;&gt;"",IF(Formulario!I577=" "," ",Formulario!I577)," ")</f>
        <v xml:space="preserve"> </v>
      </c>
      <c r="N569" s="145" t="str">
        <f>IF(Formulario!J577&lt;&gt;"",IF(Formulario!J577=" "," ",Formulario!J577),IF(G569=".",".","Falta Fecha"))</f>
        <v>.</v>
      </c>
      <c r="O569" s="155">
        <f>Formulario!L577</f>
        <v>0</v>
      </c>
      <c r="P569" s="146">
        <f>IF(O569=1,"09:00",Formulario!M577)</f>
        <v>0</v>
      </c>
      <c r="Q569" s="146">
        <f>IF(O569=1,"18:30",Formulario!N577)</f>
        <v>0</v>
      </c>
      <c r="R569" s="146" t="str">
        <f>IF(Formulario!O577&lt;&gt;"",IF(Formulario!O577=" ",".",Formulario!O577),".")</f>
        <v>Post Venta</v>
      </c>
      <c r="S569" s="141" t="s">
        <v>131</v>
      </c>
    </row>
    <row r="570" spans="1:19">
      <c r="A570" s="141">
        <f>Formulario!B578</f>
        <v>0</v>
      </c>
      <c r="B570" s="144" t="str">
        <f>IF(G570="."," ",Formulario!D$5)</f>
        <v xml:space="preserve"> </v>
      </c>
      <c r="C570" s="144" t="str">
        <f>IF(G570=".","",Formulario!D$6)</f>
        <v/>
      </c>
      <c r="D570" s="144" t="str">
        <f>IF(H570=".","",Formulario!D$7)</f>
        <v/>
      </c>
      <c r="E570" s="144" t="str">
        <f>IF(G570=".","",Formulario!J$5)</f>
        <v/>
      </c>
      <c r="F570" s="145" t="str">
        <f>IF(G570=".","",Formulario!J$6)</f>
        <v/>
      </c>
      <c r="G570" s="180" t="str">
        <f>IF(Formulario!C578&lt;&gt;"",IF(Formulario!C578=" ","Falta Depto",IF(H570=".","Error En Descripción",Formulario!C578)),IF(H570=".",".","Falta Datos"))</f>
        <v>.</v>
      </c>
      <c r="H570" s="144" t="str">
        <f>IF(Formulario!D578&lt;&gt;"",IF(Formulario!D578=" ",".",Formulario!D578),".")</f>
        <v>.</v>
      </c>
      <c r="I570" s="144" t="str">
        <f>IF(Formulario!E578&lt;&gt;"",IF(Formulario!E578=" "," ",Formulario!E578),IF(G570=".",".","Falta Propietario"))</f>
        <v>.</v>
      </c>
      <c r="J570" s="144" t="str">
        <f>IF(Formulario!F578&lt;&gt;"",IF(Formulario!F578=" "," ",Formulario!F578)," ")</f>
        <v xml:space="preserve"> </v>
      </c>
      <c r="K570" s="144" t="str">
        <f>IF(Formulario!G578&lt;&gt;"",IF(Formulario!G578=" "," ",Formulario!G578)," ")</f>
        <v xml:space="preserve"> </v>
      </c>
      <c r="L570" s="144" t="str">
        <f>IF(Formulario!H578&lt;&gt;"",IF(Formulario!H578=" "," ",Formulario!H578)," ")</f>
        <v xml:space="preserve"> </v>
      </c>
      <c r="M570" s="144" t="str">
        <f>IF(Formulario!I578&lt;&gt;"",IF(Formulario!I578=" "," ",Formulario!I578)," ")</f>
        <v xml:space="preserve"> </v>
      </c>
      <c r="N570" s="145" t="str">
        <f>IF(Formulario!J578&lt;&gt;"",IF(Formulario!J578=" "," ",Formulario!J578),IF(G570=".",".","Falta Fecha"))</f>
        <v>.</v>
      </c>
      <c r="O570" s="155">
        <f>Formulario!L578</f>
        <v>0</v>
      </c>
      <c r="P570" s="146">
        <f>IF(O570=1,"09:00",Formulario!M578)</f>
        <v>0</v>
      </c>
      <c r="Q570" s="146">
        <f>IF(O570=1,"18:30",Formulario!N578)</f>
        <v>0</v>
      </c>
      <c r="R570" s="146" t="str">
        <f>IF(Formulario!O578&lt;&gt;"",IF(Formulario!O578=" ",".",Formulario!O578),".")</f>
        <v>Post Venta</v>
      </c>
      <c r="S570" s="141" t="s">
        <v>131</v>
      </c>
    </row>
    <row r="571" spans="1:19">
      <c r="A571" s="141">
        <f>Formulario!B579</f>
        <v>0</v>
      </c>
      <c r="B571" s="144" t="str">
        <f>IF(G571="."," ",Formulario!D$5)</f>
        <v xml:space="preserve"> </v>
      </c>
      <c r="C571" s="144" t="str">
        <f>IF(G571=".","",Formulario!D$6)</f>
        <v/>
      </c>
      <c r="D571" s="144" t="str">
        <f>IF(H571=".","",Formulario!D$7)</f>
        <v/>
      </c>
      <c r="E571" s="144" t="str">
        <f>IF(G571=".","",Formulario!J$5)</f>
        <v/>
      </c>
      <c r="F571" s="145" t="str">
        <f>IF(G571=".","",Formulario!J$6)</f>
        <v/>
      </c>
      <c r="G571" s="180" t="str">
        <f>IF(Formulario!C579&lt;&gt;"",IF(Formulario!C579=" ","Falta Depto",IF(H571=".","Error En Descripción",Formulario!C579)),IF(H571=".",".","Falta Datos"))</f>
        <v>.</v>
      </c>
      <c r="H571" s="144" t="str">
        <f>IF(Formulario!D579&lt;&gt;"",IF(Formulario!D579=" ",".",Formulario!D579),".")</f>
        <v>.</v>
      </c>
      <c r="I571" s="144" t="str">
        <f>IF(Formulario!E579&lt;&gt;"",IF(Formulario!E579=" "," ",Formulario!E579),IF(G571=".",".","Falta Propietario"))</f>
        <v>.</v>
      </c>
      <c r="J571" s="144" t="str">
        <f>IF(Formulario!F579&lt;&gt;"",IF(Formulario!F579=" "," ",Formulario!F579)," ")</f>
        <v xml:space="preserve"> </v>
      </c>
      <c r="K571" s="144" t="str">
        <f>IF(Formulario!G579&lt;&gt;"",IF(Formulario!G579=" "," ",Formulario!G579)," ")</f>
        <v xml:space="preserve"> </v>
      </c>
      <c r="L571" s="144" t="str">
        <f>IF(Formulario!H579&lt;&gt;"",IF(Formulario!H579=" "," ",Formulario!H579)," ")</f>
        <v xml:space="preserve"> </v>
      </c>
      <c r="M571" s="144" t="str">
        <f>IF(Formulario!I579&lt;&gt;"",IF(Formulario!I579=" "," ",Formulario!I579)," ")</f>
        <v xml:space="preserve"> </v>
      </c>
      <c r="N571" s="145" t="str">
        <f>IF(Formulario!J579&lt;&gt;"",IF(Formulario!J579=" "," ",Formulario!J579),IF(G571=".",".","Falta Fecha"))</f>
        <v>.</v>
      </c>
      <c r="O571" s="155">
        <f>Formulario!L579</f>
        <v>0</v>
      </c>
      <c r="P571" s="146">
        <f>IF(O571=1,"09:00",Formulario!M579)</f>
        <v>0</v>
      </c>
      <c r="Q571" s="146">
        <f>IF(O571=1,"18:30",Formulario!N579)</f>
        <v>0</v>
      </c>
      <c r="R571" s="146" t="str">
        <f>IF(Formulario!O579&lt;&gt;"",IF(Formulario!O579=" ",".",Formulario!O579),".")</f>
        <v>Post Venta</v>
      </c>
      <c r="S571" s="141" t="s">
        <v>131</v>
      </c>
    </row>
    <row r="572" spans="1:19">
      <c r="A572" s="141">
        <f>Formulario!B580</f>
        <v>0</v>
      </c>
      <c r="B572" s="144" t="str">
        <f>IF(G572="."," ",Formulario!D$5)</f>
        <v xml:space="preserve"> </v>
      </c>
      <c r="C572" s="144" t="str">
        <f>IF(G572=".","",Formulario!D$6)</f>
        <v/>
      </c>
      <c r="D572" s="144" t="str">
        <f>IF(H572=".","",Formulario!D$7)</f>
        <v/>
      </c>
      <c r="E572" s="144" t="str">
        <f>IF(G572=".","",Formulario!J$5)</f>
        <v/>
      </c>
      <c r="F572" s="145" t="str">
        <f>IF(G572=".","",Formulario!J$6)</f>
        <v/>
      </c>
      <c r="G572" s="180" t="str">
        <f>IF(Formulario!C580&lt;&gt;"",IF(Formulario!C580=" ","Falta Depto",IF(H572=".","Error En Descripción",Formulario!C580)),IF(H572=".",".","Falta Datos"))</f>
        <v>.</v>
      </c>
      <c r="H572" s="144" t="str">
        <f>IF(Formulario!D580&lt;&gt;"",IF(Formulario!D580=" ",".",Formulario!D580),".")</f>
        <v>.</v>
      </c>
      <c r="I572" s="144" t="str">
        <f>IF(Formulario!E580&lt;&gt;"",IF(Formulario!E580=" "," ",Formulario!E580),IF(G572=".",".","Falta Propietario"))</f>
        <v>.</v>
      </c>
      <c r="J572" s="144" t="str">
        <f>IF(Formulario!F580&lt;&gt;"",IF(Formulario!F580=" "," ",Formulario!F580)," ")</f>
        <v xml:space="preserve"> </v>
      </c>
      <c r="K572" s="144" t="str">
        <f>IF(Formulario!G580&lt;&gt;"",IF(Formulario!G580=" "," ",Formulario!G580)," ")</f>
        <v xml:space="preserve"> </v>
      </c>
      <c r="L572" s="144" t="str">
        <f>IF(Formulario!H580&lt;&gt;"",IF(Formulario!H580=" "," ",Formulario!H580)," ")</f>
        <v xml:space="preserve"> </v>
      </c>
      <c r="M572" s="144" t="str">
        <f>IF(Formulario!I580&lt;&gt;"",IF(Formulario!I580=" "," ",Formulario!I580)," ")</f>
        <v xml:space="preserve"> </v>
      </c>
      <c r="N572" s="145" t="str">
        <f>IF(Formulario!J580&lt;&gt;"",IF(Formulario!J580=" "," ",Formulario!J580),IF(G572=".",".","Falta Fecha"))</f>
        <v>.</v>
      </c>
      <c r="O572" s="155">
        <f>Formulario!L580</f>
        <v>0</v>
      </c>
      <c r="P572" s="146">
        <f>IF(O572=1,"09:00",Formulario!M580)</f>
        <v>0</v>
      </c>
      <c r="Q572" s="146">
        <f>IF(O572=1,"18:30",Formulario!N580)</f>
        <v>0</v>
      </c>
      <c r="R572" s="146" t="str">
        <f>IF(Formulario!O580&lt;&gt;"",IF(Formulario!O580=" ",".",Formulario!O580),".")</f>
        <v>Post Venta</v>
      </c>
      <c r="S572" s="141" t="s">
        <v>131</v>
      </c>
    </row>
    <row r="573" spans="1:19">
      <c r="A573" s="141">
        <f>Formulario!B581</f>
        <v>0</v>
      </c>
      <c r="B573" s="144" t="str">
        <f>IF(G573="."," ",Formulario!D$5)</f>
        <v xml:space="preserve"> </v>
      </c>
      <c r="C573" s="144" t="str">
        <f>IF(G573=".","",Formulario!D$6)</f>
        <v/>
      </c>
      <c r="D573" s="144" t="str">
        <f>IF(H573=".","",Formulario!D$7)</f>
        <v/>
      </c>
      <c r="E573" s="144" t="str">
        <f>IF(G573=".","",Formulario!J$5)</f>
        <v/>
      </c>
      <c r="F573" s="145" t="str">
        <f>IF(G573=".","",Formulario!J$6)</f>
        <v/>
      </c>
      <c r="G573" s="180" t="str">
        <f>IF(Formulario!C581&lt;&gt;"",IF(Formulario!C581=" ","Falta Depto",IF(H573=".","Error En Descripción",Formulario!C581)),IF(H573=".",".","Falta Datos"))</f>
        <v>.</v>
      </c>
      <c r="H573" s="144" t="str">
        <f>IF(Formulario!D581&lt;&gt;"",IF(Formulario!D581=" ",".",Formulario!D581),".")</f>
        <v>.</v>
      </c>
      <c r="I573" s="144" t="str">
        <f>IF(Formulario!E581&lt;&gt;"",IF(Formulario!E581=" "," ",Formulario!E581),IF(G573=".",".","Falta Propietario"))</f>
        <v>.</v>
      </c>
      <c r="J573" s="144" t="str">
        <f>IF(Formulario!F581&lt;&gt;"",IF(Formulario!F581=" "," ",Formulario!F581)," ")</f>
        <v xml:space="preserve"> </v>
      </c>
      <c r="K573" s="144" t="str">
        <f>IF(Formulario!G581&lt;&gt;"",IF(Formulario!G581=" "," ",Formulario!G581)," ")</f>
        <v xml:space="preserve"> </v>
      </c>
      <c r="L573" s="144" t="str">
        <f>IF(Formulario!H581&lt;&gt;"",IF(Formulario!H581=" "," ",Formulario!H581)," ")</f>
        <v xml:space="preserve"> </v>
      </c>
      <c r="M573" s="144" t="str">
        <f>IF(Formulario!I581&lt;&gt;"",IF(Formulario!I581=" "," ",Formulario!I581)," ")</f>
        <v xml:space="preserve"> </v>
      </c>
      <c r="N573" s="145" t="str">
        <f>IF(Formulario!J581&lt;&gt;"",IF(Formulario!J581=" "," ",Formulario!J581),IF(G573=".",".","Falta Fecha"))</f>
        <v>.</v>
      </c>
      <c r="O573" s="155">
        <f>Formulario!L581</f>
        <v>0</v>
      </c>
      <c r="P573" s="146">
        <f>IF(O573=1,"09:00",Formulario!M581)</f>
        <v>0</v>
      </c>
      <c r="Q573" s="146">
        <f>IF(O573=1,"18:30",Formulario!N581)</f>
        <v>0</v>
      </c>
      <c r="R573" s="146" t="str">
        <f>IF(Formulario!O581&lt;&gt;"",IF(Formulario!O581=" ",".",Formulario!O581),".")</f>
        <v>Post Venta</v>
      </c>
      <c r="S573" s="141" t="s">
        <v>131</v>
      </c>
    </row>
    <row r="574" spans="1:19">
      <c r="A574" s="141">
        <f>Formulario!B582</f>
        <v>0</v>
      </c>
      <c r="B574" s="144" t="str">
        <f>IF(G574="."," ",Formulario!D$5)</f>
        <v xml:space="preserve"> </v>
      </c>
      <c r="C574" s="144" t="str">
        <f>IF(G574=".","",Formulario!D$6)</f>
        <v/>
      </c>
      <c r="D574" s="144" t="str">
        <f>IF(H574=".","",Formulario!D$7)</f>
        <v/>
      </c>
      <c r="E574" s="144" t="str">
        <f>IF(G574=".","",Formulario!J$5)</f>
        <v/>
      </c>
      <c r="F574" s="145" t="str">
        <f>IF(G574=".","",Formulario!J$6)</f>
        <v/>
      </c>
      <c r="G574" s="180" t="str">
        <f>IF(Formulario!C582&lt;&gt;"",IF(Formulario!C582=" ","Falta Depto",IF(H574=".","Error En Descripción",Formulario!C582)),IF(H574=".",".","Falta Datos"))</f>
        <v>.</v>
      </c>
      <c r="H574" s="144" t="str">
        <f>IF(Formulario!D582&lt;&gt;"",IF(Formulario!D582=" ",".",Formulario!D582),".")</f>
        <v>.</v>
      </c>
      <c r="I574" s="144" t="str">
        <f>IF(Formulario!E582&lt;&gt;"",IF(Formulario!E582=" "," ",Formulario!E582),IF(G574=".",".","Falta Propietario"))</f>
        <v>.</v>
      </c>
      <c r="J574" s="144" t="str">
        <f>IF(Formulario!F582&lt;&gt;"",IF(Formulario!F582=" "," ",Formulario!F582)," ")</f>
        <v xml:space="preserve"> </v>
      </c>
      <c r="K574" s="144" t="str">
        <f>IF(Formulario!G582&lt;&gt;"",IF(Formulario!G582=" "," ",Formulario!G582)," ")</f>
        <v xml:space="preserve"> </v>
      </c>
      <c r="L574" s="144" t="str">
        <f>IF(Formulario!H582&lt;&gt;"",IF(Formulario!H582=" "," ",Formulario!H582)," ")</f>
        <v xml:space="preserve"> </v>
      </c>
      <c r="M574" s="144" t="str">
        <f>IF(Formulario!I582&lt;&gt;"",IF(Formulario!I582=" "," ",Formulario!I582)," ")</f>
        <v xml:space="preserve"> </v>
      </c>
      <c r="N574" s="145" t="str">
        <f>IF(Formulario!J582&lt;&gt;"",IF(Formulario!J582=" "," ",Formulario!J582),IF(G574=".",".","Falta Fecha"))</f>
        <v>.</v>
      </c>
      <c r="O574" s="155">
        <f>Formulario!L582</f>
        <v>0</v>
      </c>
      <c r="P574" s="146">
        <f>IF(O574=1,"09:00",Formulario!M582)</f>
        <v>0</v>
      </c>
      <c r="Q574" s="146">
        <f>IF(O574=1,"18:30",Formulario!N582)</f>
        <v>0</v>
      </c>
      <c r="R574" s="146" t="str">
        <f>IF(Formulario!O582&lt;&gt;"",IF(Formulario!O582=" ",".",Formulario!O582),".")</f>
        <v>Post Venta</v>
      </c>
      <c r="S574" s="141" t="s">
        <v>131</v>
      </c>
    </row>
    <row r="575" spans="1:19">
      <c r="A575" s="141">
        <f>Formulario!B583</f>
        <v>0</v>
      </c>
      <c r="B575" s="144" t="str">
        <f>IF(G575="."," ",Formulario!D$5)</f>
        <v xml:space="preserve"> </v>
      </c>
      <c r="C575" s="144" t="str">
        <f>IF(G575=".","",Formulario!D$6)</f>
        <v/>
      </c>
      <c r="D575" s="144" t="str">
        <f>IF(H575=".","",Formulario!D$7)</f>
        <v/>
      </c>
      <c r="E575" s="144" t="str">
        <f>IF(G575=".","",Formulario!J$5)</f>
        <v/>
      </c>
      <c r="F575" s="145" t="str">
        <f>IF(G575=".","",Formulario!J$6)</f>
        <v/>
      </c>
      <c r="G575" s="180" t="str">
        <f>IF(Formulario!C583&lt;&gt;"",IF(Formulario!C583=" ","Falta Depto",IF(H575=".","Error En Descripción",Formulario!C583)),IF(H575=".",".","Falta Datos"))</f>
        <v>.</v>
      </c>
      <c r="H575" s="144" t="str">
        <f>IF(Formulario!D583&lt;&gt;"",IF(Formulario!D583=" ",".",Formulario!D583),".")</f>
        <v>.</v>
      </c>
      <c r="I575" s="144" t="str">
        <f>IF(Formulario!E583&lt;&gt;"",IF(Formulario!E583=" "," ",Formulario!E583),IF(G575=".",".","Falta Propietario"))</f>
        <v>.</v>
      </c>
      <c r="J575" s="144" t="str">
        <f>IF(Formulario!F583&lt;&gt;"",IF(Formulario!F583=" "," ",Formulario!F583)," ")</f>
        <v xml:space="preserve"> </v>
      </c>
      <c r="K575" s="144" t="str">
        <f>IF(Formulario!G583&lt;&gt;"",IF(Formulario!G583=" "," ",Formulario!G583)," ")</f>
        <v xml:space="preserve"> </v>
      </c>
      <c r="L575" s="144" t="str">
        <f>IF(Formulario!H583&lt;&gt;"",IF(Formulario!H583=" "," ",Formulario!H583)," ")</f>
        <v xml:space="preserve"> </v>
      </c>
      <c r="M575" s="144" t="str">
        <f>IF(Formulario!I583&lt;&gt;"",IF(Formulario!I583=" "," ",Formulario!I583)," ")</f>
        <v xml:space="preserve"> </v>
      </c>
      <c r="N575" s="145" t="str">
        <f>IF(Formulario!J583&lt;&gt;"",IF(Formulario!J583=" "," ",Formulario!J583),IF(G575=".",".","Falta Fecha"))</f>
        <v>.</v>
      </c>
      <c r="O575" s="155">
        <f>Formulario!L583</f>
        <v>0</v>
      </c>
      <c r="P575" s="146">
        <f>IF(O575=1,"09:00",Formulario!M583)</f>
        <v>0</v>
      </c>
      <c r="Q575" s="146">
        <f>IF(O575=1,"18:30",Formulario!N583)</f>
        <v>0</v>
      </c>
      <c r="R575" s="146" t="str">
        <f>IF(Formulario!O583&lt;&gt;"",IF(Formulario!O583=" ",".",Formulario!O583),".")</f>
        <v>Post Venta</v>
      </c>
      <c r="S575" s="141" t="s">
        <v>131</v>
      </c>
    </row>
    <row r="576" spans="1:19">
      <c r="A576" s="141">
        <f>Formulario!B584</f>
        <v>0</v>
      </c>
      <c r="B576" s="144" t="str">
        <f>IF(G576="."," ",Formulario!D$5)</f>
        <v xml:space="preserve"> </v>
      </c>
      <c r="C576" s="144" t="str">
        <f>IF(G576=".","",Formulario!D$6)</f>
        <v/>
      </c>
      <c r="D576" s="144" t="str">
        <f>IF(H576=".","",Formulario!D$7)</f>
        <v/>
      </c>
      <c r="E576" s="144" t="str">
        <f>IF(G576=".","",Formulario!J$5)</f>
        <v/>
      </c>
      <c r="F576" s="145" t="str">
        <f>IF(G576=".","",Formulario!J$6)</f>
        <v/>
      </c>
      <c r="G576" s="180" t="str">
        <f>IF(Formulario!C584&lt;&gt;"",IF(Formulario!C584=" ","Falta Depto",IF(H576=".","Error En Descripción",Formulario!C584)),IF(H576=".",".","Falta Datos"))</f>
        <v>.</v>
      </c>
      <c r="H576" s="144" t="str">
        <f>IF(Formulario!D584&lt;&gt;"",IF(Formulario!D584=" ",".",Formulario!D584),".")</f>
        <v>.</v>
      </c>
      <c r="I576" s="144" t="str">
        <f>IF(Formulario!E584&lt;&gt;"",IF(Formulario!E584=" "," ",Formulario!E584),IF(G576=".",".","Falta Propietario"))</f>
        <v>.</v>
      </c>
      <c r="J576" s="144" t="str">
        <f>IF(Formulario!F584&lt;&gt;"",IF(Formulario!F584=" "," ",Formulario!F584)," ")</f>
        <v xml:space="preserve"> </v>
      </c>
      <c r="K576" s="144" t="str">
        <f>IF(Formulario!G584&lt;&gt;"",IF(Formulario!G584=" "," ",Formulario!G584)," ")</f>
        <v xml:space="preserve"> </v>
      </c>
      <c r="L576" s="144" t="str">
        <f>IF(Formulario!H584&lt;&gt;"",IF(Formulario!H584=" "," ",Formulario!H584)," ")</f>
        <v xml:space="preserve"> </v>
      </c>
      <c r="M576" s="144" t="str">
        <f>IF(Formulario!I584&lt;&gt;"",IF(Formulario!I584=" "," ",Formulario!I584)," ")</f>
        <v xml:space="preserve"> </v>
      </c>
      <c r="N576" s="145" t="str">
        <f>IF(Formulario!J584&lt;&gt;"",IF(Formulario!J584=" "," ",Formulario!J584),IF(G576=".",".","Falta Fecha"))</f>
        <v>.</v>
      </c>
      <c r="O576" s="155">
        <f>Formulario!L584</f>
        <v>0</v>
      </c>
      <c r="P576" s="146">
        <f>IF(O576=1,"09:00",Formulario!M584)</f>
        <v>0</v>
      </c>
      <c r="Q576" s="146">
        <f>IF(O576=1,"18:30",Formulario!N584)</f>
        <v>0</v>
      </c>
      <c r="R576" s="146" t="str">
        <f>IF(Formulario!O584&lt;&gt;"",IF(Formulario!O584=" ",".",Formulario!O584),".")</f>
        <v>Post Venta</v>
      </c>
      <c r="S576" s="141" t="s">
        <v>131</v>
      </c>
    </row>
    <row r="577" spans="1:19">
      <c r="A577" s="141">
        <f>Formulario!B585</f>
        <v>0</v>
      </c>
      <c r="B577" s="144" t="str">
        <f>IF(G577="."," ",Formulario!D$5)</f>
        <v xml:space="preserve"> </v>
      </c>
      <c r="C577" s="144" t="str">
        <f>IF(G577=".","",Formulario!D$6)</f>
        <v/>
      </c>
      <c r="D577" s="144" t="str">
        <f>IF(H577=".","",Formulario!D$7)</f>
        <v/>
      </c>
      <c r="E577" s="144" t="str">
        <f>IF(G577=".","",Formulario!J$5)</f>
        <v/>
      </c>
      <c r="F577" s="145" t="str">
        <f>IF(G577=".","",Formulario!J$6)</f>
        <v/>
      </c>
      <c r="G577" s="180" t="str">
        <f>IF(Formulario!C585&lt;&gt;"",IF(Formulario!C585=" ","Falta Depto",IF(H577=".","Error En Descripción",Formulario!C585)),IF(H577=".",".","Falta Datos"))</f>
        <v>.</v>
      </c>
      <c r="H577" s="144" t="str">
        <f>IF(Formulario!D585&lt;&gt;"",IF(Formulario!D585=" ",".",Formulario!D585),".")</f>
        <v>.</v>
      </c>
      <c r="I577" s="144" t="str">
        <f>IF(Formulario!E585&lt;&gt;"",IF(Formulario!E585=" "," ",Formulario!E585),IF(G577=".",".","Falta Propietario"))</f>
        <v>.</v>
      </c>
      <c r="J577" s="144" t="str">
        <f>IF(Formulario!F585&lt;&gt;"",IF(Formulario!F585=" "," ",Formulario!F585)," ")</f>
        <v xml:space="preserve"> </v>
      </c>
      <c r="K577" s="144" t="str">
        <f>IF(Formulario!G585&lt;&gt;"",IF(Formulario!G585=" "," ",Formulario!G585)," ")</f>
        <v xml:space="preserve"> </v>
      </c>
      <c r="L577" s="144" t="str">
        <f>IF(Formulario!H585&lt;&gt;"",IF(Formulario!H585=" "," ",Formulario!H585)," ")</f>
        <v xml:space="preserve"> </v>
      </c>
      <c r="M577" s="144" t="str">
        <f>IF(Formulario!I585&lt;&gt;"",IF(Formulario!I585=" "," ",Formulario!I585)," ")</f>
        <v xml:space="preserve"> </v>
      </c>
      <c r="N577" s="145" t="str">
        <f>IF(Formulario!J585&lt;&gt;"",IF(Formulario!J585=" "," ",Formulario!J585),IF(G577=".",".","Falta Fecha"))</f>
        <v>.</v>
      </c>
      <c r="O577" s="155">
        <f>Formulario!L585</f>
        <v>0</v>
      </c>
      <c r="P577" s="146">
        <f>IF(O577=1,"09:00",Formulario!M585)</f>
        <v>0</v>
      </c>
      <c r="Q577" s="146">
        <f>IF(O577=1,"18:30",Formulario!N585)</f>
        <v>0</v>
      </c>
      <c r="R577" s="146" t="str">
        <f>IF(Formulario!O585&lt;&gt;"",IF(Formulario!O585=" ",".",Formulario!O585),".")</f>
        <v>Post Venta</v>
      </c>
      <c r="S577" s="141" t="s">
        <v>131</v>
      </c>
    </row>
    <row r="578" spans="1:19">
      <c r="A578" s="141">
        <f>Formulario!B586</f>
        <v>0</v>
      </c>
      <c r="B578" s="144" t="str">
        <f>IF(G578="."," ",Formulario!D$5)</f>
        <v xml:space="preserve"> </v>
      </c>
      <c r="C578" s="144" t="str">
        <f>IF(G578=".","",Formulario!D$6)</f>
        <v/>
      </c>
      <c r="D578" s="144" t="str">
        <f>IF(H578=".","",Formulario!D$7)</f>
        <v/>
      </c>
      <c r="E578" s="144" t="str">
        <f>IF(G578=".","",Formulario!J$5)</f>
        <v/>
      </c>
      <c r="F578" s="145" t="str">
        <f>IF(G578=".","",Formulario!J$6)</f>
        <v/>
      </c>
      <c r="G578" s="180" t="str">
        <f>IF(Formulario!C586&lt;&gt;"",IF(Formulario!C586=" ","Falta Depto",IF(H578=".","Error En Descripción",Formulario!C586)),IF(H578=".",".","Falta Datos"))</f>
        <v>.</v>
      </c>
      <c r="H578" s="144" t="str">
        <f>IF(Formulario!D586&lt;&gt;"",IF(Formulario!D586=" ",".",Formulario!D586),".")</f>
        <v>.</v>
      </c>
      <c r="I578" s="144" t="str">
        <f>IF(Formulario!E586&lt;&gt;"",IF(Formulario!E586=" "," ",Formulario!E586),IF(G578=".",".","Falta Propietario"))</f>
        <v>.</v>
      </c>
      <c r="J578" s="144" t="str">
        <f>IF(Formulario!F586&lt;&gt;"",IF(Formulario!F586=" "," ",Formulario!F586)," ")</f>
        <v xml:space="preserve"> </v>
      </c>
      <c r="K578" s="144" t="str">
        <f>IF(Formulario!G586&lt;&gt;"",IF(Formulario!G586=" "," ",Formulario!G586)," ")</f>
        <v xml:space="preserve"> </v>
      </c>
      <c r="L578" s="144" t="str">
        <f>IF(Formulario!H586&lt;&gt;"",IF(Formulario!H586=" "," ",Formulario!H586)," ")</f>
        <v xml:space="preserve"> </v>
      </c>
      <c r="M578" s="144" t="str">
        <f>IF(Formulario!I586&lt;&gt;"",IF(Formulario!I586=" "," ",Formulario!I586)," ")</f>
        <v xml:space="preserve"> </v>
      </c>
      <c r="N578" s="145" t="str">
        <f>IF(Formulario!J586&lt;&gt;"",IF(Formulario!J586=" "," ",Formulario!J586),IF(G578=".",".","Falta Fecha"))</f>
        <v>.</v>
      </c>
      <c r="O578" s="155">
        <f>Formulario!L586</f>
        <v>0</v>
      </c>
      <c r="P578" s="146">
        <f>IF(O578=1,"09:00",Formulario!M586)</f>
        <v>0</v>
      </c>
      <c r="Q578" s="146">
        <f>IF(O578=1,"18:30",Formulario!N586)</f>
        <v>0</v>
      </c>
      <c r="R578" s="146" t="str">
        <f>IF(Formulario!O586&lt;&gt;"",IF(Formulario!O586=" ",".",Formulario!O586),".")</f>
        <v>Post Venta</v>
      </c>
      <c r="S578" s="141" t="s">
        <v>131</v>
      </c>
    </row>
    <row r="579" spans="1:19">
      <c r="A579" s="141">
        <f>Formulario!B587</f>
        <v>0</v>
      </c>
      <c r="B579" s="144" t="str">
        <f>IF(G579="."," ",Formulario!D$5)</f>
        <v xml:space="preserve"> </v>
      </c>
      <c r="C579" s="144" t="str">
        <f>IF(G579=".","",Formulario!D$6)</f>
        <v/>
      </c>
      <c r="D579" s="144" t="str">
        <f>IF(H579=".","",Formulario!D$7)</f>
        <v/>
      </c>
      <c r="E579" s="144" t="str">
        <f>IF(G579=".","",Formulario!J$5)</f>
        <v/>
      </c>
      <c r="F579" s="145" t="str">
        <f>IF(G579=".","",Formulario!J$6)</f>
        <v/>
      </c>
      <c r="G579" s="180" t="str">
        <f>IF(Formulario!C587&lt;&gt;"",IF(Formulario!C587=" ","Falta Depto",IF(H579=".","Error En Descripción",Formulario!C587)),IF(H579=".",".","Falta Datos"))</f>
        <v>.</v>
      </c>
      <c r="H579" s="144" t="str">
        <f>IF(Formulario!D587&lt;&gt;"",IF(Formulario!D587=" ",".",Formulario!D587),".")</f>
        <v>.</v>
      </c>
      <c r="I579" s="144" t="str">
        <f>IF(Formulario!E587&lt;&gt;"",IF(Formulario!E587=" "," ",Formulario!E587),IF(G579=".",".","Falta Propietario"))</f>
        <v>.</v>
      </c>
      <c r="J579" s="144" t="str">
        <f>IF(Formulario!F587&lt;&gt;"",IF(Formulario!F587=" "," ",Formulario!F587)," ")</f>
        <v xml:space="preserve"> </v>
      </c>
      <c r="K579" s="144" t="str">
        <f>IF(Formulario!G587&lt;&gt;"",IF(Formulario!G587=" "," ",Formulario!G587)," ")</f>
        <v xml:space="preserve"> </v>
      </c>
      <c r="L579" s="144" t="str">
        <f>IF(Formulario!H587&lt;&gt;"",IF(Formulario!H587=" "," ",Formulario!H587)," ")</f>
        <v xml:space="preserve"> </v>
      </c>
      <c r="M579" s="144" t="str">
        <f>IF(Formulario!I587&lt;&gt;"",IF(Formulario!I587=" "," ",Formulario!I587)," ")</f>
        <v xml:space="preserve"> </v>
      </c>
      <c r="N579" s="145" t="str">
        <f>IF(Formulario!J587&lt;&gt;"",IF(Formulario!J587=" "," ",Formulario!J587),IF(G579=".",".","Falta Fecha"))</f>
        <v>.</v>
      </c>
      <c r="O579" s="155">
        <f>Formulario!L587</f>
        <v>0</v>
      </c>
      <c r="P579" s="146">
        <f>IF(O579=1,"09:00",Formulario!M587)</f>
        <v>0</v>
      </c>
      <c r="Q579" s="146">
        <f>IF(O579=1,"18:30",Formulario!N587)</f>
        <v>0</v>
      </c>
      <c r="R579" s="146" t="str">
        <f>IF(Formulario!O587&lt;&gt;"",IF(Formulario!O587=" ",".",Formulario!O587),".")</f>
        <v>Post Venta</v>
      </c>
      <c r="S579" s="141" t="s">
        <v>131</v>
      </c>
    </row>
    <row r="580" spans="1:19">
      <c r="A580" s="141">
        <f>Formulario!B588</f>
        <v>0</v>
      </c>
      <c r="B580" s="144" t="str">
        <f>IF(G580="."," ",Formulario!D$5)</f>
        <v xml:space="preserve"> </v>
      </c>
      <c r="C580" s="144" t="str">
        <f>IF(G580=".","",Formulario!D$6)</f>
        <v/>
      </c>
      <c r="D580" s="144" t="str">
        <f>IF(H580=".","",Formulario!D$7)</f>
        <v/>
      </c>
      <c r="E580" s="144" t="str">
        <f>IF(G580=".","",Formulario!J$5)</f>
        <v/>
      </c>
      <c r="F580" s="145" t="str">
        <f>IF(G580=".","",Formulario!J$6)</f>
        <v/>
      </c>
      <c r="G580" s="180" t="str">
        <f>IF(Formulario!C588&lt;&gt;"",IF(Formulario!C588=" ","Falta Depto",IF(H580=".","Error En Descripción",Formulario!C588)),IF(H580=".",".","Falta Datos"))</f>
        <v>.</v>
      </c>
      <c r="H580" s="144" t="str">
        <f>IF(Formulario!D588&lt;&gt;"",IF(Formulario!D588=" ",".",Formulario!D588),".")</f>
        <v>.</v>
      </c>
      <c r="I580" s="144" t="str">
        <f>IF(Formulario!E588&lt;&gt;"",IF(Formulario!E588=" "," ",Formulario!E588),IF(G580=".",".","Falta Propietario"))</f>
        <v>.</v>
      </c>
      <c r="J580" s="144" t="str">
        <f>IF(Formulario!F588&lt;&gt;"",IF(Formulario!F588=" "," ",Formulario!F588)," ")</f>
        <v xml:space="preserve"> </v>
      </c>
      <c r="K580" s="144" t="str">
        <f>IF(Formulario!G588&lt;&gt;"",IF(Formulario!G588=" "," ",Formulario!G588)," ")</f>
        <v xml:space="preserve"> </v>
      </c>
      <c r="L580" s="144" t="str">
        <f>IF(Formulario!H588&lt;&gt;"",IF(Formulario!H588=" "," ",Formulario!H588)," ")</f>
        <v xml:space="preserve"> </v>
      </c>
      <c r="M580" s="144" t="str">
        <f>IF(Formulario!I588&lt;&gt;"",IF(Formulario!I588=" "," ",Formulario!I588)," ")</f>
        <v xml:space="preserve"> </v>
      </c>
      <c r="N580" s="145" t="str">
        <f>IF(Formulario!J588&lt;&gt;"",IF(Formulario!J588=" "," ",Formulario!J588),IF(G580=".",".","Falta Fecha"))</f>
        <v>.</v>
      </c>
      <c r="O580" s="155">
        <f>Formulario!L588</f>
        <v>0</v>
      </c>
      <c r="P580" s="146">
        <f>IF(O580=1,"09:00",Formulario!M588)</f>
        <v>0</v>
      </c>
      <c r="Q580" s="146">
        <f>IF(O580=1,"18:30",Formulario!N588)</f>
        <v>0</v>
      </c>
      <c r="R580" s="146" t="str">
        <f>IF(Formulario!O588&lt;&gt;"",IF(Formulario!O588=" ",".",Formulario!O588),".")</f>
        <v>Post Venta</v>
      </c>
      <c r="S580" s="141" t="s">
        <v>131</v>
      </c>
    </row>
    <row r="581" spans="1:19">
      <c r="A581" s="141">
        <f>Formulario!B589</f>
        <v>0</v>
      </c>
      <c r="B581" s="144" t="str">
        <f>IF(G581="."," ",Formulario!D$5)</f>
        <v xml:space="preserve"> </v>
      </c>
      <c r="C581" s="144" t="str">
        <f>IF(G581=".","",Formulario!D$6)</f>
        <v/>
      </c>
      <c r="D581" s="144" t="str">
        <f>IF(H581=".","",Formulario!D$7)</f>
        <v/>
      </c>
      <c r="E581" s="144" t="str">
        <f>IF(G581=".","",Formulario!J$5)</f>
        <v/>
      </c>
      <c r="F581" s="145" t="str">
        <f>IF(G581=".","",Formulario!J$6)</f>
        <v/>
      </c>
      <c r="G581" s="180" t="str">
        <f>IF(Formulario!C589&lt;&gt;"",IF(Formulario!C589=" ","Falta Depto",IF(H581=".","Error En Descripción",Formulario!C589)),IF(H581=".",".","Falta Datos"))</f>
        <v>.</v>
      </c>
      <c r="H581" s="144" t="str">
        <f>IF(Formulario!D589&lt;&gt;"",IF(Formulario!D589=" ",".",Formulario!D589),".")</f>
        <v>.</v>
      </c>
      <c r="I581" s="144" t="str">
        <f>IF(Formulario!E589&lt;&gt;"",IF(Formulario!E589=" "," ",Formulario!E589),IF(G581=".",".","Falta Propietario"))</f>
        <v>.</v>
      </c>
      <c r="J581" s="144" t="str">
        <f>IF(Formulario!F589&lt;&gt;"",IF(Formulario!F589=" "," ",Formulario!F589)," ")</f>
        <v xml:space="preserve"> </v>
      </c>
      <c r="K581" s="144" t="str">
        <f>IF(Formulario!G589&lt;&gt;"",IF(Formulario!G589=" "," ",Formulario!G589)," ")</f>
        <v xml:space="preserve"> </v>
      </c>
      <c r="L581" s="144" t="str">
        <f>IF(Formulario!H589&lt;&gt;"",IF(Formulario!H589=" "," ",Formulario!H589)," ")</f>
        <v xml:space="preserve"> </v>
      </c>
      <c r="M581" s="144" t="str">
        <f>IF(Formulario!I589&lt;&gt;"",IF(Formulario!I589=" "," ",Formulario!I589)," ")</f>
        <v xml:space="preserve"> </v>
      </c>
      <c r="N581" s="145" t="str">
        <f>IF(Formulario!J589&lt;&gt;"",IF(Formulario!J589=" "," ",Formulario!J589),IF(G581=".",".","Falta Fecha"))</f>
        <v>.</v>
      </c>
      <c r="O581" s="155">
        <f>Formulario!L589</f>
        <v>0</v>
      </c>
      <c r="P581" s="146">
        <f>IF(O581=1,"09:00",Formulario!M589)</f>
        <v>0</v>
      </c>
      <c r="Q581" s="146">
        <f>IF(O581=1,"18:30",Formulario!N589)</f>
        <v>0</v>
      </c>
      <c r="R581" s="146" t="str">
        <f>IF(Formulario!O589&lt;&gt;"",IF(Formulario!O589=" ",".",Formulario!O589),".")</f>
        <v>.</v>
      </c>
      <c r="S581" s="141" t="s">
        <v>131</v>
      </c>
    </row>
    <row r="582" spans="1:19">
      <c r="A582" s="141">
        <f>Formulario!B590</f>
        <v>0</v>
      </c>
      <c r="B582" s="144" t="str">
        <f>IF(G582="."," ",Formulario!D$5)</f>
        <v xml:space="preserve"> </v>
      </c>
      <c r="C582" s="144" t="str">
        <f>IF(G582=".","",Formulario!D$6)</f>
        <v/>
      </c>
      <c r="D582" s="144" t="str">
        <f>IF(H582=".","",Formulario!D$7)</f>
        <v/>
      </c>
      <c r="E582" s="144" t="str">
        <f>IF(G582=".","",Formulario!J$5)</f>
        <v/>
      </c>
      <c r="F582" s="145" t="str">
        <f>IF(G582=".","",Formulario!J$6)</f>
        <v/>
      </c>
      <c r="G582" s="180" t="str">
        <f>IF(Formulario!C590&lt;&gt;"",IF(Formulario!C590=" ","Falta Depto",IF(H582=".","Error En Descripción",Formulario!C590)),IF(H582=".",".","Falta Datos"))</f>
        <v>.</v>
      </c>
      <c r="H582" s="144" t="str">
        <f>IF(Formulario!D590&lt;&gt;"",IF(Formulario!D590=" ",".",Formulario!D590),".")</f>
        <v>.</v>
      </c>
      <c r="I582" s="144" t="str">
        <f>IF(Formulario!E590&lt;&gt;"",IF(Formulario!E590=" "," ",Formulario!E590),IF(G582=".",".","Falta Propietario"))</f>
        <v>.</v>
      </c>
      <c r="J582" s="144" t="str">
        <f>IF(Formulario!F590&lt;&gt;"",IF(Formulario!F590=" "," ",Formulario!F590)," ")</f>
        <v xml:space="preserve"> </v>
      </c>
      <c r="K582" s="144" t="str">
        <f>IF(Formulario!G590&lt;&gt;"",IF(Formulario!G590=" "," ",Formulario!G590)," ")</f>
        <v xml:space="preserve"> </v>
      </c>
      <c r="L582" s="144" t="str">
        <f>IF(Formulario!H590&lt;&gt;"",IF(Formulario!H590=" "," ",Formulario!H590)," ")</f>
        <v xml:space="preserve"> </v>
      </c>
      <c r="M582" s="144" t="str">
        <f>IF(Formulario!I590&lt;&gt;"",IF(Formulario!I590=" "," ",Formulario!I590)," ")</f>
        <v xml:space="preserve"> </v>
      </c>
      <c r="N582" s="145" t="str">
        <f>IF(Formulario!J590&lt;&gt;"",IF(Formulario!J590=" "," ",Formulario!J590),IF(G582=".",".","Falta Fecha"))</f>
        <v>.</v>
      </c>
      <c r="O582" s="155">
        <f>Formulario!L590</f>
        <v>0</v>
      </c>
      <c r="P582" s="146">
        <f>IF(O582=1,"09:00",Formulario!M590)</f>
        <v>0</v>
      </c>
      <c r="Q582" s="146">
        <f>IF(O582=1,"18:30",Formulario!N590)</f>
        <v>0</v>
      </c>
      <c r="R582" s="146" t="str">
        <f>IF(Formulario!O590&lt;&gt;"",IF(Formulario!O590=" ",".",Formulario!O590),".")</f>
        <v>.</v>
      </c>
      <c r="S582" s="141" t="s">
        <v>131</v>
      </c>
    </row>
    <row r="583" spans="1:19">
      <c r="A583" s="141">
        <f>Formulario!B591</f>
        <v>0</v>
      </c>
      <c r="B583" s="144" t="str">
        <f>IF(G583="."," ",Formulario!D$5)</f>
        <v xml:space="preserve"> </v>
      </c>
      <c r="C583" s="144" t="str">
        <f>IF(G583=".","",Formulario!D$6)</f>
        <v/>
      </c>
      <c r="D583" s="144" t="str">
        <f>IF(H583=".","",Formulario!D$7)</f>
        <v/>
      </c>
      <c r="E583" s="144" t="str">
        <f>IF(G583=".","",Formulario!J$5)</f>
        <v/>
      </c>
      <c r="F583" s="145" t="str">
        <f>IF(G583=".","",Formulario!J$6)</f>
        <v/>
      </c>
      <c r="G583" s="180" t="str">
        <f>IF(Formulario!C591&lt;&gt;"",IF(Formulario!C591=" ","Falta Depto",IF(H583=".","Error En Descripción",Formulario!C591)),IF(H583=".",".","Falta Datos"))</f>
        <v>.</v>
      </c>
      <c r="H583" s="144" t="str">
        <f>IF(Formulario!D591&lt;&gt;"",IF(Formulario!D591=" ",".",Formulario!D591),".")</f>
        <v>.</v>
      </c>
      <c r="I583" s="144" t="str">
        <f>IF(Formulario!E591&lt;&gt;"",IF(Formulario!E591=" "," ",Formulario!E591),IF(G583=".",".","Falta Propietario"))</f>
        <v>.</v>
      </c>
      <c r="J583" s="144" t="str">
        <f>IF(Formulario!F591&lt;&gt;"",IF(Formulario!F591=" "," ",Formulario!F591)," ")</f>
        <v xml:space="preserve"> </v>
      </c>
      <c r="K583" s="144" t="str">
        <f>IF(Formulario!G591&lt;&gt;"",IF(Formulario!G591=" "," ",Formulario!G591)," ")</f>
        <v xml:space="preserve"> </v>
      </c>
      <c r="L583" s="144" t="str">
        <f>IF(Formulario!H591&lt;&gt;"",IF(Formulario!H591=" "," ",Formulario!H591)," ")</f>
        <v xml:space="preserve"> </v>
      </c>
      <c r="M583" s="144" t="str">
        <f>IF(Formulario!I591&lt;&gt;"",IF(Formulario!I591=" "," ",Formulario!I591)," ")</f>
        <v xml:space="preserve"> </v>
      </c>
      <c r="N583" s="145" t="str">
        <f>IF(Formulario!J591&lt;&gt;"",IF(Formulario!J591=" "," ",Formulario!J591),IF(G583=".",".","Falta Fecha"))</f>
        <v>.</v>
      </c>
      <c r="O583" s="155">
        <f>Formulario!L591</f>
        <v>0</v>
      </c>
      <c r="P583" s="146">
        <f>IF(O583=1,"09:00",Formulario!M591)</f>
        <v>0</v>
      </c>
      <c r="Q583" s="146">
        <f>IF(O583=1,"18:30",Formulario!N591)</f>
        <v>0</v>
      </c>
      <c r="R583" s="146" t="str">
        <f>IF(Formulario!O591&lt;&gt;"",IF(Formulario!O591=" ",".",Formulario!O591),".")</f>
        <v>.</v>
      </c>
      <c r="S583" s="141" t="s">
        <v>131</v>
      </c>
    </row>
    <row r="584" spans="1:19">
      <c r="A584" s="141">
        <f>Formulario!B592</f>
        <v>0</v>
      </c>
      <c r="B584" s="144" t="str">
        <f>IF(G584="."," ",Formulario!D$5)</f>
        <v xml:space="preserve"> </v>
      </c>
      <c r="C584" s="144" t="str">
        <f>IF(G584=".","",Formulario!D$6)</f>
        <v/>
      </c>
      <c r="D584" s="144" t="str">
        <f>IF(H584=".","",Formulario!D$7)</f>
        <v/>
      </c>
      <c r="E584" s="144" t="str">
        <f>IF(G584=".","",Formulario!J$5)</f>
        <v/>
      </c>
      <c r="F584" s="145" t="str">
        <f>IF(G584=".","",Formulario!J$6)</f>
        <v/>
      </c>
      <c r="G584" s="180" t="str">
        <f>IF(Formulario!C592&lt;&gt;"",IF(Formulario!C592=" ","Falta Depto",IF(H584=".","Error En Descripción",Formulario!C592)),IF(H584=".",".","Falta Datos"))</f>
        <v>.</v>
      </c>
      <c r="H584" s="144" t="str">
        <f>IF(Formulario!D592&lt;&gt;"",IF(Formulario!D592=" ",".",Formulario!D592),".")</f>
        <v>.</v>
      </c>
      <c r="I584" s="144" t="str">
        <f>IF(Formulario!E592&lt;&gt;"",IF(Formulario!E592=" "," ",Formulario!E592),IF(G584=".",".","Falta Propietario"))</f>
        <v>.</v>
      </c>
      <c r="J584" s="144" t="str">
        <f>IF(Formulario!F592&lt;&gt;"",IF(Formulario!F592=" "," ",Formulario!F592)," ")</f>
        <v xml:space="preserve"> </v>
      </c>
      <c r="K584" s="144" t="str">
        <f>IF(Formulario!G592&lt;&gt;"",IF(Formulario!G592=" "," ",Formulario!G592)," ")</f>
        <v xml:space="preserve"> </v>
      </c>
      <c r="L584" s="144" t="str">
        <f>IF(Formulario!H592&lt;&gt;"",IF(Formulario!H592=" "," ",Formulario!H592)," ")</f>
        <v xml:space="preserve"> </v>
      </c>
      <c r="M584" s="144" t="str">
        <f>IF(Formulario!I592&lt;&gt;"",IF(Formulario!I592=" "," ",Formulario!I592)," ")</f>
        <v xml:space="preserve"> </v>
      </c>
      <c r="N584" s="145" t="str">
        <f>IF(Formulario!J592&lt;&gt;"",IF(Formulario!J592=" "," ",Formulario!J592),IF(G584=".",".","Falta Fecha"))</f>
        <v>.</v>
      </c>
      <c r="O584" s="155">
        <f>Formulario!L592</f>
        <v>0</v>
      </c>
      <c r="P584" s="146">
        <f>IF(O584=1,"09:00",Formulario!M592)</f>
        <v>0</v>
      </c>
      <c r="Q584" s="146">
        <f>IF(O584=1,"18:30",Formulario!N592)</f>
        <v>0</v>
      </c>
      <c r="R584" s="146" t="str">
        <f>IF(Formulario!O592&lt;&gt;"",IF(Formulario!O592=" ",".",Formulario!O592),".")</f>
        <v>.</v>
      </c>
      <c r="S584" s="141" t="s">
        <v>131</v>
      </c>
    </row>
    <row r="585" spans="1:19">
      <c r="A585" s="141">
        <f>Formulario!B593</f>
        <v>0</v>
      </c>
      <c r="B585" s="144" t="str">
        <f>IF(G585="."," ",Formulario!D$5)</f>
        <v xml:space="preserve"> </v>
      </c>
      <c r="C585" s="144" t="str">
        <f>IF(G585=".","",Formulario!D$6)</f>
        <v/>
      </c>
      <c r="D585" s="144" t="str">
        <f>IF(H585=".","",Formulario!D$7)</f>
        <v/>
      </c>
      <c r="E585" s="144" t="str">
        <f>IF(G585=".","",Formulario!J$5)</f>
        <v/>
      </c>
      <c r="F585" s="145" t="str">
        <f>IF(G585=".","",Formulario!J$6)</f>
        <v/>
      </c>
      <c r="G585" s="180" t="str">
        <f>IF(Formulario!C593&lt;&gt;"",IF(Formulario!C593=" ","Falta Depto",IF(H585=".","Error En Descripción",Formulario!C593)),IF(H585=".",".","Falta Datos"))</f>
        <v>.</v>
      </c>
      <c r="H585" s="144" t="str">
        <f>IF(Formulario!D593&lt;&gt;"",IF(Formulario!D593=" ",".",Formulario!D593),".")</f>
        <v>.</v>
      </c>
      <c r="I585" s="144" t="str">
        <f>IF(Formulario!E593&lt;&gt;"",IF(Formulario!E593=" "," ",Formulario!E593),IF(G585=".",".","Falta Propietario"))</f>
        <v>.</v>
      </c>
      <c r="J585" s="144" t="str">
        <f>IF(Formulario!F593&lt;&gt;"",IF(Formulario!F593=" "," ",Formulario!F593)," ")</f>
        <v xml:space="preserve"> </v>
      </c>
      <c r="K585" s="144" t="str">
        <f>IF(Formulario!G593&lt;&gt;"",IF(Formulario!G593=" "," ",Formulario!G593)," ")</f>
        <v xml:space="preserve"> </v>
      </c>
      <c r="L585" s="144" t="str">
        <f>IF(Formulario!H593&lt;&gt;"",IF(Formulario!H593=" "," ",Formulario!H593)," ")</f>
        <v xml:space="preserve"> </v>
      </c>
      <c r="M585" s="144" t="str">
        <f>IF(Formulario!I593&lt;&gt;"",IF(Formulario!I593=" "," ",Formulario!I593)," ")</f>
        <v xml:space="preserve"> </v>
      </c>
      <c r="N585" s="145" t="str">
        <f>IF(Formulario!J593&lt;&gt;"",IF(Formulario!J593=" "," ",Formulario!J593),IF(G585=".",".","Falta Fecha"))</f>
        <v>.</v>
      </c>
      <c r="O585" s="155">
        <f>Formulario!L593</f>
        <v>0</v>
      </c>
      <c r="P585" s="146">
        <f>IF(O585=1,"09:00",Formulario!M593)</f>
        <v>0</v>
      </c>
      <c r="Q585" s="146">
        <f>IF(O585=1,"18:30",Formulario!N593)</f>
        <v>0</v>
      </c>
      <c r="R585" s="146" t="str">
        <f>IF(Formulario!O593&lt;&gt;"",IF(Formulario!O593=" ",".",Formulario!O593),".")</f>
        <v>.</v>
      </c>
      <c r="S585" s="141" t="s">
        <v>131</v>
      </c>
    </row>
    <row r="586" spans="1:19">
      <c r="A586" s="141">
        <f>Formulario!B594</f>
        <v>0</v>
      </c>
      <c r="B586" s="144" t="str">
        <f>IF(G586="."," ",Formulario!D$5)</f>
        <v xml:space="preserve"> </v>
      </c>
      <c r="C586" s="144" t="str">
        <f>IF(G586=".","",Formulario!D$6)</f>
        <v/>
      </c>
      <c r="D586" s="144" t="str">
        <f>IF(H586=".","",Formulario!D$7)</f>
        <v/>
      </c>
      <c r="E586" s="144" t="str">
        <f>IF(G586=".","",Formulario!J$5)</f>
        <v/>
      </c>
      <c r="F586" s="145" t="str">
        <f>IF(G586=".","",Formulario!J$6)</f>
        <v/>
      </c>
      <c r="G586" s="180" t="str">
        <f>IF(Formulario!C594&lt;&gt;"",IF(Formulario!C594=" ","Falta Depto",IF(H586=".","Error En Descripción",Formulario!C594)),IF(H586=".",".","Falta Datos"))</f>
        <v>.</v>
      </c>
      <c r="H586" s="144" t="str">
        <f>IF(Formulario!D594&lt;&gt;"",IF(Formulario!D594=" ",".",Formulario!D594),".")</f>
        <v>.</v>
      </c>
      <c r="I586" s="144" t="str">
        <f>IF(Formulario!E594&lt;&gt;"",IF(Formulario!E594=" "," ",Formulario!E594),IF(G586=".",".","Falta Propietario"))</f>
        <v>.</v>
      </c>
      <c r="J586" s="144" t="str">
        <f>IF(Formulario!F594&lt;&gt;"",IF(Formulario!F594=" "," ",Formulario!F594)," ")</f>
        <v xml:space="preserve"> </v>
      </c>
      <c r="K586" s="144" t="str">
        <f>IF(Formulario!G594&lt;&gt;"",IF(Formulario!G594=" "," ",Formulario!G594)," ")</f>
        <v xml:space="preserve"> </v>
      </c>
      <c r="L586" s="144" t="str">
        <f>IF(Formulario!H594&lt;&gt;"",IF(Formulario!H594=" "," ",Formulario!H594)," ")</f>
        <v xml:space="preserve"> </v>
      </c>
      <c r="M586" s="144" t="str">
        <f>IF(Formulario!I594&lt;&gt;"",IF(Formulario!I594=" "," ",Formulario!I594)," ")</f>
        <v xml:space="preserve"> </v>
      </c>
      <c r="N586" s="145" t="str">
        <f>IF(Formulario!J594&lt;&gt;"",IF(Formulario!J594=" "," ",Formulario!J594),IF(G586=".",".","Falta Fecha"))</f>
        <v>.</v>
      </c>
      <c r="O586" s="155">
        <f>Formulario!L594</f>
        <v>0</v>
      </c>
      <c r="P586" s="146">
        <f>IF(O586=1,"09:00",Formulario!M594)</f>
        <v>0</v>
      </c>
      <c r="Q586" s="146">
        <f>IF(O586=1,"18:30",Formulario!N594)</f>
        <v>0</v>
      </c>
      <c r="R586" s="146" t="str">
        <f>IF(Formulario!O594&lt;&gt;"",IF(Formulario!O594=" ",".",Formulario!O594),".")</f>
        <v>.</v>
      </c>
      <c r="S586" s="141" t="s">
        <v>131</v>
      </c>
    </row>
    <row r="587" spans="1:19">
      <c r="A587" s="141">
        <f>Formulario!B595</f>
        <v>0</v>
      </c>
      <c r="B587" s="144" t="str">
        <f>IF(G587="."," ",Formulario!D$5)</f>
        <v xml:space="preserve"> </v>
      </c>
      <c r="C587" s="144" t="str">
        <f>IF(G587=".","",Formulario!D$6)</f>
        <v/>
      </c>
      <c r="D587" s="144" t="str">
        <f>IF(H587=".","",Formulario!D$7)</f>
        <v/>
      </c>
      <c r="E587" s="144" t="str">
        <f>IF(G587=".","",Formulario!J$5)</f>
        <v/>
      </c>
      <c r="F587" s="145" t="str">
        <f>IF(G587=".","",Formulario!J$6)</f>
        <v/>
      </c>
      <c r="G587" s="180" t="str">
        <f>IF(Formulario!C595&lt;&gt;"",IF(Formulario!C595=" ","Falta Depto",IF(H587=".","Error En Descripción",Formulario!C595)),IF(H587=".",".","Falta Datos"))</f>
        <v>.</v>
      </c>
      <c r="H587" s="144" t="str">
        <f>IF(Formulario!D595&lt;&gt;"",IF(Formulario!D595=" ",".",Formulario!D595),".")</f>
        <v>.</v>
      </c>
      <c r="I587" s="144" t="str">
        <f>IF(Formulario!E595&lt;&gt;"",IF(Formulario!E595=" "," ",Formulario!E595),IF(G587=".",".","Falta Propietario"))</f>
        <v>.</v>
      </c>
      <c r="J587" s="144" t="str">
        <f>IF(Formulario!F595&lt;&gt;"",IF(Formulario!F595=" "," ",Formulario!F595)," ")</f>
        <v xml:space="preserve"> </v>
      </c>
      <c r="K587" s="144" t="str">
        <f>IF(Formulario!G595&lt;&gt;"",IF(Formulario!G595=" "," ",Formulario!G595)," ")</f>
        <v xml:space="preserve"> </v>
      </c>
      <c r="L587" s="144" t="str">
        <f>IF(Formulario!H595&lt;&gt;"",IF(Formulario!H595=" "," ",Formulario!H595)," ")</f>
        <v xml:space="preserve"> </v>
      </c>
      <c r="M587" s="144" t="str">
        <f>IF(Formulario!I595&lt;&gt;"",IF(Formulario!I595=" "," ",Formulario!I595)," ")</f>
        <v xml:space="preserve"> </v>
      </c>
      <c r="N587" s="145" t="str">
        <f>IF(Formulario!J595&lt;&gt;"",IF(Formulario!J595=" "," ",Formulario!J595),IF(G587=".",".","Falta Fecha"))</f>
        <v>.</v>
      </c>
      <c r="O587" s="155">
        <f>Formulario!L595</f>
        <v>0</v>
      </c>
      <c r="P587" s="146">
        <f>IF(O587=1,"09:00",Formulario!M595)</f>
        <v>0</v>
      </c>
      <c r="Q587" s="146">
        <f>IF(O587=1,"18:30",Formulario!N595)</f>
        <v>0</v>
      </c>
      <c r="R587" s="146" t="str">
        <f>IF(Formulario!O595&lt;&gt;"",IF(Formulario!O595=" ",".",Formulario!O595),".")</f>
        <v>.</v>
      </c>
      <c r="S587" s="141" t="s">
        <v>131</v>
      </c>
    </row>
    <row r="588" spans="1:19">
      <c r="A588" s="141">
        <f>Formulario!B596</f>
        <v>0</v>
      </c>
      <c r="B588" s="144" t="str">
        <f>IF(G588="."," ",Formulario!D$5)</f>
        <v xml:space="preserve"> </v>
      </c>
      <c r="C588" s="144" t="str">
        <f>IF(G588=".","",Formulario!D$6)</f>
        <v/>
      </c>
      <c r="D588" s="144" t="str">
        <f>IF(H588=".","",Formulario!D$7)</f>
        <v/>
      </c>
      <c r="E588" s="144" t="str">
        <f>IF(G588=".","",Formulario!J$5)</f>
        <v/>
      </c>
      <c r="F588" s="145" t="str">
        <f>IF(G588=".","",Formulario!J$6)</f>
        <v/>
      </c>
      <c r="G588" s="180" t="str">
        <f>IF(Formulario!C596&lt;&gt;"",IF(Formulario!C596=" ","Falta Depto",IF(H588=".","Error En Descripción",Formulario!C596)),IF(H588=".",".","Falta Datos"))</f>
        <v>.</v>
      </c>
      <c r="H588" s="144" t="str">
        <f>IF(Formulario!D596&lt;&gt;"",IF(Formulario!D596=" ",".",Formulario!D596),".")</f>
        <v>.</v>
      </c>
      <c r="I588" s="144" t="str">
        <f>IF(Formulario!E596&lt;&gt;"",IF(Formulario!E596=" "," ",Formulario!E596),IF(G588=".",".","Falta Propietario"))</f>
        <v>.</v>
      </c>
      <c r="J588" s="144" t="str">
        <f>IF(Formulario!F596&lt;&gt;"",IF(Formulario!F596=" "," ",Formulario!F596)," ")</f>
        <v xml:space="preserve"> </v>
      </c>
      <c r="K588" s="144" t="str">
        <f>IF(Formulario!G596&lt;&gt;"",IF(Formulario!G596=" "," ",Formulario!G596)," ")</f>
        <v xml:space="preserve"> </v>
      </c>
      <c r="L588" s="144" t="str">
        <f>IF(Formulario!H596&lt;&gt;"",IF(Formulario!H596=" "," ",Formulario!H596)," ")</f>
        <v xml:space="preserve"> </v>
      </c>
      <c r="M588" s="144" t="str">
        <f>IF(Formulario!I596&lt;&gt;"",IF(Formulario!I596=" "," ",Formulario!I596)," ")</f>
        <v xml:space="preserve"> </v>
      </c>
      <c r="N588" s="145" t="str">
        <f>IF(Formulario!J596&lt;&gt;"",IF(Formulario!J596=" "," ",Formulario!J596),IF(G588=".",".","Falta Fecha"))</f>
        <v>.</v>
      </c>
      <c r="O588" s="155">
        <f>Formulario!L596</f>
        <v>0</v>
      </c>
      <c r="P588" s="146">
        <f>IF(O588=1,"09:00",Formulario!M596)</f>
        <v>0</v>
      </c>
      <c r="Q588" s="146">
        <f>IF(O588=1,"18:30",Formulario!N596)</f>
        <v>0</v>
      </c>
      <c r="R588" s="146" t="str">
        <f>IF(Formulario!O596&lt;&gt;"",IF(Formulario!O596=" ",".",Formulario!O596),".")</f>
        <v>.</v>
      </c>
      <c r="S588" s="141" t="s">
        <v>131</v>
      </c>
    </row>
    <row r="589" spans="1:19">
      <c r="A589" s="141">
        <f>Formulario!B597</f>
        <v>0</v>
      </c>
      <c r="B589" s="144" t="str">
        <f>IF(G589="."," ",Formulario!D$5)</f>
        <v xml:space="preserve"> </v>
      </c>
      <c r="C589" s="144" t="str">
        <f>IF(G589=".","",Formulario!D$6)</f>
        <v/>
      </c>
      <c r="D589" s="144" t="str">
        <f>IF(H589=".","",Formulario!D$7)</f>
        <v/>
      </c>
      <c r="E589" s="144" t="str">
        <f>IF(G589=".","",Formulario!J$5)</f>
        <v/>
      </c>
      <c r="F589" s="145" t="str">
        <f>IF(G589=".","",Formulario!J$6)</f>
        <v/>
      </c>
      <c r="G589" s="180" t="str">
        <f>IF(Formulario!C597&lt;&gt;"",IF(Formulario!C597=" ","Falta Depto",IF(H589=".","Error En Descripción",Formulario!C597)),IF(H589=".",".","Falta Datos"))</f>
        <v>.</v>
      </c>
      <c r="H589" s="144" t="str">
        <f>IF(Formulario!D597&lt;&gt;"",IF(Formulario!D597=" ",".",Formulario!D597),".")</f>
        <v>.</v>
      </c>
      <c r="I589" s="144" t="str">
        <f>IF(Formulario!E597&lt;&gt;"",IF(Formulario!E597=" "," ",Formulario!E597),IF(G589=".",".","Falta Propietario"))</f>
        <v>.</v>
      </c>
      <c r="J589" s="144" t="str">
        <f>IF(Formulario!F597&lt;&gt;"",IF(Formulario!F597=" "," ",Formulario!F597)," ")</f>
        <v xml:space="preserve"> </v>
      </c>
      <c r="K589" s="144" t="str">
        <f>IF(Formulario!G597&lt;&gt;"",IF(Formulario!G597=" "," ",Formulario!G597)," ")</f>
        <v xml:space="preserve"> </v>
      </c>
      <c r="L589" s="144" t="str">
        <f>IF(Formulario!H597&lt;&gt;"",IF(Formulario!H597=" "," ",Formulario!H597)," ")</f>
        <v xml:space="preserve"> </v>
      </c>
      <c r="M589" s="144" t="str">
        <f>IF(Formulario!I597&lt;&gt;"",IF(Formulario!I597=" "," ",Formulario!I597)," ")</f>
        <v xml:space="preserve"> </v>
      </c>
      <c r="N589" s="145" t="str">
        <f>IF(Formulario!J597&lt;&gt;"",IF(Formulario!J597=" "," ",Formulario!J597),IF(G589=".",".","Falta Fecha"))</f>
        <v>.</v>
      </c>
      <c r="O589" s="155">
        <f>Formulario!L597</f>
        <v>0</v>
      </c>
      <c r="P589" s="146">
        <f>IF(O589=1,"09:00",Formulario!M597)</f>
        <v>0</v>
      </c>
      <c r="Q589" s="146">
        <f>IF(O589=1,"18:30",Formulario!N597)</f>
        <v>0</v>
      </c>
      <c r="R589" s="146" t="str">
        <f>IF(Formulario!O597&lt;&gt;"",IF(Formulario!O597=" ",".",Formulario!O597),".")</f>
        <v>.</v>
      </c>
      <c r="S589" s="141" t="s">
        <v>131</v>
      </c>
    </row>
    <row r="590" spans="1:19">
      <c r="A590" s="141">
        <f>Formulario!B598</f>
        <v>0</v>
      </c>
      <c r="B590" s="144" t="str">
        <f>IF(G590="."," ",Formulario!D$5)</f>
        <v xml:space="preserve"> </v>
      </c>
      <c r="C590" s="144" t="str">
        <f>IF(G590=".","",Formulario!D$6)</f>
        <v/>
      </c>
      <c r="D590" s="144" t="str">
        <f>IF(H590=".","",Formulario!D$7)</f>
        <v/>
      </c>
      <c r="E590" s="144" t="str">
        <f>IF(G590=".","",Formulario!J$5)</f>
        <v/>
      </c>
      <c r="F590" s="145" t="str">
        <f>IF(G590=".","",Formulario!J$6)</f>
        <v/>
      </c>
      <c r="G590" s="180" t="str">
        <f>IF(Formulario!C598&lt;&gt;"",IF(Formulario!C598=" ","Falta Depto",IF(H590=".","Error En Descripción",Formulario!C598)),IF(H590=".",".","Falta Datos"))</f>
        <v>.</v>
      </c>
      <c r="H590" s="144" t="str">
        <f>IF(Formulario!D598&lt;&gt;"",IF(Formulario!D598=" ",".",Formulario!D598),".")</f>
        <v>.</v>
      </c>
      <c r="I590" s="144" t="str">
        <f>IF(Formulario!E598&lt;&gt;"",IF(Formulario!E598=" "," ",Formulario!E598),IF(G590=".",".","Falta Propietario"))</f>
        <v>.</v>
      </c>
      <c r="J590" s="144" t="str">
        <f>IF(Formulario!F598&lt;&gt;"",IF(Formulario!F598=" "," ",Formulario!F598)," ")</f>
        <v xml:space="preserve"> </v>
      </c>
      <c r="K590" s="144" t="str">
        <f>IF(Formulario!G598&lt;&gt;"",IF(Formulario!G598=" "," ",Formulario!G598)," ")</f>
        <v xml:space="preserve"> </v>
      </c>
      <c r="L590" s="144" t="str">
        <f>IF(Formulario!H598&lt;&gt;"",IF(Formulario!H598=" "," ",Formulario!H598)," ")</f>
        <v xml:space="preserve"> </v>
      </c>
      <c r="M590" s="144" t="str">
        <f>IF(Formulario!I598&lt;&gt;"",IF(Formulario!I598=" "," ",Formulario!I598)," ")</f>
        <v xml:space="preserve"> </v>
      </c>
      <c r="N590" s="145" t="str">
        <f>IF(Formulario!J598&lt;&gt;"",IF(Formulario!J598=" "," ",Formulario!J598),IF(G590=".",".","Falta Fecha"))</f>
        <v>.</v>
      </c>
      <c r="O590" s="155">
        <f>Formulario!L598</f>
        <v>0</v>
      </c>
      <c r="P590" s="146">
        <f>IF(O590=1,"09:00",Formulario!M598)</f>
        <v>0</v>
      </c>
      <c r="Q590" s="146">
        <f>IF(O590=1,"18:30",Formulario!N598)</f>
        <v>0</v>
      </c>
      <c r="R590" s="146" t="str">
        <f>IF(Formulario!O598&lt;&gt;"",IF(Formulario!O598=" ",".",Formulario!O598),".")</f>
        <v>.</v>
      </c>
      <c r="S590" s="141" t="s">
        <v>131</v>
      </c>
    </row>
    <row r="591" spans="1:19">
      <c r="A591" s="141">
        <f>Formulario!B599</f>
        <v>0</v>
      </c>
      <c r="B591" s="144" t="str">
        <f>IF(G591="."," ",Formulario!D$5)</f>
        <v xml:space="preserve"> </v>
      </c>
      <c r="C591" s="144" t="str">
        <f>IF(G591=".","",Formulario!D$6)</f>
        <v/>
      </c>
      <c r="D591" s="144" t="str">
        <f>IF(H591=".","",Formulario!D$7)</f>
        <v/>
      </c>
      <c r="E591" s="144" t="str">
        <f>IF(G591=".","",Formulario!J$5)</f>
        <v/>
      </c>
      <c r="F591" s="145" t="str">
        <f>IF(G591=".","",Formulario!J$6)</f>
        <v/>
      </c>
      <c r="G591" s="180" t="str">
        <f>IF(Formulario!C599&lt;&gt;"",IF(Formulario!C599=" ","Falta Depto",IF(H591=".","Error En Descripción",Formulario!C599)),IF(H591=".",".","Falta Datos"))</f>
        <v>.</v>
      </c>
      <c r="H591" s="144" t="str">
        <f>IF(Formulario!D599&lt;&gt;"",IF(Formulario!D599=" ",".",Formulario!D599),".")</f>
        <v>.</v>
      </c>
      <c r="I591" s="144" t="str">
        <f>IF(Formulario!E599&lt;&gt;"",IF(Formulario!E599=" "," ",Formulario!E599),IF(G591=".",".","Falta Propietario"))</f>
        <v>.</v>
      </c>
      <c r="J591" s="144" t="str">
        <f>IF(Formulario!F599&lt;&gt;"",IF(Formulario!F599=" "," ",Formulario!F599)," ")</f>
        <v xml:space="preserve"> </v>
      </c>
      <c r="K591" s="144" t="str">
        <f>IF(Formulario!G599&lt;&gt;"",IF(Formulario!G599=" "," ",Formulario!G599)," ")</f>
        <v xml:space="preserve"> </v>
      </c>
      <c r="L591" s="144" t="str">
        <f>IF(Formulario!H599&lt;&gt;"",IF(Formulario!H599=" "," ",Formulario!H599)," ")</f>
        <v xml:space="preserve"> </v>
      </c>
      <c r="M591" s="144" t="str">
        <f>IF(Formulario!I599&lt;&gt;"",IF(Formulario!I599=" "," ",Formulario!I599)," ")</f>
        <v xml:space="preserve"> </v>
      </c>
      <c r="N591" s="145" t="str">
        <f>IF(Formulario!J599&lt;&gt;"",IF(Formulario!J599=" "," ",Formulario!J599),IF(G591=".",".","Falta Fecha"))</f>
        <v>.</v>
      </c>
      <c r="O591" s="155">
        <f>Formulario!L599</f>
        <v>0</v>
      </c>
      <c r="P591" s="146">
        <f>IF(O591=1,"09:00",Formulario!M599)</f>
        <v>0</v>
      </c>
      <c r="Q591" s="146">
        <f>IF(O591=1,"18:30",Formulario!N599)</f>
        <v>0</v>
      </c>
      <c r="R591" s="146" t="str">
        <f>IF(Formulario!O599&lt;&gt;"",IF(Formulario!O599=" ",".",Formulario!O599),".")</f>
        <v>.</v>
      </c>
      <c r="S591" s="141" t="s">
        <v>131</v>
      </c>
    </row>
    <row r="592" spans="1:19">
      <c r="A592" s="141">
        <f>Formulario!B600</f>
        <v>0</v>
      </c>
      <c r="B592" s="144" t="str">
        <f>IF(G592="."," ",Formulario!D$5)</f>
        <v xml:space="preserve"> </v>
      </c>
      <c r="C592" s="144" t="str">
        <f>IF(G592=".","",Formulario!D$6)</f>
        <v/>
      </c>
      <c r="D592" s="144" t="str">
        <f>IF(H592=".","",Formulario!D$7)</f>
        <v/>
      </c>
      <c r="E592" s="144" t="str">
        <f>IF(G592=".","",Formulario!J$5)</f>
        <v/>
      </c>
      <c r="F592" s="145" t="str">
        <f>IF(G592=".","",Formulario!J$6)</f>
        <v/>
      </c>
      <c r="G592" s="180" t="str">
        <f>IF(Formulario!C600&lt;&gt;"",IF(Formulario!C600=" ","Falta Depto",IF(H592=".","Error En Descripción",Formulario!C600)),IF(H592=".",".","Falta Datos"))</f>
        <v>.</v>
      </c>
      <c r="H592" s="144" t="str">
        <f>IF(Formulario!D600&lt;&gt;"",IF(Formulario!D600=" ",".",Formulario!D600),".")</f>
        <v>.</v>
      </c>
      <c r="I592" s="144" t="str">
        <f>IF(Formulario!E600&lt;&gt;"",IF(Formulario!E600=" "," ",Formulario!E600),IF(G592=".",".","Falta Propietario"))</f>
        <v>.</v>
      </c>
      <c r="J592" s="144" t="str">
        <f>IF(Formulario!F600&lt;&gt;"",IF(Formulario!F600=" "," ",Formulario!F600)," ")</f>
        <v xml:space="preserve"> </v>
      </c>
      <c r="K592" s="144" t="str">
        <f>IF(Formulario!G600&lt;&gt;"",IF(Formulario!G600=" "," ",Formulario!G600)," ")</f>
        <v xml:space="preserve"> </v>
      </c>
      <c r="L592" s="144" t="str">
        <f>IF(Formulario!H600&lt;&gt;"",IF(Formulario!H600=" "," ",Formulario!H600)," ")</f>
        <v xml:space="preserve"> </v>
      </c>
      <c r="M592" s="144" t="str">
        <f>IF(Formulario!I600&lt;&gt;"",IF(Formulario!I600=" "," ",Formulario!I600)," ")</f>
        <v xml:space="preserve"> </v>
      </c>
      <c r="N592" s="145" t="str">
        <f>IF(Formulario!J600&lt;&gt;"",IF(Formulario!J600=" "," ",Formulario!J600),IF(G592=".",".","Falta Fecha"))</f>
        <v>.</v>
      </c>
      <c r="O592" s="155">
        <f>Formulario!L600</f>
        <v>0</v>
      </c>
      <c r="P592" s="146">
        <f>IF(O592=1,"09:00",Formulario!M600)</f>
        <v>0</v>
      </c>
      <c r="Q592" s="146">
        <f>IF(O592=1,"18:30",Formulario!N600)</f>
        <v>0</v>
      </c>
      <c r="R592" s="146" t="str">
        <f>IF(Formulario!O600&lt;&gt;"",IF(Formulario!O600=" ",".",Formulario!O600),".")</f>
        <v>.</v>
      </c>
      <c r="S592" s="141" t="s">
        <v>131</v>
      </c>
    </row>
    <row r="593" spans="1:19">
      <c r="A593" s="141">
        <f>Formulario!B601</f>
        <v>0</v>
      </c>
      <c r="B593" s="144" t="str">
        <f>IF(G593="."," ",Formulario!D$5)</f>
        <v xml:space="preserve"> </v>
      </c>
      <c r="C593" s="144" t="str">
        <f>IF(G593=".","",Formulario!D$6)</f>
        <v/>
      </c>
      <c r="D593" s="144" t="str">
        <f>IF(H593=".","",Formulario!D$7)</f>
        <v/>
      </c>
      <c r="E593" s="144" t="str">
        <f>IF(G593=".","",Formulario!J$5)</f>
        <v/>
      </c>
      <c r="F593" s="145" t="str">
        <f>IF(G593=".","",Formulario!J$6)</f>
        <v/>
      </c>
      <c r="G593" s="180" t="str">
        <f>IF(Formulario!C601&lt;&gt;"",IF(Formulario!C601=" ","Falta Depto",IF(H593=".","Error En Descripción",Formulario!C601)),IF(H593=".",".","Falta Datos"))</f>
        <v>.</v>
      </c>
      <c r="H593" s="144" t="str">
        <f>IF(Formulario!D601&lt;&gt;"",IF(Formulario!D601=" ",".",Formulario!D601),".")</f>
        <v>.</v>
      </c>
      <c r="I593" s="144" t="str">
        <f>IF(Formulario!E601&lt;&gt;"",IF(Formulario!E601=" "," ",Formulario!E601),IF(G593=".",".","Falta Propietario"))</f>
        <v>.</v>
      </c>
      <c r="J593" s="144" t="str">
        <f>IF(Formulario!F601&lt;&gt;"",IF(Formulario!F601=" "," ",Formulario!F601)," ")</f>
        <v xml:space="preserve"> </v>
      </c>
      <c r="K593" s="144" t="str">
        <f>IF(Formulario!G601&lt;&gt;"",IF(Formulario!G601=" "," ",Formulario!G601)," ")</f>
        <v xml:space="preserve"> </v>
      </c>
      <c r="L593" s="144" t="str">
        <f>IF(Formulario!H601&lt;&gt;"",IF(Formulario!H601=" "," ",Formulario!H601)," ")</f>
        <v xml:space="preserve"> </v>
      </c>
      <c r="M593" s="144" t="str">
        <f>IF(Formulario!I601&lt;&gt;"",IF(Formulario!I601=" "," ",Formulario!I601)," ")</f>
        <v xml:space="preserve"> </v>
      </c>
      <c r="N593" s="145" t="str">
        <f>IF(Formulario!J601&lt;&gt;"",IF(Formulario!J601=" "," ",Formulario!J601),IF(G593=".",".","Falta Fecha"))</f>
        <v>.</v>
      </c>
      <c r="O593" s="155">
        <f>Formulario!L601</f>
        <v>0</v>
      </c>
      <c r="P593" s="146">
        <f>IF(O593=1,"09:00",Formulario!M601)</f>
        <v>0</v>
      </c>
      <c r="Q593" s="146">
        <f>IF(O593=1,"18:30",Formulario!N601)</f>
        <v>0</v>
      </c>
      <c r="R593" s="146" t="str">
        <f>IF(Formulario!O601&lt;&gt;"",IF(Formulario!O601=" ",".",Formulario!O601),".")</f>
        <v>.</v>
      </c>
      <c r="S593" s="141" t="s">
        <v>131</v>
      </c>
    </row>
    <row r="594" spans="1:19">
      <c r="A594" s="141">
        <f>Formulario!B602</f>
        <v>0</v>
      </c>
      <c r="B594" s="144" t="str">
        <f>IF(G594="."," ",Formulario!D$5)</f>
        <v xml:space="preserve"> </v>
      </c>
      <c r="C594" s="144" t="str">
        <f>IF(G594=".","",Formulario!D$6)</f>
        <v/>
      </c>
      <c r="D594" s="144" t="str">
        <f>IF(H594=".","",Formulario!D$7)</f>
        <v/>
      </c>
      <c r="E594" s="144" t="str">
        <f>IF(G594=".","",Formulario!J$5)</f>
        <v/>
      </c>
      <c r="F594" s="145" t="str">
        <f>IF(G594=".","",Formulario!J$6)</f>
        <v/>
      </c>
      <c r="G594" s="180" t="str">
        <f>IF(Formulario!C602&lt;&gt;"",IF(Formulario!C602=" ","Falta Depto",IF(H594=".","Error En Descripción",Formulario!C602)),IF(H594=".",".","Falta Datos"))</f>
        <v>.</v>
      </c>
      <c r="H594" s="144" t="str">
        <f>IF(Formulario!D602&lt;&gt;"",IF(Formulario!D602=" ",".",Formulario!D602),".")</f>
        <v>.</v>
      </c>
      <c r="I594" s="144" t="str">
        <f>IF(Formulario!E602&lt;&gt;"",IF(Formulario!E602=" "," ",Formulario!E602),IF(G594=".",".","Falta Propietario"))</f>
        <v>.</v>
      </c>
      <c r="J594" s="144" t="str">
        <f>IF(Formulario!F602&lt;&gt;"",IF(Formulario!F602=" "," ",Formulario!F602)," ")</f>
        <v xml:space="preserve"> </v>
      </c>
      <c r="K594" s="144" t="str">
        <f>IF(Formulario!G602&lt;&gt;"",IF(Formulario!G602=" "," ",Formulario!G602)," ")</f>
        <v xml:space="preserve"> </v>
      </c>
      <c r="L594" s="144" t="str">
        <f>IF(Formulario!H602&lt;&gt;"",IF(Formulario!H602=" "," ",Formulario!H602)," ")</f>
        <v xml:space="preserve"> </v>
      </c>
      <c r="M594" s="144" t="str">
        <f>IF(Formulario!I602&lt;&gt;"",IF(Formulario!I602=" "," ",Formulario!I602)," ")</f>
        <v xml:space="preserve"> </v>
      </c>
      <c r="N594" s="145" t="str">
        <f>IF(Formulario!J602&lt;&gt;"",IF(Formulario!J602=" "," ",Formulario!J602),IF(G594=".",".","Falta Fecha"))</f>
        <v>.</v>
      </c>
      <c r="O594" s="155">
        <f>Formulario!L602</f>
        <v>0</v>
      </c>
      <c r="P594" s="146">
        <f>IF(O594=1,"09:00",Formulario!M602)</f>
        <v>0</v>
      </c>
      <c r="Q594" s="146">
        <f>IF(O594=1,"18:30",Formulario!N602)</f>
        <v>0</v>
      </c>
      <c r="R594" s="146" t="str">
        <f>IF(Formulario!O602&lt;&gt;"",IF(Formulario!O602=" ",".",Formulario!O602),".")</f>
        <v>.</v>
      </c>
      <c r="S594" s="141" t="s">
        <v>131</v>
      </c>
    </row>
    <row r="595" spans="1:19">
      <c r="A595" s="141">
        <f>Formulario!B603</f>
        <v>0</v>
      </c>
      <c r="B595" s="144" t="str">
        <f>IF(G595="."," ",Formulario!D$5)</f>
        <v xml:space="preserve"> </v>
      </c>
      <c r="C595" s="144" t="str">
        <f>IF(G595=".","",Formulario!D$6)</f>
        <v/>
      </c>
      <c r="D595" s="144" t="str">
        <f>IF(H595=".","",Formulario!D$7)</f>
        <v/>
      </c>
      <c r="E595" s="144" t="str">
        <f>IF(G595=".","",Formulario!J$5)</f>
        <v/>
      </c>
      <c r="F595" s="145" t="str">
        <f>IF(G595=".","",Formulario!J$6)</f>
        <v/>
      </c>
      <c r="G595" s="180" t="str">
        <f>IF(Formulario!C603&lt;&gt;"",IF(Formulario!C603=" ","Falta Depto",IF(H595=".","Error En Descripción",Formulario!C603)),IF(H595=".",".","Falta Datos"))</f>
        <v>.</v>
      </c>
      <c r="H595" s="144" t="str">
        <f>IF(Formulario!D603&lt;&gt;"",IF(Formulario!D603=" ",".",Formulario!D603),".")</f>
        <v>.</v>
      </c>
      <c r="I595" s="144" t="str">
        <f>IF(Formulario!E603&lt;&gt;"",IF(Formulario!E603=" "," ",Formulario!E603),IF(G595=".",".","Falta Propietario"))</f>
        <v>.</v>
      </c>
      <c r="J595" s="144" t="str">
        <f>IF(Formulario!F603&lt;&gt;"",IF(Formulario!F603=" "," ",Formulario!F603)," ")</f>
        <v xml:space="preserve"> </v>
      </c>
      <c r="K595" s="144" t="str">
        <f>IF(Formulario!G603&lt;&gt;"",IF(Formulario!G603=" "," ",Formulario!G603)," ")</f>
        <v xml:space="preserve"> </v>
      </c>
      <c r="L595" s="144" t="str">
        <f>IF(Formulario!H603&lt;&gt;"",IF(Formulario!H603=" "," ",Formulario!H603)," ")</f>
        <v xml:space="preserve"> </v>
      </c>
      <c r="M595" s="144" t="str">
        <f>IF(Formulario!I603&lt;&gt;"",IF(Formulario!I603=" "," ",Formulario!I603)," ")</f>
        <v xml:space="preserve"> </v>
      </c>
      <c r="N595" s="145" t="str">
        <f>IF(Formulario!J603&lt;&gt;"",IF(Formulario!J603=" "," ",Formulario!J603),IF(G595=".",".","Falta Fecha"))</f>
        <v>.</v>
      </c>
      <c r="O595" s="155">
        <f>Formulario!L603</f>
        <v>0</v>
      </c>
      <c r="P595" s="146">
        <f>IF(O595=1,"09:00",Formulario!M603)</f>
        <v>0</v>
      </c>
      <c r="Q595" s="146">
        <f>IF(O595=1,"18:30",Formulario!N603)</f>
        <v>0</v>
      </c>
      <c r="R595" s="146" t="str">
        <f>IF(Formulario!O603&lt;&gt;"",IF(Formulario!O603=" ",".",Formulario!O603),".")</f>
        <v>.</v>
      </c>
      <c r="S595" s="141" t="s">
        <v>131</v>
      </c>
    </row>
    <row r="596" spans="1:19">
      <c r="A596" s="141">
        <f>Formulario!B604</f>
        <v>0</v>
      </c>
      <c r="B596" s="144" t="str">
        <f>IF(G596="."," ",Formulario!D$5)</f>
        <v xml:space="preserve"> </v>
      </c>
      <c r="C596" s="144" t="str">
        <f>IF(G596=".","",Formulario!D$6)</f>
        <v/>
      </c>
      <c r="D596" s="144" t="str">
        <f>IF(H596=".","",Formulario!D$7)</f>
        <v/>
      </c>
      <c r="E596" s="144" t="str">
        <f>IF(G596=".","",Formulario!J$5)</f>
        <v/>
      </c>
      <c r="F596" s="145" t="str">
        <f>IF(G596=".","",Formulario!J$6)</f>
        <v/>
      </c>
      <c r="G596" s="180" t="str">
        <f>IF(Formulario!C604&lt;&gt;"",IF(Formulario!C604=" ","Falta Depto",IF(H596=".","Error En Descripción",Formulario!C604)),IF(H596=".",".","Falta Datos"))</f>
        <v>.</v>
      </c>
      <c r="H596" s="144" t="str">
        <f>IF(Formulario!D604&lt;&gt;"",IF(Formulario!D604=" ",".",Formulario!D604),".")</f>
        <v>.</v>
      </c>
      <c r="I596" s="144" t="str">
        <f>IF(Formulario!E604&lt;&gt;"",IF(Formulario!E604=" "," ",Formulario!E604),IF(G596=".",".","Falta Propietario"))</f>
        <v>.</v>
      </c>
      <c r="J596" s="144" t="str">
        <f>IF(Formulario!F604&lt;&gt;"",IF(Formulario!F604=" "," ",Formulario!F604)," ")</f>
        <v xml:space="preserve"> </v>
      </c>
      <c r="K596" s="144" t="str">
        <f>IF(Formulario!G604&lt;&gt;"",IF(Formulario!G604=" "," ",Formulario!G604)," ")</f>
        <v xml:space="preserve"> </v>
      </c>
      <c r="L596" s="144" t="str">
        <f>IF(Formulario!H604&lt;&gt;"",IF(Formulario!H604=" "," ",Formulario!H604)," ")</f>
        <v xml:space="preserve"> </v>
      </c>
      <c r="M596" s="144" t="str">
        <f>IF(Formulario!I604&lt;&gt;"",IF(Formulario!I604=" "," ",Formulario!I604)," ")</f>
        <v xml:space="preserve"> </v>
      </c>
      <c r="N596" s="145" t="str">
        <f>IF(Formulario!J604&lt;&gt;"",IF(Formulario!J604=" "," ",Formulario!J604),IF(G596=".",".","Falta Fecha"))</f>
        <v>.</v>
      </c>
      <c r="O596" s="155">
        <f>Formulario!L604</f>
        <v>0</v>
      </c>
      <c r="P596" s="146">
        <f>IF(O596=1,"09:00",Formulario!M604)</f>
        <v>0</v>
      </c>
      <c r="Q596" s="146">
        <f>IF(O596=1,"18:30",Formulario!N604)</f>
        <v>0</v>
      </c>
      <c r="R596" s="146" t="str">
        <f>IF(Formulario!O604&lt;&gt;"",IF(Formulario!O604=" ",".",Formulario!O604),".")</f>
        <v>.</v>
      </c>
      <c r="S596" s="141" t="s">
        <v>131</v>
      </c>
    </row>
    <row r="597" spans="1:19">
      <c r="A597" s="141">
        <f>Formulario!B605</f>
        <v>0</v>
      </c>
      <c r="B597" s="144" t="str">
        <f>IF(G597="."," ",Formulario!D$5)</f>
        <v xml:space="preserve"> </v>
      </c>
      <c r="C597" s="144" t="str">
        <f>IF(G597=".","",Formulario!D$6)</f>
        <v/>
      </c>
      <c r="D597" s="144" t="str">
        <f>IF(H597=".","",Formulario!D$7)</f>
        <v/>
      </c>
      <c r="E597" s="144" t="str">
        <f>IF(G597=".","",Formulario!J$5)</f>
        <v/>
      </c>
      <c r="F597" s="145" t="str">
        <f>IF(G597=".","",Formulario!J$6)</f>
        <v/>
      </c>
      <c r="G597" s="180" t="str">
        <f>IF(Formulario!C605&lt;&gt;"",IF(Formulario!C605=" ","Falta Depto",IF(H597=".","Error En Descripción",Formulario!C605)),IF(H597=".",".","Falta Datos"))</f>
        <v>.</v>
      </c>
      <c r="H597" s="144" t="str">
        <f>IF(Formulario!D605&lt;&gt;"",IF(Formulario!D605=" ",".",Formulario!D605),".")</f>
        <v>.</v>
      </c>
      <c r="I597" s="144" t="str">
        <f>IF(Formulario!E605&lt;&gt;"",IF(Formulario!E605=" "," ",Formulario!E605),IF(G597=".",".","Falta Propietario"))</f>
        <v>.</v>
      </c>
      <c r="J597" s="144" t="str">
        <f>IF(Formulario!F605&lt;&gt;"",IF(Formulario!F605=" "," ",Formulario!F605)," ")</f>
        <v xml:space="preserve"> </v>
      </c>
      <c r="K597" s="144" t="str">
        <f>IF(Formulario!G605&lt;&gt;"",IF(Formulario!G605=" "," ",Formulario!G605)," ")</f>
        <v xml:space="preserve"> </v>
      </c>
      <c r="L597" s="144" t="str">
        <f>IF(Formulario!H605&lt;&gt;"",IF(Formulario!H605=" "," ",Formulario!H605)," ")</f>
        <v xml:space="preserve"> </v>
      </c>
      <c r="M597" s="144" t="str">
        <f>IF(Formulario!I605&lt;&gt;"",IF(Formulario!I605=" "," ",Formulario!I605)," ")</f>
        <v xml:space="preserve"> </v>
      </c>
      <c r="N597" s="145" t="str">
        <f>IF(Formulario!J605&lt;&gt;"",IF(Formulario!J605=" "," ",Formulario!J605),IF(G597=".",".","Falta Fecha"))</f>
        <v>.</v>
      </c>
      <c r="O597" s="155">
        <f>Formulario!L605</f>
        <v>0</v>
      </c>
      <c r="P597" s="146">
        <f>IF(O597=1,"09:00",Formulario!M605)</f>
        <v>0</v>
      </c>
      <c r="Q597" s="146">
        <f>IF(O597=1,"18:30",Formulario!N605)</f>
        <v>0</v>
      </c>
      <c r="R597" s="146" t="str">
        <f>IF(Formulario!O605&lt;&gt;"",IF(Formulario!O605=" ",".",Formulario!O605),".")</f>
        <v>.</v>
      </c>
      <c r="S597" s="141" t="s">
        <v>131</v>
      </c>
    </row>
    <row r="598" spans="1:19">
      <c r="A598" s="141">
        <f>Formulario!B606</f>
        <v>0</v>
      </c>
      <c r="B598" s="144" t="str">
        <f>IF(G598="."," ",Formulario!D$5)</f>
        <v xml:space="preserve"> </v>
      </c>
      <c r="C598" s="144" t="str">
        <f>IF(G598=".","",Formulario!D$6)</f>
        <v/>
      </c>
      <c r="D598" s="144" t="str">
        <f>IF(H598=".","",Formulario!D$7)</f>
        <v/>
      </c>
      <c r="E598" s="144" t="str">
        <f>IF(G598=".","",Formulario!J$5)</f>
        <v/>
      </c>
      <c r="F598" s="145" t="str">
        <f>IF(G598=".","",Formulario!J$6)</f>
        <v/>
      </c>
      <c r="G598" s="180" t="str">
        <f>IF(Formulario!C606&lt;&gt;"",IF(Formulario!C606=" ","Falta Depto",IF(H598=".","Error En Descripción",Formulario!C606)),IF(H598=".",".","Falta Datos"))</f>
        <v>.</v>
      </c>
      <c r="H598" s="144" t="str">
        <f>IF(Formulario!D606&lt;&gt;"",IF(Formulario!D606=" ",".",Formulario!D606),".")</f>
        <v>.</v>
      </c>
      <c r="I598" s="144" t="str">
        <f>IF(Formulario!E606&lt;&gt;"",IF(Formulario!E606=" "," ",Formulario!E606),IF(G598=".",".","Falta Propietario"))</f>
        <v>.</v>
      </c>
      <c r="J598" s="144" t="str">
        <f>IF(Formulario!F606&lt;&gt;"",IF(Formulario!F606=" "," ",Formulario!F606)," ")</f>
        <v xml:space="preserve"> </v>
      </c>
      <c r="K598" s="144" t="str">
        <f>IF(Formulario!G606&lt;&gt;"",IF(Formulario!G606=" "," ",Formulario!G606)," ")</f>
        <v xml:space="preserve"> </v>
      </c>
      <c r="L598" s="144" t="str">
        <f>IF(Formulario!H606&lt;&gt;"",IF(Formulario!H606=" "," ",Formulario!H606)," ")</f>
        <v xml:space="preserve"> </v>
      </c>
      <c r="M598" s="144" t="str">
        <f>IF(Formulario!I606&lt;&gt;"",IF(Formulario!I606=" "," ",Formulario!I606)," ")</f>
        <v xml:space="preserve"> </v>
      </c>
      <c r="N598" s="145" t="str">
        <f>IF(Formulario!J606&lt;&gt;"",IF(Formulario!J606=" "," ",Formulario!J606),IF(G598=".",".","Falta Fecha"))</f>
        <v>.</v>
      </c>
      <c r="O598" s="155">
        <f>Formulario!L606</f>
        <v>0</v>
      </c>
      <c r="P598" s="146">
        <f>IF(O598=1,"09:00",Formulario!M606)</f>
        <v>0</v>
      </c>
      <c r="Q598" s="146">
        <f>IF(O598=1,"18:30",Formulario!N606)</f>
        <v>0</v>
      </c>
      <c r="R598" s="146" t="str">
        <f>IF(Formulario!O606&lt;&gt;"",IF(Formulario!O606=" ",".",Formulario!O606),".")</f>
        <v>.</v>
      </c>
      <c r="S598" s="141" t="s">
        <v>131</v>
      </c>
    </row>
    <row r="599" spans="1:19">
      <c r="A599" s="141">
        <f>Formulario!B607</f>
        <v>0</v>
      </c>
      <c r="B599" s="144" t="str">
        <f>IF(G599="."," ",Formulario!D$5)</f>
        <v xml:space="preserve"> </v>
      </c>
      <c r="C599" s="144" t="str">
        <f>IF(G599=".","",Formulario!D$6)</f>
        <v/>
      </c>
      <c r="D599" s="144" t="str">
        <f>IF(H599=".","",Formulario!D$7)</f>
        <v/>
      </c>
      <c r="E599" s="144" t="str">
        <f>IF(G599=".","",Formulario!J$5)</f>
        <v/>
      </c>
      <c r="F599" s="145" t="str">
        <f>IF(G599=".","",Formulario!J$6)</f>
        <v/>
      </c>
      <c r="G599" s="180" t="str">
        <f>IF(Formulario!C607&lt;&gt;"",IF(Formulario!C607=" ","Falta Depto",IF(H599=".","Error En Descripción",Formulario!C607)),IF(H599=".",".","Falta Datos"))</f>
        <v>.</v>
      </c>
      <c r="H599" s="144" t="str">
        <f>IF(Formulario!D607&lt;&gt;"",IF(Formulario!D607=" ",".",Formulario!D607),".")</f>
        <v>.</v>
      </c>
      <c r="I599" s="144" t="str">
        <f>IF(Formulario!E607&lt;&gt;"",IF(Formulario!E607=" "," ",Formulario!E607),IF(G599=".",".","Falta Propietario"))</f>
        <v>.</v>
      </c>
      <c r="J599" s="144" t="str">
        <f>IF(Formulario!F607&lt;&gt;"",IF(Formulario!F607=" "," ",Formulario!F607)," ")</f>
        <v xml:space="preserve"> </v>
      </c>
      <c r="K599" s="144" t="str">
        <f>IF(Formulario!G607&lt;&gt;"",IF(Formulario!G607=" "," ",Formulario!G607)," ")</f>
        <v xml:space="preserve"> </v>
      </c>
      <c r="L599" s="144" t="str">
        <f>IF(Formulario!H607&lt;&gt;"",IF(Formulario!H607=" "," ",Formulario!H607)," ")</f>
        <v xml:space="preserve"> </v>
      </c>
      <c r="M599" s="144" t="str">
        <f>IF(Formulario!I607&lt;&gt;"",IF(Formulario!I607=" "," ",Formulario!I607)," ")</f>
        <v xml:space="preserve"> </v>
      </c>
      <c r="N599" s="145" t="str">
        <f>IF(Formulario!J607&lt;&gt;"",IF(Formulario!J607=" "," ",Formulario!J607),IF(G599=".",".","Falta Fecha"))</f>
        <v>.</v>
      </c>
      <c r="O599" s="155">
        <f>Formulario!L607</f>
        <v>0</v>
      </c>
      <c r="P599" s="146">
        <f>IF(O599=1,"09:00",Formulario!M607)</f>
        <v>0</v>
      </c>
      <c r="Q599" s="146">
        <f>IF(O599=1,"18:30",Formulario!N607)</f>
        <v>0</v>
      </c>
      <c r="R599" s="146" t="str">
        <f>IF(Formulario!O607&lt;&gt;"",IF(Formulario!O607=" ",".",Formulario!O607),".")</f>
        <v>.</v>
      </c>
      <c r="S599" s="141" t="s">
        <v>131</v>
      </c>
    </row>
    <row r="600" spans="1:19">
      <c r="A600" s="141">
        <f>Formulario!B608</f>
        <v>0</v>
      </c>
      <c r="B600" s="144" t="str">
        <f>IF(G600="."," ",Formulario!D$5)</f>
        <v xml:space="preserve"> </v>
      </c>
      <c r="C600" s="144" t="str">
        <f>IF(G600=".","",Formulario!D$6)</f>
        <v/>
      </c>
      <c r="D600" s="144" t="str">
        <f>IF(H600=".","",Formulario!D$7)</f>
        <v/>
      </c>
      <c r="E600" s="144" t="str">
        <f>IF(G600=".","",Formulario!J$5)</f>
        <v/>
      </c>
      <c r="F600" s="145" t="str">
        <f>IF(G600=".","",Formulario!J$6)</f>
        <v/>
      </c>
      <c r="G600" s="180" t="str">
        <f>IF(Formulario!C608&lt;&gt;"",IF(Formulario!C608=" ","Falta Depto",IF(H600=".","Error En Descripción",Formulario!C608)),IF(H600=".",".","Falta Datos"))</f>
        <v>.</v>
      </c>
      <c r="H600" s="144" t="str">
        <f>IF(Formulario!D608&lt;&gt;"",IF(Formulario!D608=" ",".",Formulario!D608),".")</f>
        <v>.</v>
      </c>
      <c r="I600" s="144" t="str">
        <f>IF(Formulario!E608&lt;&gt;"",IF(Formulario!E608=" "," ",Formulario!E608),IF(G600=".",".","Falta Propietario"))</f>
        <v>.</v>
      </c>
      <c r="J600" s="144" t="str">
        <f>IF(Formulario!F608&lt;&gt;"",IF(Formulario!F608=" "," ",Formulario!F608)," ")</f>
        <v xml:space="preserve"> </v>
      </c>
      <c r="K600" s="144" t="str">
        <f>IF(Formulario!G608&lt;&gt;"",IF(Formulario!G608=" "," ",Formulario!G608)," ")</f>
        <v xml:space="preserve"> </v>
      </c>
      <c r="L600" s="144" t="str">
        <f>IF(Formulario!H608&lt;&gt;"",IF(Formulario!H608=" "," ",Formulario!H608)," ")</f>
        <v xml:space="preserve"> </v>
      </c>
      <c r="M600" s="144" t="str">
        <f>IF(Formulario!I608&lt;&gt;"",IF(Formulario!I608=" "," ",Formulario!I608)," ")</f>
        <v xml:space="preserve"> </v>
      </c>
      <c r="N600" s="145" t="str">
        <f>IF(Formulario!J608&lt;&gt;"",IF(Formulario!J608=" "," ",Formulario!J608),IF(G600=".",".","Falta Fecha"))</f>
        <v>.</v>
      </c>
      <c r="O600" s="155">
        <f>Formulario!L608</f>
        <v>0</v>
      </c>
      <c r="P600" s="146">
        <f>IF(O600=1,"09:00",Formulario!M608)</f>
        <v>0</v>
      </c>
      <c r="Q600" s="146">
        <f>IF(O600=1,"18:30",Formulario!N608)</f>
        <v>0</v>
      </c>
      <c r="R600" s="146" t="str">
        <f>IF(Formulario!O608&lt;&gt;"",IF(Formulario!O608=" ",".",Formulario!O608),".")</f>
        <v>.</v>
      </c>
      <c r="S600" s="141" t="s">
        <v>131</v>
      </c>
    </row>
    <row r="601" spans="1:19">
      <c r="A601" s="141">
        <f>Formulario!B609</f>
        <v>0</v>
      </c>
      <c r="B601" s="144" t="str">
        <f>IF(G601="."," ",Formulario!D$5)</f>
        <v xml:space="preserve"> </v>
      </c>
      <c r="C601" s="144" t="str">
        <f>IF(G601=".","",Formulario!D$6)</f>
        <v/>
      </c>
      <c r="D601" s="144" t="str">
        <f>IF(H601=".","",Formulario!D$7)</f>
        <v/>
      </c>
      <c r="E601" s="144" t="str">
        <f>IF(G601=".","",Formulario!J$5)</f>
        <v/>
      </c>
      <c r="F601" s="145" t="str">
        <f>IF(G601=".","",Formulario!J$6)</f>
        <v/>
      </c>
      <c r="G601" s="180" t="str">
        <f>IF(Formulario!C609&lt;&gt;"",IF(Formulario!C609=" ","Falta Depto",IF(H601=".","Error En Descripción",Formulario!C609)),IF(H601=".",".","Falta Datos"))</f>
        <v>.</v>
      </c>
      <c r="H601" s="144" t="str">
        <f>IF(Formulario!D609&lt;&gt;"",IF(Formulario!D609=" ",".",Formulario!D609),".")</f>
        <v>.</v>
      </c>
      <c r="I601" s="144" t="str">
        <f>IF(Formulario!E609&lt;&gt;"",IF(Formulario!E609=" "," ",Formulario!E609),IF(G601=".",".","Falta Propietario"))</f>
        <v>.</v>
      </c>
      <c r="J601" s="144" t="str">
        <f>IF(Formulario!F609&lt;&gt;"",IF(Formulario!F609=" "," ",Formulario!F609)," ")</f>
        <v xml:space="preserve"> </v>
      </c>
      <c r="K601" s="144" t="str">
        <f>IF(Formulario!G609&lt;&gt;"",IF(Formulario!G609=" "," ",Formulario!G609)," ")</f>
        <v xml:space="preserve"> </v>
      </c>
      <c r="L601" s="144" t="str">
        <f>IF(Formulario!H609&lt;&gt;"",IF(Formulario!H609=" "," ",Formulario!H609)," ")</f>
        <v xml:space="preserve"> </v>
      </c>
      <c r="M601" s="144" t="str">
        <f>IF(Formulario!I609&lt;&gt;"",IF(Formulario!I609=" "," ",Formulario!I609)," ")</f>
        <v xml:space="preserve"> </v>
      </c>
      <c r="N601" s="145" t="str">
        <f>IF(Formulario!J609&lt;&gt;"",IF(Formulario!J609=" "," ",Formulario!J609),IF(G601=".",".","Falta Fecha"))</f>
        <v>.</v>
      </c>
      <c r="O601" s="155">
        <f>Formulario!L609</f>
        <v>0</v>
      </c>
      <c r="P601" s="146">
        <f>IF(O601=1,"09:00",Formulario!M609)</f>
        <v>0</v>
      </c>
      <c r="Q601" s="146">
        <f>IF(O601=1,"18:30",Formulario!N609)</f>
        <v>0</v>
      </c>
      <c r="R601" s="146" t="str">
        <f>IF(Formulario!O609&lt;&gt;"",IF(Formulario!O609=" ",".",Formulario!O609),".")</f>
        <v>.</v>
      </c>
      <c r="S601" s="141" t="s">
        <v>131</v>
      </c>
    </row>
    <row r="602" spans="1:19">
      <c r="A602" s="141">
        <f>Formulario!B610</f>
        <v>0</v>
      </c>
      <c r="B602" s="144" t="str">
        <f>IF(G602="."," ",Formulario!D$5)</f>
        <v xml:space="preserve"> </v>
      </c>
      <c r="C602" s="144" t="str">
        <f>IF(G602=".","",Formulario!D$6)</f>
        <v/>
      </c>
      <c r="D602" s="144" t="str">
        <f>IF(H602=".","",Formulario!D$7)</f>
        <v/>
      </c>
      <c r="E602" s="144" t="str">
        <f>IF(G602=".","",Formulario!J$5)</f>
        <v/>
      </c>
      <c r="F602" s="145" t="str">
        <f>IF(G602=".","",Formulario!J$6)</f>
        <v/>
      </c>
      <c r="G602" s="180" t="str">
        <f>IF(Formulario!C610&lt;&gt;"",IF(Formulario!C610=" ","Falta Depto",IF(H602=".","Error En Descripción",Formulario!C610)),IF(H602=".",".","Falta Datos"))</f>
        <v>.</v>
      </c>
      <c r="H602" s="144" t="str">
        <f>IF(Formulario!D610&lt;&gt;"",IF(Formulario!D610=" ",".",Formulario!D610),".")</f>
        <v>.</v>
      </c>
      <c r="I602" s="144" t="str">
        <f>IF(Formulario!E610&lt;&gt;"",IF(Formulario!E610=" "," ",Formulario!E610),IF(G602=".",".","Falta Propietario"))</f>
        <v>.</v>
      </c>
      <c r="J602" s="144" t="str">
        <f>IF(Formulario!F610&lt;&gt;"",IF(Formulario!F610=" "," ",Formulario!F610)," ")</f>
        <v xml:space="preserve"> </v>
      </c>
      <c r="K602" s="144" t="str">
        <f>IF(Formulario!G610&lt;&gt;"",IF(Formulario!G610=" "," ",Formulario!G610)," ")</f>
        <v xml:space="preserve"> </v>
      </c>
      <c r="L602" s="144" t="str">
        <f>IF(Formulario!H610&lt;&gt;"",IF(Formulario!H610=" "," ",Formulario!H610)," ")</f>
        <v xml:space="preserve"> </v>
      </c>
      <c r="M602" s="144" t="str">
        <f>IF(Formulario!I610&lt;&gt;"",IF(Formulario!I610=" "," ",Formulario!I610)," ")</f>
        <v xml:space="preserve"> </v>
      </c>
      <c r="N602" s="145" t="str">
        <f>IF(Formulario!J610&lt;&gt;"",IF(Formulario!J610=" "," ",Formulario!J610),IF(G602=".",".","Falta Fecha"))</f>
        <v>.</v>
      </c>
      <c r="O602" s="155">
        <f>Formulario!L610</f>
        <v>0</v>
      </c>
      <c r="P602" s="146">
        <f>IF(O602=1,"09:00",Formulario!M610)</f>
        <v>0</v>
      </c>
      <c r="Q602" s="146">
        <f>IF(O602=1,"18:30",Formulario!N610)</f>
        <v>0</v>
      </c>
      <c r="R602" s="146" t="str">
        <f>IF(Formulario!O610&lt;&gt;"",IF(Formulario!O610=" ",".",Formulario!O610),".")</f>
        <v>.</v>
      </c>
      <c r="S602" s="141" t="s">
        <v>131</v>
      </c>
    </row>
    <row r="603" spans="1:19">
      <c r="A603" s="141">
        <f>Formulario!B611</f>
        <v>0</v>
      </c>
      <c r="B603" s="144" t="str">
        <f>IF(G603="."," ",Formulario!D$5)</f>
        <v xml:space="preserve"> </v>
      </c>
      <c r="C603" s="144" t="str">
        <f>IF(G603=".","",Formulario!D$6)</f>
        <v/>
      </c>
      <c r="D603" s="144" t="str">
        <f>IF(H603=".","",Formulario!D$7)</f>
        <v/>
      </c>
      <c r="E603" s="144" t="str">
        <f>IF(G603=".","",Formulario!J$5)</f>
        <v/>
      </c>
      <c r="F603" s="145" t="str">
        <f>IF(G603=".","",Formulario!J$6)</f>
        <v/>
      </c>
      <c r="G603" s="180" t="str">
        <f>IF(Formulario!C611&lt;&gt;"",IF(Formulario!C611=" ","Falta Depto",IF(H603=".","Error En Descripción",Formulario!C611)),IF(H603=".",".","Falta Datos"))</f>
        <v>.</v>
      </c>
      <c r="H603" s="144" t="str">
        <f>IF(Formulario!D611&lt;&gt;"",IF(Formulario!D611=" ",".",Formulario!D611),".")</f>
        <v>.</v>
      </c>
      <c r="I603" s="144" t="str">
        <f>IF(Formulario!E611&lt;&gt;"",IF(Formulario!E611=" "," ",Formulario!E611),IF(G603=".",".","Falta Propietario"))</f>
        <v>.</v>
      </c>
      <c r="J603" s="144" t="str">
        <f>IF(Formulario!F611&lt;&gt;"",IF(Formulario!F611=" "," ",Formulario!F611)," ")</f>
        <v xml:space="preserve"> </v>
      </c>
      <c r="K603" s="144" t="str">
        <f>IF(Formulario!G611&lt;&gt;"",IF(Formulario!G611=" "," ",Formulario!G611)," ")</f>
        <v xml:space="preserve"> </v>
      </c>
      <c r="L603" s="144" t="str">
        <f>IF(Formulario!H611&lt;&gt;"",IF(Formulario!H611=" "," ",Formulario!H611)," ")</f>
        <v xml:space="preserve"> </v>
      </c>
      <c r="M603" s="144" t="str">
        <f>IF(Formulario!I611&lt;&gt;"",IF(Formulario!I611=" "," ",Formulario!I611)," ")</f>
        <v xml:space="preserve"> </v>
      </c>
      <c r="N603" s="145" t="str">
        <f>IF(Formulario!J611&lt;&gt;"",IF(Formulario!J611=" "," ",Formulario!J611),IF(G603=".",".","Falta Fecha"))</f>
        <v>.</v>
      </c>
      <c r="O603" s="155">
        <f>Formulario!L611</f>
        <v>0</v>
      </c>
      <c r="P603" s="146">
        <f>IF(O603=1,"09:00",Formulario!M611)</f>
        <v>0</v>
      </c>
      <c r="Q603" s="146">
        <f>IF(O603=1,"18:30",Formulario!N611)</f>
        <v>0</v>
      </c>
      <c r="R603" s="146" t="str">
        <f>IF(Formulario!O611&lt;&gt;"",IF(Formulario!O611=" ",".",Formulario!O611),".")</f>
        <v>.</v>
      </c>
      <c r="S603" s="141" t="s">
        <v>131</v>
      </c>
    </row>
    <row r="604" spans="1:19">
      <c r="A604" s="141">
        <f>Formulario!B612</f>
        <v>0</v>
      </c>
      <c r="B604" s="144" t="str">
        <f>IF(G604="."," ",Formulario!D$5)</f>
        <v xml:space="preserve"> </v>
      </c>
      <c r="C604" s="144" t="str">
        <f>IF(G604=".","",Formulario!D$6)</f>
        <v/>
      </c>
      <c r="D604" s="144" t="str">
        <f>IF(H604=".","",Formulario!D$7)</f>
        <v/>
      </c>
      <c r="E604" s="144" t="str">
        <f>IF(G604=".","",Formulario!J$5)</f>
        <v/>
      </c>
      <c r="F604" s="145" t="str">
        <f>IF(G604=".","",Formulario!J$6)</f>
        <v/>
      </c>
      <c r="G604" s="180" t="str">
        <f>IF(Formulario!C612&lt;&gt;"",IF(Formulario!C612=" ","Falta Depto",IF(H604=".","Error En Descripción",Formulario!C612)),IF(H604=".",".","Falta Datos"))</f>
        <v>.</v>
      </c>
      <c r="H604" s="144" t="str">
        <f>IF(Formulario!D612&lt;&gt;"",IF(Formulario!D612=" ",".",Formulario!D612),".")</f>
        <v>.</v>
      </c>
      <c r="I604" s="144" t="str">
        <f>IF(Formulario!E612&lt;&gt;"",IF(Formulario!E612=" "," ",Formulario!E612),IF(G604=".",".","Falta Propietario"))</f>
        <v>.</v>
      </c>
      <c r="J604" s="144" t="str">
        <f>IF(Formulario!F612&lt;&gt;"",IF(Formulario!F612=" "," ",Formulario!F612)," ")</f>
        <v xml:space="preserve"> </v>
      </c>
      <c r="K604" s="144" t="str">
        <f>IF(Formulario!G612&lt;&gt;"",IF(Formulario!G612=" "," ",Formulario!G612)," ")</f>
        <v xml:space="preserve"> </v>
      </c>
      <c r="L604" s="144" t="str">
        <f>IF(Formulario!H612&lt;&gt;"",IF(Formulario!H612=" "," ",Formulario!H612)," ")</f>
        <v xml:space="preserve"> </v>
      </c>
      <c r="M604" s="144" t="str">
        <f>IF(Formulario!I612&lt;&gt;"",IF(Formulario!I612=" "," ",Formulario!I612)," ")</f>
        <v xml:space="preserve"> </v>
      </c>
      <c r="N604" s="145" t="str">
        <f>IF(Formulario!J612&lt;&gt;"",IF(Formulario!J612=" "," ",Formulario!J612),IF(G604=".",".","Falta Fecha"))</f>
        <v>.</v>
      </c>
      <c r="O604" s="155">
        <f>Formulario!L612</f>
        <v>0</v>
      </c>
      <c r="P604" s="146">
        <f>IF(O604=1,"09:00",Formulario!M612)</f>
        <v>0</v>
      </c>
      <c r="Q604" s="146">
        <f>IF(O604=1,"18:30",Formulario!N612)</f>
        <v>0</v>
      </c>
      <c r="R604" s="146" t="str">
        <f>IF(Formulario!O612&lt;&gt;"",IF(Formulario!O612=" ",".",Formulario!O612),".")</f>
        <v>.</v>
      </c>
      <c r="S604" s="141" t="s">
        <v>131</v>
      </c>
    </row>
    <row r="605" spans="1:19">
      <c r="A605" s="141">
        <f>Formulario!B613</f>
        <v>0</v>
      </c>
      <c r="B605" s="144" t="str">
        <f>IF(G605="."," ",Formulario!D$5)</f>
        <v xml:space="preserve"> </v>
      </c>
      <c r="C605" s="144" t="str">
        <f>IF(G605=".","",Formulario!D$6)</f>
        <v/>
      </c>
      <c r="D605" s="144" t="str">
        <f>IF(H605=".","",Formulario!D$7)</f>
        <v/>
      </c>
      <c r="E605" s="144" t="str">
        <f>IF(G605=".","",Formulario!J$5)</f>
        <v/>
      </c>
      <c r="F605" s="145" t="str">
        <f>IF(G605=".","",Formulario!J$6)</f>
        <v/>
      </c>
      <c r="G605" s="180" t="str">
        <f>IF(Formulario!C613&lt;&gt;"",IF(Formulario!C613=" ","Falta Depto",IF(H605=".","Error En Descripción",Formulario!C613)),IF(H605=".",".","Falta Datos"))</f>
        <v>.</v>
      </c>
      <c r="H605" s="144" t="str">
        <f>IF(Formulario!D613&lt;&gt;"",IF(Formulario!D613=" ",".",Formulario!D613),".")</f>
        <v>.</v>
      </c>
      <c r="I605" s="144" t="str">
        <f>IF(Formulario!E613&lt;&gt;"",IF(Formulario!E613=" "," ",Formulario!E613),IF(G605=".",".","Falta Propietario"))</f>
        <v>.</v>
      </c>
      <c r="J605" s="144" t="str">
        <f>IF(Formulario!F613&lt;&gt;"",IF(Formulario!F613=" "," ",Formulario!F613)," ")</f>
        <v xml:space="preserve"> </v>
      </c>
      <c r="K605" s="144" t="str">
        <f>IF(Formulario!G613&lt;&gt;"",IF(Formulario!G613=" "," ",Formulario!G613)," ")</f>
        <v xml:space="preserve"> </v>
      </c>
      <c r="L605" s="144" t="str">
        <f>IF(Formulario!H613&lt;&gt;"",IF(Formulario!H613=" "," ",Formulario!H613)," ")</f>
        <v xml:space="preserve"> </v>
      </c>
      <c r="M605" s="144" t="str">
        <f>IF(Formulario!I613&lt;&gt;"",IF(Formulario!I613=" "," ",Formulario!I613)," ")</f>
        <v xml:space="preserve"> </v>
      </c>
      <c r="N605" s="145" t="str">
        <f>IF(Formulario!J613&lt;&gt;"",IF(Formulario!J613=" "," ",Formulario!J613),IF(G605=".",".","Falta Fecha"))</f>
        <v>.</v>
      </c>
      <c r="O605" s="155">
        <f>Formulario!L613</f>
        <v>0</v>
      </c>
      <c r="P605" s="146">
        <f>IF(O605=1,"09:00",Formulario!M613)</f>
        <v>0</v>
      </c>
      <c r="Q605" s="146">
        <f>IF(O605=1,"18:30",Formulario!N613)</f>
        <v>0</v>
      </c>
      <c r="R605" s="146" t="str">
        <f>IF(Formulario!O613&lt;&gt;"",IF(Formulario!O613=" ",".",Formulario!O613),".")</f>
        <v>.</v>
      </c>
      <c r="S605" s="141" t="s">
        <v>131</v>
      </c>
    </row>
    <row r="606" spans="1:19">
      <c r="A606" s="141">
        <f>Formulario!B614</f>
        <v>0</v>
      </c>
      <c r="B606" s="144" t="str">
        <f>IF(G606="."," ",Formulario!D$5)</f>
        <v xml:space="preserve"> </v>
      </c>
      <c r="C606" s="144" t="str">
        <f>IF(G606=".","",Formulario!D$6)</f>
        <v/>
      </c>
      <c r="D606" s="144" t="str">
        <f>IF(H606=".","",Formulario!D$7)</f>
        <v/>
      </c>
      <c r="E606" s="144" t="str">
        <f>IF(G606=".","",Formulario!J$5)</f>
        <v/>
      </c>
      <c r="F606" s="145" t="str">
        <f>IF(G606=".","",Formulario!J$6)</f>
        <v/>
      </c>
      <c r="G606" s="180" t="str">
        <f>IF(Formulario!C614&lt;&gt;"",IF(Formulario!C614=" ","Falta Depto",IF(H606=".","Error En Descripción",Formulario!C614)),IF(H606=".",".","Falta Datos"))</f>
        <v>.</v>
      </c>
      <c r="H606" s="144" t="str">
        <f>IF(Formulario!D614&lt;&gt;"",IF(Formulario!D614=" ",".",Formulario!D614),".")</f>
        <v>.</v>
      </c>
      <c r="I606" s="144" t="str">
        <f>IF(Formulario!E614&lt;&gt;"",IF(Formulario!E614=" "," ",Formulario!E614),IF(G606=".",".","Falta Propietario"))</f>
        <v>.</v>
      </c>
      <c r="J606" s="144" t="str">
        <f>IF(Formulario!F614&lt;&gt;"",IF(Formulario!F614=" "," ",Formulario!F614)," ")</f>
        <v xml:space="preserve"> </v>
      </c>
      <c r="K606" s="144" t="str">
        <f>IF(Formulario!G614&lt;&gt;"",IF(Formulario!G614=" "," ",Formulario!G614)," ")</f>
        <v xml:space="preserve"> </v>
      </c>
      <c r="L606" s="144" t="str">
        <f>IF(Formulario!H614&lt;&gt;"",IF(Formulario!H614=" "," ",Formulario!H614)," ")</f>
        <v xml:space="preserve"> </v>
      </c>
      <c r="M606" s="144" t="str">
        <f>IF(Formulario!I614&lt;&gt;"",IF(Formulario!I614=" "," ",Formulario!I614)," ")</f>
        <v xml:space="preserve"> </v>
      </c>
      <c r="N606" s="145" t="str">
        <f>IF(Formulario!J614&lt;&gt;"",IF(Formulario!J614=" "," ",Formulario!J614),IF(G606=".",".","Falta Fecha"))</f>
        <v>.</v>
      </c>
      <c r="O606" s="155">
        <f>Formulario!L614</f>
        <v>0</v>
      </c>
      <c r="P606" s="146">
        <f>IF(O606=1,"09:00",Formulario!M614)</f>
        <v>0</v>
      </c>
      <c r="Q606" s="146">
        <f>IF(O606=1,"18:30",Formulario!N614)</f>
        <v>0</v>
      </c>
      <c r="R606" s="146" t="str">
        <f>IF(Formulario!O614&lt;&gt;"",IF(Formulario!O614=" ",".",Formulario!O614),".")</f>
        <v>.</v>
      </c>
      <c r="S606" s="141" t="s">
        <v>131</v>
      </c>
    </row>
    <row r="607" spans="1:19">
      <c r="A607" s="141">
        <f>Formulario!B615</f>
        <v>0</v>
      </c>
      <c r="B607" s="144" t="str">
        <f>IF(G607="."," ",Formulario!D$5)</f>
        <v xml:space="preserve"> </v>
      </c>
      <c r="C607" s="144" t="str">
        <f>IF(G607=".","",Formulario!D$6)</f>
        <v/>
      </c>
      <c r="D607" s="144" t="str">
        <f>IF(H607=".","",Formulario!D$7)</f>
        <v/>
      </c>
      <c r="E607" s="144" t="str">
        <f>IF(G607=".","",Formulario!J$5)</f>
        <v/>
      </c>
      <c r="F607" s="145" t="str">
        <f>IF(G607=".","",Formulario!J$6)</f>
        <v/>
      </c>
      <c r="G607" s="180" t="str">
        <f>IF(Formulario!C615&lt;&gt;"",IF(Formulario!C615=" ","Falta Depto",IF(H607=".","Error En Descripción",Formulario!C615)),IF(H607=".",".","Falta Datos"))</f>
        <v>.</v>
      </c>
      <c r="H607" s="144" t="str">
        <f>IF(Formulario!D615&lt;&gt;"",IF(Formulario!D615=" ",".",Formulario!D615),".")</f>
        <v>.</v>
      </c>
      <c r="I607" s="144" t="str">
        <f>IF(Formulario!E615&lt;&gt;"",IF(Formulario!E615=" "," ",Formulario!E615),IF(G607=".",".","Falta Propietario"))</f>
        <v>.</v>
      </c>
      <c r="J607" s="144" t="str">
        <f>IF(Formulario!F615&lt;&gt;"",IF(Formulario!F615=" "," ",Formulario!F615)," ")</f>
        <v xml:space="preserve"> </v>
      </c>
      <c r="K607" s="144" t="str">
        <f>IF(Formulario!G615&lt;&gt;"",IF(Formulario!G615=" "," ",Formulario!G615)," ")</f>
        <v xml:space="preserve"> </v>
      </c>
      <c r="L607" s="144" t="str">
        <f>IF(Formulario!H615&lt;&gt;"",IF(Formulario!H615=" "," ",Formulario!H615)," ")</f>
        <v xml:space="preserve"> </v>
      </c>
      <c r="M607" s="144" t="str">
        <f>IF(Formulario!I615&lt;&gt;"",IF(Formulario!I615=" "," ",Formulario!I615)," ")</f>
        <v xml:space="preserve"> </v>
      </c>
      <c r="N607" s="145" t="str">
        <f>IF(Formulario!J615&lt;&gt;"",IF(Formulario!J615=" "," ",Formulario!J615),IF(G607=".",".","Falta Fecha"))</f>
        <v>.</v>
      </c>
      <c r="O607" s="155">
        <f>Formulario!L615</f>
        <v>0</v>
      </c>
      <c r="P607" s="146">
        <f>IF(O607=1,"09:00",Formulario!M615)</f>
        <v>0</v>
      </c>
      <c r="Q607" s="146">
        <f>IF(O607=1,"18:30",Formulario!N615)</f>
        <v>0</v>
      </c>
      <c r="R607" s="146" t="str">
        <f>IF(Formulario!O615&lt;&gt;"",IF(Formulario!O615=" ",".",Formulario!O615),".")</f>
        <v>.</v>
      </c>
      <c r="S607" s="141" t="s">
        <v>131</v>
      </c>
    </row>
    <row r="608" spans="1:19">
      <c r="A608" s="141">
        <f>Formulario!B616</f>
        <v>0</v>
      </c>
      <c r="B608" s="144" t="str">
        <f>IF(G608="."," ",Formulario!D$5)</f>
        <v xml:space="preserve"> </v>
      </c>
      <c r="C608" s="144" t="str">
        <f>IF(G608=".","",Formulario!D$6)</f>
        <v/>
      </c>
      <c r="D608" s="144" t="str">
        <f>IF(H608=".","",Formulario!D$7)</f>
        <v/>
      </c>
      <c r="E608" s="144" t="str">
        <f>IF(G608=".","",Formulario!J$5)</f>
        <v/>
      </c>
      <c r="F608" s="145" t="str">
        <f>IF(G608=".","",Formulario!J$6)</f>
        <v/>
      </c>
      <c r="G608" s="180" t="str">
        <f>IF(Formulario!C616&lt;&gt;"",IF(Formulario!C616=" ","Falta Depto",IF(H608=".","Error En Descripción",Formulario!C616)),IF(H608=".",".","Falta Datos"))</f>
        <v>.</v>
      </c>
      <c r="H608" s="144" t="str">
        <f>IF(Formulario!D616&lt;&gt;"",IF(Formulario!D616=" ",".",Formulario!D616),".")</f>
        <v>.</v>
      </c>
      <c r="I608" s="144" t="str">
        <f>IF(Formulario!E616&lt;&gt;"",IF(Formulario!E616=" "," ",Formulario!E616),IF(G608=".",".","Falta Propietario"))</f>
        <v>.</v>
      </c>
      <c r="J608" s="144" t="str">
        <f>IF(Formulario!F616&lt;&gt;"",IF(Formulario!F616=" "," ",Formulario!F616)," ")</f>
        <v xml:space="preserve"> </v>
      </c>
      <c r="K608" s="144" t="str">
        <f>IF(Formulario!G616&lt;&gt;"",IF(Formulario!G616=" "," ",Formulario!G616)," ")</f>
        <v xml:space="preserve"> </v>
      </c>
      <c r="L608" s="144" t="str">
        <f>IF(Formulario!H616&lt;&gt;"",IF(Formulario!H616=" "," ",Formulario!H616)," ")</f>
        <v xml:space="preserve"> </v>
      </c>
      <c r="M608" s="144" t="str">
        <f>IF(Formulario!I616&lt;&gt;"",IF(Formulario!I616=" "," ",Formulario!I616)," ")</f>
        <v xml:space="preserve"> </v>
      </c>
      <c r="N608" s="145" t="str">
        <f>IF(Formulario!J616&lt;&gt;"",IF(Formulario!J616=" "," ",Formulario!J616),IF(G608=".",".","Falta Fecha"))</f>
        <v>.</v>
      </c>
      <c r="O608" s="155">
        <f>Formulario!L616</f>
        <v>0</v>
      </c>
      <c r="P608" s="146">
        <f>IF(O608=1,"09:00",Formulario!M616)</f>
        <v>0</v>
      </c>
      <c r="Q608" s="146">
        <f>IF(O608=1,"18:30",Formulario!N616)</f>
        <v>0</v>
      </c>
      <c r="R608" s="146" t="str">
        <f>IF(Formulario!O616&lt;&gt;"",IF(Formulario!O616=" ",".",Formulario!O616),".")</f>
        <v>.</v>
      </c>
      <c r="S608" s="141" t="s">
        <v>131</v>
      </c>
    </row>
    <row r="609" spans="1:19">
      <c r="A609" s="141">
        <f>Formulario!B617</f>
        <v>0</v>
      </c>
      <c r="B609" s="144" t="str">
        <f>IF(G609="."," ",Formulario!D$5)</f>
        <v xml:space="preserve"> </v>
      </c>
      <c r="C609" s="144" t="str">
        <f>IF(G609=".","",Formulario!D$6)</f>
        <v/>
      </c>
      <c r="D609" s="144" t="str">
        <f>IF(H609=".","",Formulario!D$7)</f>
        <v/>
      </c>
      <c r="E609" s="144" t="str">
        <f>IF(G609=".","",Formulario!J$5)</f>
        <v/>
      </c>
      <c r="F609" s="145" t="str">
        <f>IF(G609=".","",Formulario!J$6)</f>
        <v/>
      </c>
      <c r="G609" s="180" t="str">
        <f>IF(Formulario!C617&lt;&gt;"",IF(Formulario!C617=" ","Falta Depto",IF(H609=".","Error En Descripción",Formulario!C617)),IF(H609=".",".","Falta Datos"))</f>
        <v>.</v>
      </c>
      <c r="H609" s="144" t="str">
        <f>IF(Formulario!D617&lt;&gt;"",IF(Formulario!D617=" ",".",Formulario!D617),".")</f>
        <v>.</v>
      </c>
      <c r="I609" s="144" t="str">
        <f>IF(Formulario!E617&lt;&gt;"",IF(Formulario!E617=" "," ",Formulario!E617),IF(G609=".",".","Falta Propietario"))</f>
        <v>.</v>
      </c>
      <c r="J609" s="144" t="str">
        <f>IF(Formulario!F617&lt;&gt;"",IF(Formulario!F617=" "," ",Formulario!F617)," ")</f>
        <v xml:space="preserve"> </v>
      </c>
      <c r="K609" s="144" t="str">
        <f>IF(Formulario!G617&lt;&gt;"",IF(Formulario!G617=" "," ",Formulario!G617)," ")</f>
        <v xml:space="preserve"> </v>
      </c>
      <c r="L609" s="144" t="str">
        <f>IF(Formulario!H617&lt;&gt;"",IF(Formulario!H617=" "," ",Formulario!H617)," ")</f>
        <v xml:space="preserve"> </v>
      </c>
      <c r="M609" s="144" t="str">
        <f>IF(Formulario!I617&lt;&gt;"",IF(Formulario!I617=" "," ",Formulario!I617)," ")</f>
        <v xml:space="preserve"> </v>
      </c>
      <c r="N609" s="145" t="str">
        <f>IF(Formulario!J617&lt;&gt;"",IF(Formulario!J617=" "," ",Formulario!J617),IF(G609=".",".","Falta Fecha"))</f>
        <v>.</v>
      </c>
      <c r="O609" s="155">
        <f>Formulario!L617</f>
        <v>0</v>
      </c>
      <c r="P609" s="146">
        <f>IF(O609=1,"09:00",Formulario!M617)</f>
        <v>0</v>
      </c>
      <c r="Q609" s="146">
        <f>IF(O609=1,"18:30",Formulario!N617)</f>
        <v>0</v>
      </c>
      <c r="R609" s="146" t="str">
        <f>IF(Formulario!O617&lt;&gt;"",IF(Formulario!O617=" ",".",Formulario!O617),".")</f>
        <v>.</v>
      </c>
      <c r="S609" s="141" t="s">
        <v>131</v>
      </c>
    </row>
    <row r="610" spans="1:19">
      <c r="A610" s="141">
        <f>Formulario!B618</f>
        <v>0</v>
      </c>
      <c r="B610" s="144" t="str">
        <f>IF(G610="."," ",Formulario!D$5)</f>
        <v xml:space="preserve"> </v>
      </c>
      <c r="C610" s="144" t="str">
        <f>IF(G610=".","",Formulario!D$6)</f>
        <v/>
      </c>
      <c r="D610" s="144" t="str">
        <f>IF(H610=".","",Formulario!D$7)</f>
        <v/>
      </c>
      <c r="E610" s="144" t="str">
        <f>IF(G610=".","",Formulario!J$5)</f>
        <v/>
      </c>
      <c r="F610" s="145" t="str">
        <f>IF(G610=".","",Formulario!J$6)</f>
        <v/>
      </c>
      <c r="G610" s="180" t="str">
        <f>IF(Formulario!C618&lt;&gt;"",IF(Formulario!C618=" ","Falta Depto",IF(H610=".","Error En Descripción",Formulario!C618)),IF(H610=".",".","Falta Datos"))</f>
        <v>.</v>
      </c>
      <c r="H610" s="144" t="str">
        <f>IF(Formulario!D618&lt;&gt;"",IF(Formulario!D618=" ",".",Formulario!D618),".")</f>
        <v>.</v>
      </c>
      <c r="I610" s="144" t="str">
        <f>IF(Formulario!E618&lt;&gt;"",IF(Formulario!E618=" "," ",Formulario!E618),IF(G610=".",".","Falta Propietario"))</f>
        <v>.</v>
      </c>
      <c r="J610" s="144" t="str">
        <f>IF(Formulario!F618&lt;&gt;"",IF(Formulario!F618=" "," ",Formulario!F618)," ")</f>
        <v xml:space="preserve"> </v>
      </c>
      <c r="K610" s="144" t="str">
        <f>IF(Formulario!G618&lt;&gt;"",IF(Formulario!G618=" "," ",Formulario!G618)," ")</f>
        <v xml:space="preserve"> </v>
      </c>
      <c r="L610" s="144" t="str">
        <f>IF(Formulario!H618&lt;&gt;"",IF(Formulario!H618=" "," ",Formulario!H618)," ")</f>
        <v xml:space="preserve"> </v>
      </c>
      <c r="M610" s="144" t="str">
        <f>IF(Formulario!I618&lt;&gt;"",IF(Formulario!I618=" "," ",Formulario!I618)," ")</f>
        <v xml:space="preserve"> </v>
      </c>
      <c r="N610" s="145" t="str">
        <f>IF(Formulario!J618&lt;&gt;"",IF(Formulario!J618=" "," ",Formulario!J618),IF(G610=".",".","Falta Fecha"))</f>
        <v>.</v>
      </c>
      <c r="O610" s="155">
        <f>Formulario!L618</f>
        <v>0</v>
      </c>
      <c r="P610" s="146">
        <f>IF(O610=1,"09:00",Formulario!M618)</f>
        <v>0</v>
      </c>
      <c r="Q610" s="146">
        <f>IF(O610=1,"18:30",Formulario!N618)</f>
        <v>0</v>
      </c>
      <c r="R610" s="146" t="str">
        <f>IF(Formulario!O618&lt;&gt;"",IF(Formulario!O618=" ",".",Formulario!O618),".")</f>
        <v>.</v>
      </c>
      <c r="S610" s="141" t="s">
        <v>131</v>
      </c>
    </row>
    <row r="611" spans="1:19">
      <c r="A611" s="141">
        <f>Formulario!B619</f>
        <v>0</v>
      </c>
      <c r="B611" s="144" t="str">
        <f>IF(G611="."," ",Formulario!D$5)</f>
        <v xml:space="preserve"> </v>
      </c>
      <c r="C611" s="144" t="str">
        <f>IF(G611=".","",Formulario!D$6)</f>
        <v/>
      </c>
      <c r="D611" s="144" t="str">
        <f>IF(H611=".","",Formulario!D$7)</f>
        <v/>
      </c>
      <c r="E611" s="144" t="str">
        <f>IF(G611=".","",Formulario!J$5)</f>
        <v/>
      </c>
      <c r="F611" s="145" t="str">
        <f>IF(G611=".","",Formulario!J$6)</f>
        <v/>
      </c>
      <c r="G611" s="180" t="str">
        <f>IF(Formulario!C619&lt;&gt;"",IF(Formulario!C619=" ","Falta Depto",IF(H611=".","Error En Descripción",Formulario!C619)),IF(H611=".",".","Falta Datos"))</f>
        <v>.</v>
      </c>
      <c r="H611" s="144" t="str">
        <f>IF(Formulario!D619&lt;&gt;"",IF(Formulario!D619=" ",".",Formulario!D619),".")</f>
        <v>.</v>
      </c>
      <c r="I611" s="144" t="str">
        <f>IF(Formulario!E619&lt;&gt;"",IF(Formulario!E619=" "," ",Formulario!E619),IF(G611=".",".","Falta Propietario"))</f>
        <v>.</v>
      </c>
      <c r="J611" s="144" t="str">
        <f>IF(Formulario!F619&lt;&gt;"",IF(Formulario!F619=" "," ",Formulario!F619)," ")</f>
        <v xml:space="preserve"> </v>
      </c>
      <c r="K611" s="144" t="str">
        <f>IF(Formulario!G619&lt;&gt;"",IF(Formulario!G619=" "," ",Formulario!G619)," ")</f>
        <v xml:space="preserve"> </v>
      </c>
      <c r="L611" s="144" t="str">
        <f>IF(Formulario!H619&lt;&gt;"",IF(Formulario!H619=" "," ",Formulario!H619)," ")</f>
        <v xml:space="preserve"> </v>
      </c>
      <c r="M611" s="144" t="str">
        <f>IF(Formulario!I619&lt;&gt;"",IF(Formulario!I619=" "," ",Formulario!I619)," ")</f>
        <v xml:space="preserve"> </v>
      </c>
      <c r="N611" s="145" t="str">
        <f>IF(Formulario!J619&lt;&gt;"",IF(Formulario!J619=" "," ",Formulario!J619),IF(G611=".",".","Falta Fecha"))</f>
        <v>.</v>
      </c>
      <c r="O611" s="155">
        <f>Formulario!L619</f>
        <v>0</v>
      </c>
      <c r="P611" s="146">
        <f>IF(O611=1,"09:00",Formulario!M619)</f>
        <v>0</v>
      </c>
      <c r="Q611" s="146">
        <f>IF(O611=1,"18:30",Formulario!N619)</f>
        <v>0</v>
      </c>
      <c r="R611" s="146" t="str">
        <f>IF(Formulario!O619&lt;&gt;"",IF(Formulario!O619=" ",".",Formulario!O619),".")</f>
        <v>.</v>
      </c>
      <c r="S611" s="141" t="s">
        <v>131</v>
      </c>
    </row>
    <row r="612" spans="1:19">
      <c r="A612" s="141">
        <f>Formulario!B620</f>
        <v>0</v>
      </c>
      <c r="B612" s="144" t="str">
        <f>IF(G612="."," ",Formulario!D$5)</f>
        <v xml:space="preserve"> </v>
      </c>
      <c r="C612" s="144" t="str">
        <f>IF(G612=".","",Formulario!D$6)</f>
        <v/>
      </c>
      <c r="D612" s="144" t="str">
        <f>IF(H612=".","",Formulario!D$7)</f>
        <v/>
      </c>
      <c r="E612" s="144" t="str">
        <f>IF(G612=".","",Formulario!J$5)</f>
        <v/>
      </c>
      <c r="F612" s="145" t="str">
        <f>IF(G612=".","",Formulario!J$6)</f>
        <v/>
      </c>
      <c r="G612" s="180" t="str">
        <f>IF(Formulario!C620&lt;&gt;"",IF(Formulario!C620=" ","Falta Depto",IF(H612=".","Error En Descripción",Formulario!C620)),IF(H612=".",".","Falta Datos"))</f>
        <v>.</v>
      </c>
      <c r="H612" s="144" t="str">
        <f>IF(Formulario!D620&lt;&gt;"",IF(Formulario!D620=" ",".",Formulario!D620),".")</f>
        <v>.</v>
      </c>
      <c r="I612" s="144" t="str">
        <f>IF(Formulario!E620&lt;&gt;"",IF(Formulario!E620=" "," ",Formulario!E620),IF(G612=".",".","Falta Propietario"))</f>
        <v>.</v>
      </c>
      <c r="J612" s="144" t="str">
        <f>IF(Formulario!F620&lt;&gt;"",IF(Formulario!F620=" "," ",Formulario!F620)," ")</f>
        <v xml:space="preserve"> </v>
      </c>
      <c r="K612" s="144" t="str">
        <f>IF(Formulario!G620&lt;&gt;"",IF(Formulario!G620=" "," ",Formulario!G620)," ")</f>
        <v xml:space="preserve"> </v>
      </c>
      <c r="L612" s="144" t="str">
        <f>IF(Formulario!H620&lt;&gt;"",IF(Formulario!H620=" "," ",Formulario!H620)," ")</f>
        <v xml:space="preserve"> </v>
      </c>
      <c r="M612" s="144" t="str">
        <f>IF(Formulario!I620&lt;&gt;"",IF(Formulario!I620=" "," ",Formulario!I620)," ")</f>
        <v xml:space="preserve"> </v>
      </c>
      <c r="N612" s="145" t="str">
        <f>IF(Formulario!J620&lt;&gt;"",IF(Formulario!J620=" "," ",Formulario!J620),IF(G612=".",".","Falta Fecha"))</f>
        <v>.</v>
      </c>
      <c r="O612" s="155">
        <f>Formulario!L620</f>
        <v>0</v>
      </c>
      <c r="P612" s="146">
        <f>IF(O612=1,"09:00",Formulario!M620)</f>
        <v>0</v>
      </c>
      <c r="Q612" s="146">
        <f>IF(O612=1,"18:30",Formulario!N620)</f>
        <v>0</v>
      </c>
      <c r="R612" s="146" t="str">
        <f>IF(Formulario!O620&lt;&gt;"",IF(Formulario!O620=" ",".",Formulario!O620),".")</f>
        <v>.</v>
      </c>
      <c r="S612" s="141" t="s">
        <v>131</v>
      </c>
    </row>
    <row r="613" spans="1:19">
      <c r="A613" s="141">
        <f>Formulario!B621</f>
        <v>0</v>
      </c>
      <c r="B613" s="144" t="str">
        <f>IF(G613="."," ",Formulario!D$5)</f>
        <v xml:space="preserve"> </v>
      </c>
      <c r="C613" s="144" t="str">
        <f>IF(G613=".","",Formulario!D$6)</f>
        <v/>
      </c>
      <c r="D613" s="144" t="str">
        <f>IF(H613=".","",Formulario!D$7)</f>
        <v/>
      </c>
      <c r="E613" s="144" t="str">
        <f>IF(G613=".","",Formulario!J$5)</f>
        <v/>
      </c>
      <c r="F613" s="145" t="str">
        <f>IF(G613=".","",Formulario!J$6)</f>
        <v/>
      </c>
      <c r="G613" s="180" t="str">
        <f>IF(Formulario!C621&lt;&gt;"",IF(Formulario!C621=" ","Falta Depto",IF(H613=".","Error En Descripción",Formulario!C621)),IF(H613=".",".","Falta Datos"))</f>
        <v>.</v>
      </c>
      <c r="H613" s="144" t="str">
        <f>IF(Formulario!D621&lt;&gt;"",IF(Formulario!D621=" ",".",Formulario!D621),".")</f>
        <v>.</v>
      </c>
      <c r="I613" s="144" t="str">
        <f>IF(Formulario!E621&lt;&gt;"",IF(Formulario!E621=" "," ",Formulario!E621),IF(G613=".",".","Falta Propietario"))</f>
        <v>.</v>
      </c>
      <c r="J613" s="144" t="str">
        <f>IF(Formulario!F621&lt;&gt;"",IF(Formulario!F621=" "," ",Formulario!F621)," ")</f>
        <v xml:space="preserve"> </v>
      </c>
      <c r="K613" s="144" t="str">
        <f>IF(Formulario!G621&lt;&gt;"",IF(Formulario!G621=" "," ",Formulario!G621)," ")</f>
        <v xml:space="preserve"> </v>
      </c>
      <c r="L613" s="144" t="str">
        <f>IF(Formulario!H621&lt;&gt;"",IF(Formulario!H621=" "," ",Formulario!H621)," ")</f>
        <v xml:space="preserve"> </v>
      </c>
      <c r="M613" s="144" t="str">
        <f>IF(Formulario!I621&lt;&gt;"",IF(Formulario!I621=" "," ",Formulario!I621)," ")</f>
        <v xml:space="preserve"> </v>
      </c>
      <c r="N613" s="145" t="str">
        <f>IF(Formulario!J621&lt;&gt;"",IF(Formulario!J621=" "," ",Formulario!J621),IF(G613=".",".","Falta Fecha"))</f>
        <v>.</v>
      </c>
      <c r="O613" s="155">
        <f>Formulario!L621</f>
        <v>0</v>
      </c>
      <c r="P613" s="146">
        <f>IF(O613=1,"09:00",Formulario!M621)</f>
        <v>0</v>
      </c>
      <c r="Q613" s="146">
        <f>IF(O613=1,"18:30",Formulario!N621)</f>
        <v>0</v>
      </c>
      <c r="R613" s="146" t="str">
        <f>IF(Formulario!O621&lt;&gt;"",IF(Formulario!O621=" ",".",Formulario!O621),".")</f>
        <v>.</v>
      </c>
      <c r="S613" s="141" t="s">
        <v>131</v>
      </c>
    </row>
    <row r="614" spans="1:19">
      <c r="A614" s="141">
        <f>Formulario!B622</f>
        <v>0</v>
      </c>
      <c r="B614" s="144" t="str">
        <f>IF(G614="."," ",Formulario!D$5)</f>
        <v xml:space="preserve"> </v>
      </c>
      <c r="C614" s="144" t="str">
        <f>IF(G614=".","",Formulario!D$6)</f>
        <v/>
      </c>
      <c r="D614" s="144" t="str">
        <f>IF(H614=".","",Formulario!D$7)</f>
        <v/>
      </c>
      <c r="E614" s="144" t="str">
        <f>IF(G614=".","",Formulario!J$5)</f>
        <v/>
      </c>
      <c r="F614" s="145" t="str">
        <f>IF(G614=".","",Formulario!J$6)</f>
        <v/>
      </c>
      <c r="G614" s="180" t="str">
        <f>IF(Formulario!C622&lt;&gt;"",IF(Formulario!C622=" ","Falta Depto",IF(H614=".","Error En Descripción",Formulario!C622)),IF(H614=".",".","Falta Datos"))</f>
        <v>.</v>
      </c>
      <c r="H614" s="144" t="str">
        <f>IF(Formulario!D622&lt;&gt;"",IF(Formulario!D622=" ",".",Formulario!D622),".")</f>
        <v>.</v>
      </c>
      <c r="I614" s="144" t="str">
        <f>IF(Formulario!E622&lt;&gt;"",IF(Formulario!E622=" "," ",Formulario!E622),IF(G614=".",".","Falta Propietario"))</f>
        <v>.</v>
      </c>
      <c r="J614" s="144" t="str">
        <f>IF(Formulario!F622&lt;&gt;"",IF(Formulario!F622=" "," ",Formulario!F622)," ")</f>
        <v xml:space="preserve"> </v>
      </c>
      <c r="K614" s="144" t="str">
        <f>IF(Formulario!G622&lt;&gt;"",IF(Formulario!G622=" "," ",Formulario!G622)," ")</f>
        <v xml:space="preserve"> </v>
      </c>
      <c r="L614" s="144" t="str">
        <f>IF(Formulario!H622&lt;&gt;"",IF(Formulario!H622=" "," ",Formulario!H622)," ")</f>
        <v xml:space="preserve"> </v>
      </c>
      <c r="M614" s="144" t="str">
        <f>IF(Formulario!I622&lt;&gt;"",IF(Formulario!I622=" "," ",Formulario!I622)," ")</f>
        <v xml:space="preserve"> </v>
      </c>
      <c r="N614" s="145" t="str">
        <f>IF(Formulario!J622&lt;&gt;"",IF(Formulario!J622=" "," ",Formulario!J622),IF(G614=".",".","Falta Fecha"))</f>
        <v>.</v>
      </c>
      <c r="O614" s="155">
        <f>Formulario!L622</f>
        <v>0</v>
      </c>
      <c r="P614" s="146">
        <f>IF(O614=1,"09:00",Formulario!M622)</f>
        <v>0</v>
      </c>
      <c r="Q614" s="146">
        <f>IF(O614=1,"18:30",Formulario!N622)</f>
        <v>0</v>
      </c>
      <c r="R614" s="146" t="str">
        <f>IF(Formulario!O622&lt;&gt;"",IF(Formulario!O622=" ",".",Formulario!O622),".")</f>
        <v>.</v>
      </c>
      <c r="S614" s="141" t="s">
        <v>131</v>
      </c>
    </row>
    <row r="615" spans="1:19">
      <c r="A615" s="141">
        <f>Formulario!B623</f>
        <v>0</v>
      </c>
      <c r="B615" s="144" t="str">
        <f>IF(G615="."," ",Formulario!D$5)</f>
        <v xml:space="preserve"> </v>
      </c>
      <c r="C615" s="144" t="str">
        <f>IF(G615=".","",Formulario!D$6)</f>
        <v/>
      </c>
      <c r="D615" s="144" t="str">
        <f>IF(H615=".","",Formulario!D$7)</f>
        <v/>
      </c>
      <c r="E615" s="144" t="str">
        <f>IF(G615=".","",Formulario!J$5)</f>
        <v/>
      </c>
      <c r="F615" s="145" t="str">
        <f>IF(G615=".","",Formulario!J$6)</f>
        <v/>
      </c>
      <c r="G615" s="180" t="str">
        <f>IF(Formulario!C623&lt;&gt;"",IF(Formulario!C623=" ","Falta Depto",IF(H615=".","Error En Descripción",Formulario!C623)),IF(H615=".",".","Falta Datos"))</f>
        <v>.</v>
      </c>
      <c r="H615" s="144" t="str">
        <f>IF(Formulario!D623&lt;&gt;"",IF(Formulario!D623=" ",".",Formulario!D623),".")</f>
        <v>.</v>
      </c>
      <c r="I615" s="144" t="str">
        <f>IF(Formulario!E623&lt;&gt;"",IF(Formulario!E623=" "," ",Formulario!E623),IF(G615=".",".","Falta Propietario"))</f>
        <v>.</v>
      </c>
      <c r="J615" s="144" t="str">
        <f>IF(Formulario!F623&lt;&gt;"",IF(Formulario!F623=" "," ",Formulario!F623)," ")</f>
        <v xml:space="preserve"> </v>
      </c>
      <c r="K615" s="144" t="str">
        <f>IF(Formulario!G623&lt;&gt;"",IF(Formulario!G623=" "," ",Formulario!G623)," ")</f>
        <v xml:space="preserve"> </v>
      </c>
      <c r="L615" s="144" t="str">
        <f>IF(Formulario!H623&lt;&gt;"",IF(Formulario!H623=" "," ",Formulario!H623)," ")</f>
        <v xml:space="preserve"> </v>
      </c>
      <c r="M615" s="144" t="str">
        <f>IF(Formulario!I623&lt;&gt;"",IF(Formulario!I623=" "," ",Formulario!I623)," ")</f>
        <v xml:space="preserve"> </v>
      </c>
      <c r="N615" s="145" t="str">
        <f>IF(Formulario!J623&lt;&gt;"",IF(Formulario!J623=" "," ",Formulario!J623),IF(G615=".",".","Falta Fecha"))</f>
        <v>.</v>
      </c>
      <c r="O615" s="155">
        <f>Formulario!L623</f>
        <v>0</v>
      </c>
      <c r="P615" s="146">
        <f>IF(O615=1,"09:00",Formulario!M623)</f>
        <v>0</v>
      </c>
      <c r="Q615" s="146">
        <f>IF(O615=1,"18:30",Formulario!N623)</f>
        <v>0</v>
      </c>
      <c r="R615" s="146" t="str">
        <f>IF(Formulario!O623&lt;&gt;"",IF(Formulario!O623=" ",".",Formulario!O623),".")</f>
        <v>.</v>
      </c>
      <c r="S615" s="141" t="s">
        <v>131</v>
      </c>
    </row>
    <row r="616" spans="1:19">
      <c r="A616" s="141">
        <f>Formulario!B624</f>
        <v>0</v>
      </c>
      <c r="B616" s="144" t="str">
        <f>IF(G616="."," ",Formulario!D$5)</f>
        <v xml:space="preserve"> </v>
      </c>
      <c r="C616" s="144" t="str">
        <f>IF(G616=".","",Formulario!D$6)</f>
        <v/>
      </c>
      <c r="D616" s="144" t="str">
        <f>IF(H616=".","",Formulario!D$7)</f>
        <v/>
      </c>
      <c r="E616" s="144" t="str">
        <f>IF(G616=".","",Formulario!J$5)</f>
        <v/>
      </c>
      <c r="F616" s="145" t="str">
        <f>IF(G616=".","",Formulario!J$6)</f>
        <v/>
      </c>
      <c r="G616" s="180" t="str">
        <f>IF(Formulario!C624&lt;&gt;"",IF(Formulario!C624=" ","Falta Depto",IF(H616=".","Error En Descripción",Formulario!C624)),IF(H616=".",".","Falta Datos"))</f>
        <v>.</v>
      </c>
      <c r="H616" s="144" t="str">
        <f>IF(Formulario!D624&lt;&gt;"",IF(Formulario!D624=" ",".",Formulario!D624),".")</f>
        <v>.</v>
      </c>
      <c r="I616" s="144" t="str">
        <f>IF(Formulario!E624&lt;&gt;"",IF(Formulario!E624=" "," ",Formulario!E624),IF(G616=".",".","Falta Propietario"))</f>
        <v>.</v>
      </c>
      <c r="J616" s="144" t="str">
        <f>IF(Formulario!F624&lt;&gt;"",IF(Formulario!F624=" "," ",Formulario!F624)," ")</f>
        <v xml:space="preserve"> </v>
      </c>
      <c r="K616" s="144" t="str">
        <f>IF(Formulario!G624&lt;&gt;"",IF(Formulario!G624=" "," ",Formulario!G624)," ")</f>
        <v xml:space="preserve"> </v>
      </c>
      <c r="L616" s="144" t="str">
        <f>IF(Formulario!H624&lt;&gt;"",IF(Formulario!H624=" "," ",Formulario!H624)," ")</f>
        <v xml:space="preserve"> </v>
      </c>
      <c r="M616" s="144" t="str">
        <f>IF(Formulario!I624&lt;&gt;"",IF(Formulario!I624=" "," ",Formulario!I624)," ")</f>
        <v xml:space="preserve"> </v>
      </c>
      <c r="N616" s="145" t="str">
        <f>IF(Formulario!J624&lt;&gt;"",IF(Formulario!J624=" "," ",Formulario!J624),IF(G616=".",".","Falta Fecha"))</f>
        <v>.</v>
      </c>
      <c r="O616" s="155">
        <f>Formulario!L624</f>
        <v>0</v>
      </c>
      <c r="P616" s="146">
        <f>IF(O616=1,"09:00",Formulario!M624)</f>
        <v>0</v>
      </c>
      <c r="Q616" s="146">
        <f>IF(O616=1,"18:30",Formulario!N624)</f>
        <v>0</v>
      </c>
      <c r="R616" s="146" t="str">
        <f>IF(Formulario!O624&lt;&gt;"",IF(Formulario!O624=" ",".",Formulario!O624),".")</f>
        <v>.</v>
      </c>
      <c r="S616" s="141" t="s">
        <v>131</v>
      </c>
    </row>
    <row r="617" spans="1:19">
      <c r="A617" s="141">
        <f>Formulario!B625</f>
        <v>0</v>
      </c>
      <c r="B617" s="144" t="str">
        <f>IF(G617="."," ",Formulario!D$5)</f>
        <v xml:space="preserve"> </v>
      </c>
      <c r="C617" s="144" t="str">
        <f>IF(G617=".","",Formulario!D$6)</f>
        <v/>
      </c>
      <c r="D617" s="144" t="str">
        <f>IF(H617=".","",Formulario!D$7)</f>
        <v/>
      </c>
      <c r="E617" s="144" t="str">
        <f>IF(G617=".","",Formulario!J$5)</f>
        <v/>
      </c>
      <c r="F617" s="145" t="str">
        <f>IF(G617=".","",Formulario!J$6)</f>
        <v/>
      </c>
      <c r="G617" s="180" t="str">
        <f>IF(Formulario!C625&lt;&gt;"",IF(Formulario!C625=" ","Falta Depto",IF(H617=".","Error En Descripción",Formulario!C625)),IF(H617=".",".","Falta Datos"))</f>
        <v>.</v>
      </c>
      <c r="H617" s="144" t="str">
        <f>IF(Formulario!D625&lt;&gt;"",IF(Formulario!D625=" ",".",Formulario!D625),".")</f>
        <v>.</v>
      </c>
      <c r="I617" s="144" t="str">
        <f>IF(Formulario!E625&lt;&gt;"",IF(Formulario!E625=" "," ",Formulario!E625),IF(G617=".",".","Falta Propietario"))</f>
        <v>.</v>
      </c>
      <c r="J617" s="144" t="str">
        <f>IF(Formulario!F625&lt;&gt;"",IF(Formulario!F625=" "," ",Formulario!F625)," ")</f>
        <v xml:space="preserve"> </v>
      </c>
      <c r="K617" s="144" t="str">
        <f>IF(Formulario!G625&lt;&gt;"",IF(Formulario!G625=" "," ",Formulario!G625)," ")</f>
        <v xml:space="preserve"> </v>
      </c>
      <c r="L617" s="144" t="str">
        <f>IF(Formulario!H625&lt;&gt;"",IF(Formulario!H625=" "," ",Formulario!H625)," ")</f>
        <v xml:space="preserve"> </v>
      </c>
      <c r="M617" s="144" t="str">
        <f>IF(Formulario!I625&lt;&gt;"",IF(Formulario!I625=" "," ",Formulario!I625)," ")</f>
        <v xml:space="preserve"> </v>
      </c>
      <c r="N617" s="145" t="str">
        <f>IF(Formulario!J625&lt;&gt;"",IF(Formulario!J625=" "," ",Formulario!J625),IF(G617=".",".","Falta Fecha"))</f>
        <v>.</v>
      </c>
      <c r="O617" s="155">
        <f>Formulario!L625</f>
        <v>0</v>
      </c>
      <c r="P617" s="146">
        <f>IF(O617=1,"09:00",Formulario!M625)</f>
        <v>0</v>
      </c>
      <c r="Q617" s="146">
        <f>IF(O617=1,"18:30",Formulario!N625)</f>
        <v>0</v>
      </c>
      <c r="R617" s="146" t="str">
        <f>IF(Formulario!O625&lt;&gt;"",IF(Formulario!O625=" ",".",Formulario!O625),".")</f>
        <v>.</v>
      </c>
      <c r="S617" s="141" t="s">
        <v>131</v>
      </c>
    </row>
    <row r="618" spans="1:19">
      <c r="A618" s="141">
        <f>Formulario!B626</f>
        <v>0</v>
      </c>
      <c r="B618" s="144" t="str">
        <f>IF(G618="."," ",Formulario!D$5)</f>
        <v xml:space="preserve"> </v>
      </c>
      <c r="C618" s="144" t="str">
        <f>IF(G618=".","",Formulario!D$6)</f>
        <v/>
      </c>
      <c r="D618" s="144" t="str">
        <f>IF(H618=".","",Formulario!D$7)</f>
        <v/>
      </c>
      <c r="E618" s="144" t="str">
        <f>IF(G618=".","",Formulario!J$5)</f>
        <v/>
      </c>
      <c r="F618" s="145" t="str">
        <f>IF(G618=".","",Formulario!J$6)</f>
        <v/>
      </c>
      <c r="G618" s="180" t="str">
        <f>IF(Formulario!C626&lt;&gt;"",IF(Formulario!C626=" ","Falta Depto",IF(H618=".","Error En Descripción",Formulario!C626)),IF(H618=".",".","Falta Datos"))</f>
        <v>.</v>
      </c>
      <c r="H618" s="144" t="str">
        <f>IF(Formulario!D626&lt;&gt;"",IF(Formulario!D626=" ",".",Formulario!D626),".")</f>
        <v>.</v>
      </c>
      <c r="I618" s="144" t="str">
        <f>IF(Formulario!E626&lt;&gt;"",IF(Formulario!E626=" "," ",Formulario!E626),IF(G618=".",".","Falta Propietario"))</f>
        <v>.</v>
      </c>
      <c r="J618" s="144" t="str">
        <f>IF(Formulario!F626&lt;&gt;"",IF(Formulario!F626=" "," ",Formulario!F626)," ")</f>
        <v xml:space="preserve"> </v>
      </c>
      <c r="K618" s="144" t="str">
        <f>IF(Formulario!G626&lt;&gt;"",IF(Formulario!G626=" "," ",Formulario!G626)," ")</f>
        <v xml:space="preserve"> </v>
      </c>
      <c r="L618" s="144" t="str">
        <f>IF(Formulario!H626&lt;&gt;"",IF(Formulario!H626=" "," ",Formulario!H626)," ")</f>
        <v xml:space="preserve"> </v>
      </c>
      <c r="M618" s="144" t="str">
        <f>IF(Formulario!I626&lt;&gt;"",IF(Formulario!I626=" "," ",Formulario!I626)," ")</f>
        <v xml:space="preserve"> </v>
      </c>
      <c r="N618" s="145" t="str">
        <f>IF(Formulario!J626&lt;&gt;"",IF(Formulario!J626=" "," ",Formulario!J626),IF(G618=".",".","Falta Fecha"))</f>
        <v>.</v>
      </c>
      <c r="O618" s="155">
        <f>Formulario!L626</f>
        <v>0</v>
      </c>
      <c r="P618" s="146">
        <f>IF(O618=1,"09:00",Formulario!M626)</f>
        <v>0</v>
      </c>
      <c r="Q618" s="146">
        <f>IF(O618=1,"18:30",Formulario!N626)</f>
        <v>0</v>
      </c>
      <c r="R618" s="146" t="str">
        <f>IF(Formulario!O626&lt;&gt;"",IF(Formulario!O626=" ",".",Formulario!O626),".")</f>
        <v>.</v>
      </c>
      <c r="S618" s="141" t="s">
        <v>131</v>
      </c>
    </row>
    <row r="619" spans="1:19">
      <c r="A619" s="141">
        <f>Formulario!B627</f>
        <v>0</v>
      </c>
      <c r="B619" s="144" t="str">
        <f>IF(G619="."," ",Formulario!D$5)</f>
        <v xml:space="preserve"> </v>
      </c>
      <c r="C619" s="144" t="str">
        <f>IF(G619=".","",Formulario!D$6)</f>
        <v/>
      </c>
      <c r="D619" s="144" t="str">
        <f>IF(H619=".","",Formulario!D$7)</f>
        <v/>
      </c>
      <c r="E619" s="144" t="str">
        <f>IF(G619=".","",Formulario!J$5)</f>
        <v/>
      </c>
      <c r="F619" s="145" t="str">
        <f>IF(G619=".","",Formulario!J$6)</f>
        <v/>
      </c>
      <c r="G619" s="180" t="str">
        <f>IF(Formulario!C627&lt;&gt;"",IF(Formulario!C627=" ","Falta Depto",IF(H619=".","Error En Descripción",Formulario!C627)),IF(H619=".",".","Falta Datos"))</f>
        <v>.</v>
      </c>
      <c r="H619" s="144" t="str">
        <f>IF(Formulario!D627&lt;&gt;"",IF(Formulario!D627=" ",".",Formulario!D627),".")</f>
        <v>.</v>
      </c>
      <c r="I619" s="144" t="str">
        <f>IF(Formulario!E627&lt;&gt;"",IF(Formulario!E627=" "," ",Formulario!E627),IF(G619=".",".","Falta Propietario"))</f>
        <v>.</v>
      </c>
      <c r="J619" s="144" t="str">
        <f>IF(Formulario!F627&lt;&gt;"",IF(Formulario!F627=" "," ",Formulario!F627)," ")</f>
        <v xml:space="preserve"> </v>
      </c>
      <c r="K619" s="144" t="str">
        <f>IF(Formulario!G627&lt;&gt;"",IF(Formulario!G627=" "," ",Formulario!G627)," ")</f>
        <v xml:space="preserve"> </v>
      </c>
      <c r="L619" s="144" t="str">
        <f>IF(Formulario!H627&lt;&gt;"",IF(Formulario!H627=" "," ",Formulario!H627)," ")</f>
        <v xml:space="preserve"> </v>
      </c>
      <c r="M619" s="144" t="str">
        <f>IF(Formulario!I627&lt;&gt;"",IF(Formulario!I627=" "," ",Formulario!I627)," ")</f>
        <v xml:space="preserve"> </v>
      </c>
      <c r="N619" s="145" t="str">
        <f>IF(Formulario!J627&lt;&gt;"",IF(Formulario!J627=" "," ",Formulario!J627),IF(G619=".",".","Falta Fecha"))</f>
        <v>.</v>
      </c>
      <c r="O619" s="155">
        <f>Formulario!L627</f>
        <v>0</v>
      </c>
      <c r="P619" s="146">
        <f>IF(O619=1,"09:00",Formulario!M627)</f>
        <v>0</v>
      </c>
      <c r="Q619" s="146">
        <f>IF(O619=1,"18:30",Formulario!N627)</f>
        <v>0</v>
      </c>
      <c r="R619" s="146" t="str">
        <f>IF(Formulario!O627&lt;&gt;"",IF(Formulario!O627=" ",".",Formulario!O627),".")</f>
        <v>.</v>
      </c>
      <c r="S619" s="141" t="s">
        <v>131</v>
      </c>
    </row>
    <row r="620" spans="1:19">
      <c r="A620" s="141">
        <f>Formulario!B628</f>
        <v>0</v>
      </c>
      <c r="B620" s="144" t="str">
        <f>IF(G620="."," ",Formulario!D$5)</f>
        <v xml:space="preserve"> </v>
      </c>
      <c r="C620" s="144" t="str">
        <f>IF(G620=".","",Formulario!D$6)</f>
        <v/>
      </c>
      <c r="D620" s="144" t="str">
        <f>IF(H620=".","",Formulario!D$7)</f>
        <v/>
      </c>
      <c r="E620" s="144" t="str">
        <f>IF(G620=".","",Formulario!J$5)</f>
        <v/>
      </c>
      <c r="F620" s="145" t="str">
        <f>IF(G620=".","",Formulario!J$6)</f>
        <v/>
      </c>
      <c r="G620" s="180" t="str">
        <f>IF(Formulario!C628&lt;&gt;"",IF(Formulario!C628=" ","Falta Depto",IF(H620=".","Error En Descripción",Formulario!C628)),IF(H620=".",".","Falta Datos"))</f>
        <v>.</v>
      </c>
      <c r="H620" s="144" t="str">
        <f>IF(Formulario!D628&lt;&gt;"",IF(Formulario!D628=" ",".",Formulario!D628),".")</f>
        <v>.</v>
      </c>
      <c r="I620" s="144" t="str">
        <f>IF(Formulario!E628&lt;&gt;"",IF(Formulario!E628=" "," ",Formulario!E628),IF(G620=".",".","Falta Propietario"))</f>
        <v>.</v>
      </c>
      <c r="J620" s="144" t="str">
        <f>IF(Formulario!F628&lt;&gt;"",IF(Formulario!F628=" "," ",Formulario!F628)," ")</f>
        <v xml:space="preserve"> </v>
      </c>
      <c r="K620" s="144" t="str">
        <f>IF(Formulario!G628&lt;&gt;"",IF(Formulario!G628=" "," ",Formulario!G628)," ")</f>
        <v xml:space="preserve"> </v>
      </c>
      <c r="L620" s="144" t="str">
        <f>IF(Formulario!H628&lt;&gt;"",IF(Formulario!H628=" "," ",Formulario!H628)," ")</f>
        <v xml:space="preserve"> </v>
      </c>
      <c r="M620" s="144" t="str">
        <f>IF(Formulario!I628&lt;&gt;"",IF(Formulario!I628=" "," ",Formulario!I628)," ")</f>
        <v xml:space="preserve"> </v>
      </c>
      <c r="N620" s="145" t="str">
        <f>IF(Formulario!J628&lt;&gt;"",IF(Formulario!J628=" "," ",Formulario!J628),IF(G620=".",".","Falta Fecha"))</f>
        <v>.</v>
      </c>
      <c r="O620" s="155">
        <f>Formulario!L628</f>
        <v>0</v>
      </c>
      <c r="P620" s="146">
        <f>IF(O620=1,"09:00",Formulario!M628)</f>
        <v>0</v>
      </c>
      <c r="Q620" s="146">
        <f>IF(O620=1,"18:30",Formulario!N628)</f>
        <v>0</v>
      </c>
      <c r="R620" s="146" t="str">
        <f>IF(Formulario!O628&lt;&gt;"",IF(Formulario!O628=" ",".",Formulario!O628),".")</f>
        <v>.</v>
      </c>
      <c r="S620" s="141" t="s">
        <v>131</v>
      </c>
    </row>
    <row r="621" spans="1:19">
      <c r="A621" s="141">
        <f>Formulario!B629</f>
        <v>0</v>
      </c>
      <c r="B621" s="144" t="str">
        <f>IF(G621="."," ",Formulario!D$5)</f>
        <v xml:space="preserve"> </v>
      </c>
      <c r="C621" s="144" t="str">
        <f>IF(G621=".","",Formulario!D$6)</f>
        <v/>
      </c>
      <c r="D621" s="144" t="str">
        <f>IF(H621=".","",Formulario!D$7)</f>
        <v/>
      </c>
      <c r="E621" s="144" t="str">
        <f>IF(G621=".","",Formulario!J$5)</f>
        <v/>
      </c>
      <c r="F621" s="145" t="str">
        <f>IF(G621=".","",Formulario!J$6)</f>
        <v/>
      </c>
      <c r="G621" s="180" t="str">
        <f>IF(Formulario!C629&lt;&gt;"",IF(Formulario!C629=" ","Falta Depto",IF(H621=".","Error En Descripción",Formulario!C629)),IF(H621=".",".","Falta Datos"))</f>
        <v>.</v>
      </c>
      <c r="H621" s="144" t="str">
        <f>IF(Formulario!D629&lt;&gt;"",IF(Formulario!D629=" ",".",Formulario!D629),".")</f>
        <v>.</v>
      </c>
      <c r="I621" s="144" t="str">
        <f>IF(Formulario!E629&lt;&gt;"",IF(Formulario!E629=" "," ",Formulario!E629),IF(G621=".",".","Falta Propietario"))</f>
        <v>.</v>
      </c>
      <c r="J621" s="144" t="str">
        <f>IF(Formulario!F629&lt;&gt;"",IF(Formulario!F629=" "," ",Formulario!F629)," ")</f>
        <v xml:space="preserve"> </v>
      </c>
      <c r="K621" s="144" t="str">
        <f>IF(Formulario!G629&lt;&gt;"",IF(Formulario!G629=" "," ",Formulario!G629)," ")</f>
        <v xml:space="preserve"> </v>
      </c>
      <c r="L621" s="144" t="str">
        <f>IF(Formulario!H629&lt;&gt;"",IF(Formulario!H629=" "," ",Formulario!H629)," ")</f>
        <v xml:space="preserve"> </v>
      </c>
      <c r="M621" s="144" t="str">
        <f>IF(Formulario!I629&lt;&gt;"",IF(Formulario!I629=" "," ",Formulario!I629)," ")</f>
        <v xml:space="preserve"> </v>
      </c>
      <c r="N621" s="145" t="str">
        <f>IF(Formulario!J629&lt;&gt;"",IF(Formulario!J629=" "," ",Formulario!J629),IF(G621=".",".","Falta Fecha"))</f>
        <v>.</v>
      </c>
      <c r="O621" s="155">
        <f>Formulario!L629</f>
        <v>0</v>
      </c>
      <c r="P621" s="146">
        <f>IF(O621=1,"09:00",Formulario!M629)</f>
        <v>0</v>
      </c>
      <c r="Q621" s="146">
        <f>IF(O621=1,"18:30",Formulario!N629)</f>
        <v>0</v>
      </c>
      <c r="R621" s="146" t="str">
        <f>IF(Formulario!O629&lt;&gt;"",IF(Formulario!O629=" ",".",Formulario!O629),".")</f>
        <v>.</v>
      </c>
      <c r="S621" s="141" t="s">
        <v>131</v>
      </c>
    </row>
    <row r="622" spans="1:19">
      <c r="A622" s="141">
        <f>Formulario!B630</f>
        <v>0</v>
      </c>
      <c r="B622" s="144" t="str">
        <f>IF(G622="."," ",Formulario!D$5)</f>
        <v xml:space="preserve"> </v>
      </c>
      <c r="C622" s="144" t="str">
        <f>IF(G622=".","",Formulario!D$6)</f>
        <v/>
      </c>
      <c r="D622" s="144" t="str">
        <f>IF(H622=".","",Formulario!D$7)</f>
        <v/>
      </c>
      <c r="E622" s="144" t="str">
        <f>IF(G622=".","",Formulario!J$5)</f>
        <v/>
      </c>
      <c r="F622" s="145" t="str">
        <f>IF(G622=".","",Formulario!J$6)</f>
        <v/>
      </c>
      <c r="G622" s="180" t="str">
        <f>IF(Formulario!C630&lt;&gt;"",IF(Formulario!C630=" ","Falta Depto",IF(H622=".","Error En Descripción",Formulario!C630)),IF(H622=".",".","Falta Datos"))</f>
        <v>.</v>
      </c>
      <c r="H622" s="144" t="str">
        <f>IF(Formulario!D630&lt;&gt;"",IF(Formulario!D630=" ",".",Formulario!D630),".")</f>
        <v>.</v>
      </c>
      <c r="I622" s="144" t="str">
        <f>IF(Formulario!E630&lt;&gt;"",IF(Formulario!E630=" "," ",Formulario!E630),IF(G622=".",".","Falta Propietario"))</f>
        <v>.</v>
      </c>
      <c r="J622" s="144" t="str">
        <f>IF(Formulario!F630&lt;&gt;"",IF(Formulario!F630=" "," ",Formulario!F630)," ")</f>
        <v xml:space="preserve"> </v>
      </c>
      <c r="K622" s="144" t="str">
        <f>IF(Formulario!G630&lt;&gt;"",IF(Formulario!G630=" "," ",Formulario!G630)," ")</f>
        <v xml:space="preserve"> </v>
      </c>
      <c r="L622" s="144" t="str">
        <f>IF(Formulario!H630&lt;&gt;"",IF(Formulario!H630=" "," ",Formulario!H630)," ")</f>
        <v xml:space="preserve"> </v>
      </c>
      <c r="M622" s="144" t="str">
        <f>IF(Formulario!I630&lt;&gt;"",IF(Formulario!I630=" "," ",Formulario!I630)," ")</f>
        <v xml:space="preserve"> </v>
      </c>
      <c r="N622" s="145" t="str">
        <f>IF(Formulario!J630&lt;&gt;"",IF(Formulario!J630=" "," ",Formulario!J630),IF(G622=".",".","Falta Fecha"))</f>
        <v>.</v>
      </c>
      <c r="O622" s="155">
        <f>Formulario!L630</f>
        <v>0</v>
      </c>
      <c r="P622" s="146">
        <f>IF(O622=1,"09:00",Formulario!M630)</f>
        <v>0</v>
      </c>
      <c r="Q622" s="146">
        <f>IF(O622=1,"18:30",Formulario!N630)</f>
        <v>0</v>
      </c>
      <c r="R622" s="146" t="str">
        <f>IF(Formulario!O630&lt;&gt;"",IF(Formulario!O630=" ",".",Formulario!O630),".")</f>
        <v>.</v>
      </c>
      <c r="S622" s="141" t="s">
        <v>131</v>
      </c>
    </row>
    <row r="623" spans="1:19">
      <c r="A623" s="141">
        <f>Formulario!B631</f>
        <v>0</v>
      </c>
      <c r="B623" s="144" t="str">
        <f>IF(G623="."," ",Formulario!D$5)</f>
        <v xml:space="preserve"> </v>
      </c>
      <c r="C623" s="144" t="str">
        <f>IF(G623=".","",Formulario!D$6)</f>
        <v/>
      </c>
      <c r="D623" s="144" t="str">
        <f>IF(H623=".","",Formulario!D$7)</f>
        <v/>
      </c>
      <c r="E623" s="144" t="str">
        <f>IF(G623=".","",Formulario!J$5)</f>
        <v/>
      </c>
      <c r="F623" s="145" t="str">
        <f>IF(G623=".","",Formulario!J$6)</f>
        <v/>
      </c>
      <c r="G623" s="180" t="str">
        <f>IF(Formulario!C631&lt;&gt;"",IF(Formulario!C631=" ","Falta Depto",IF(H623=".","Error En Descripción",Formulario!C631)),IF(H623=".",".","Falta Datos"))</f>
        <v>.</v>
      </c>
      <c r="H623" s="144" t="str">
        <f>IF(Formulario!D631&lt;&gt;"",IF(Formulario!D631=" ",".",Formulario!D631),".")</f>
        <v>.</v>
      </c>
      <c r="I623" s="144" t="str">
        <f>IF(Formulario!E631&lt;&gt;"",IF(Formulario!E631=" "," ",Formulario!E631),IF(G623=".",".","Falta Propietario"))</f>
        <v>.</v>
      </c>
      <c r="J623" s="144" t="str">
        <f>IF(Formulario!F631&lt;&gt;"",IF(Formulario!F631=" "," ",Formulario!F631)," ")</f>
        <v xml:space="preserve"> </v>
      </c>
      <c r="K623" s="144" t="str">
        <f>IF(Formulario!G631&lt;&gt;"",IF(Formulario!G631=" "," ",Formulario!G631)," ")</f>
        <v xml:space="preserve"> </v>
      </c>
      <c r="L623" s="144" t="str">
        <f>IF(Formulario!H631&lt;&gt;"",IF(Formulario!H631=" "," ",Formulario!H631)," ")</f>
        <v xml:space="preserve"> </v>
      </c>
      <c r="M623" s="144" t="str">
        <f>IF(Formulario!I631&lt;&gt;"",IF(Formulario!I631=" "," ",Formulario!I631)," ")</f>
        <v xml:space="preserve"> </v>
      </c>
      <c r="N623" s="145" t="str">
        <f>IF(Formulario!J631&lt;&gt;"",IF(Formulario!J631=" "," ",Formulario!J631),IF(G623=".",".","Falta Fecha"))</f>
        <v>.</v>
      </c>
      <c r="O623" s="155">
        <f>Formulario!L631</f>
        <v>0</v>
      </c>
      <c r="P623" s="146">
        <f>IF(O623=1,"09:00",Formulario!M631)</f>
        <v>0</v>
      </c>
      <c r="Q623" s="146">
        <f>IF(O623=1,"18:30",Formulario!N631)</f>
        <v>0</v>
      </c>
      <c r="R623" s="146" t="str">
        <f>IF(Formulario!O631&lt;&gt;"",IF(Formulario!O631=" ",".",Formulario!O631),".")</f>
        <v>.</v>
      </c>
      <c r="S623" s="141" t="s">
        <v>131</v>
      </c>
    </row>
    <row r="624" spans="1:19">
      <c r="A624" s="141">
        <f>Formulario!B632</f>
        <v>0</v>
      </c>
      <c r="B624" s="144" t="str">
        <f>IF(G624="."," ",Formulario!D$5)</f>
        <v xml:space="preserve"> </v>
      </c>
      <c r="C624" s="144" t="str">
        <f>IF(G624=".","",Formulario!D$6)</f>
        <v/>
      </c>
      <c r="D624" s="144" t="str">
        <f>IF(H624=".","",Formulario!D$7)</f>
        <v/>
      </c>
      <c r="E624" s="144" t="str">
        <f>IF(G624=".","",Formulario!J$5)</f>
        <v/>
      </c>
      <c r="F624" s="145" t="str">
        <f>IF(G624=".","",Formulario!J$6)</f>
        <v/>
      </c>
      <c r="G624" s="180" t="str">
        <f>IF(Formulario!C632&lt;&gt;"",IF(Formulario!C632=" ","Falta Depto",IF(H624=".","Error En Descripción",Formulario!C632)),IF(H624=".",".","Falta Datos"))</f>
        <v>.</v>
      </c>
      <c r="H624" s="144" t="str">
        <f>IF(Formulario!D632&lt;&gt;"",IF(Formulario!D632=" ",".",Formulario!D632),".")</f>
        <v>.</v>
      </c>
      <c r="I624" s="144" t="str">
        <f>IF(Formulario!E632&lt;&gt;"",IF(Formulario!E632=" "," ",Formulario!E632),IF(G624=".",".","Falta Propietario"))</f>
        <v>.</v>
      </c>
      <c r="J624" s="144" t="str">
        <f>IF(Formulario!F632&lt;&gt;"",IF(Formulario!F632=" "," ",Formulario!F632)," ")</f>
        <v xml:space="preserve"> </v>
      </c>
      <c r="K624" s="144" t="str">
        <f>IF(Formulario!G632&lt;&gt;"",IF(Formulario!G632=" "," ",Formulario!G632)," ")</f>
        <v xml:space="preserve"> </v>
      </c>
      <c r="L624" s="144" t="str">
        <f>IF(Formulario!H632&lt;&gt;"",IF(Formulario!H632=" "," ",Formulario!H632)," ")</f>
        <v xml:space="preserve"> </v>
      </c>
      <c r="M624" s="144" t="str">
        <f>IF(Formulario!I632&lt;&gt;"",IF(Formulario!I632=" "," ",Formulario!I632)," ")</f>
        <v xml:space="preserve"> </v>
      </c>
      <c r="N624" s="145" t="str">
        <f>IF(Formulario!J632&lt;&gt;"",IF(Formulario!J632=" "," ",Formulario!J632),IF(G624=".",".","Falta Fecha"))</f>
        <v>.</v>
      </c>
      <c r="O624" s="155">
        <f>Formulario!L632</f>
        <v>0</v>
      </c>
      <c r="P624" s="146">
        <f>IF(O624=1,"09:00",Formulario!M632)</f>
        <v>0</v>
      </c>
      <c r="Q624" s="146">
        <f>IF(O624=1,"18:30",Formulario!N632)</f>
        <v>0</v>
      </c>
      <c r="R624" s="146" t="str">
        <f>IF(Formulario!O632&lt;&gt;"",IF(Formulario!O632=" ",".",Formulario!O632),".")</f>
        <v>.</v>
      </c>
      <c r="S624" s="141" t="s">
        <v>131</v>
      </c>
    </row>
    <row r="625" spans="1:19">
      <c r="A625" s="141">
        <f>Formulario!B633</f>
        <v>0</v>
      </c>
      <c r="B625" s="144" t="str">
        <f>IF(G625="."," ",Formulario!D$5)</f>
        <v xml:space="preserve"> </v>
      </c>
      <c r="C625" s="144" t="str">
        <f>IF(G625=".","",Formulario!D$6)</f>
        <v/>
      </c>
      <c r="D625" s="144" t="str">
        <f>IF(H625=".","",Formulario!D$7)</f>
        <v/>
      </c>
      <c r="E625" s="144" t="str">
        <f>IF(G625=".","",Formulario!J$5)</f>
        <v/>
      </c>
      <c r="F625" s="145" t="str">
        <f>IF(G625=".","",Formulario!J$6)</f>
        <v/>
      </c>
      <c r="G625" s="180" t="str">
        <f>IF(Formulario!C633&lt;&gt;"",IF(Formulario!C633=" ","Falta Depto",IF(H625=".","Error En Descripción",Formulario!C633)),IF(H625=".",".","Falta Datos"))</f>
        <v>.</v>
      </c>
      <c r="H625" s="144" t="str">
        <f>IF(Formulario!D633&lt;&gt;"",IF(Formulario!D633=" ",".",Formulario!D633),".")</f>
        <v>.</v>
      </c>
      <c r="I625" s="144" t="str">
        <f>IF(Formulario!E633&lt;&gt;"",IF(Formulario!E633=" "," ",Formulario!E633),IF(G625=".",".","Falta Propietario"))</f>
        <v>.</v>
      </c>
      <c r="J625" s="144" t="str">
        <f>IF(Formulario!F633&lt;&gt;"",IF(Formulario!F633=" "," ",Formulario!F633)," ")</f>
        <v xml:space="preserve"> </v>
      </c>
      <c r="K625" s="144" t="str">
        <f>IF(Formulario!G633&lt;&gt;"",IF(Formulario!G633=" "," ",Formulario!G633)," ")</f>
        <v xml:space="preserve"> </v>
      </c>
      <c r="L625" s="144" t="str">
        <f>IF(Formulario!H633&lt;&gt;"",IF(Formulario!H633=" "," ",Formulario!H633)," ")</f>
        <v xml:space="preserve"> </v>
      </c>
      <c r="M625" s="144" t="str">
        <f>IF(Formulario!I633&lt;&gt;"",IF(Formulario!I633=" "," ",Formulario!I633)," ")</f>
        <v xml:space="preserve"> </v>
      </c>
      <c r="N625" s="145" t="str">
        <f>IF(Formulario!J633&lt;&gt;"",IF(Formulario!J633=" "," ",Formulario!J633),IF(G625=".",".","Falta Fecha"))</f>
        <v>.</v>
      </c>
      <c r="O625" s="155">
        <f>Formulario!L633</f>
        <v>0</v>
      </c>
      <c r="P625" s="146">
        <f>IF(O625=1,"09:00",Formulario!M633)</f>
        <v>0</v>
      </c>
      <c r="Q625" s="146">
        <f>IF(O625=1,"18:30",Formulario!N633)</f>
        <v>0</v>
      </c>
      <c r="R625" s="146" t="str">
        <f>IF(Formulario!O633&lt;&gt;"",IF(Formulario!O633=" ",".",Formulario!O633),".")</f>
        <v>.</v>
      </c>
      <c r="S625" s="141" t="s">
        <v>131</v>
      </c>
    </row>
    <row r="626" spans="1:19">
      <c r="A626" s="141">
        <f>Formulario!B634</f>
        <v>0</v>
      </c>
      <c r="B626" s="144" t="str">
        <f>IF(G626="."," ",Formulario!D$5)</f>
        <v xml:space="preserve"> </v>
      </c>
      <c r="C626" s="144" t="str">
        <f>IF(G626=".","",Formulario!D$6)</f>
        <v/>
      </c>
      <c r="D626" s="144" t="str">
        <f>IF(H626=".","",Formulario!D$7)</f>
        <v/>
      </c>
      <c r="E626" s="144" t="str">
        <f>IF(G626=".","",Formulario!J$5)</f>
        <v/>
      </c>
      <c r="F626" s="145" t="str">
        <f>IF(G626=".","",Formulario!J$6)</f>
        <v/>
      </c>
      <c r="G626" s="180" t="str">
        <f>IF(Formulario!C634&lt;&gt;"",IF(Formulario!C634=" ","Falta Depto",IF(H626=".","Error En Descripción",Formulario!C634)),IF(H626=".",".","Falta Datos"))</f>
        <v>.</v>
      </c>
      <c r="H626" s="144" t="str">
        <f>IF(Formulario!D634&lt;&gt;"",IF(Formulario!D634=" ",".",Formulario!D634),".")</f>
        <v>.</v>
      </c>
      <c r="I626" s="144" t="str">
        <f>IF(Formulario!E634&lt;&gt;"",IF(Formulario!E634=" "," ",Formulario!E634),IF(G626=".",".","Falta Propietario"))</f>
        <v>.</v>
      </c>
      <c r="J626" s="144" t="str">
        <f>IF(Formulario!F634&lt;&gt;"",IF(Formulario!F634=" "," ",Formulario!F634)," ")</f>
        <v xml:space="preserve"> </v>
      </c>
      <c r="K626" s="144" t="str">
        <f>IF(Formulario!G634&lt;&gt;"",IF(Formulario!G634=" "," ",Formulario!G634)," ")</f>
        <v xml:space="preserve"> </v>
      </c>
      <c r="L626" s="144" t="str">
        <f>IF(Formulario!H634&lt;&gt;"",IF(Formulario!H634=" "," ",Formulario!H634)," ")</f>
        <v xml:space="preserve"> </v>
      </c>
      <c r="M626" s="144" t="str">
        <f>IF(Formulario!I634&lt;&gt;"",IF(Formulario!I634=" "," ",Formulario!I634)," ")</f>
        <v xml:space="preserve"> </v>
      </c>
      <c r="N626" s="145" t="str">
        <f>IF(Formulario!J634&lt;&gt;"",IF(Formulario!J634=" "," ",Formulario!J634),IF(G626=".",".","Falta Fecha"))</f>
        <v>.</v>
      </c>
      <c r="O626" s="155">
        <f>Formulario!L634</f>
        <v>0</v>
      </c>
      <c r="P626" s="146">
        <f>IF(O626=1,"09:00",Formulario!M634)</f>
        <v>0</v>
      </c>
      <c r="Q626" s="146">
        <f>IF(O626=1,"18:30",Formulario!N634)</f>
        <v>0</v>
      </c>
      <c r="R626" s="146" t="str">
        <f>IF(Formulario!O634&lt;&gt;"",IF(Formulario!O634=" ",".",Formulario!O634),".")</f>
        <v>.</v>
      </c>
      <c r="S626" s="141" t="s">
        <v>131</v>
      </c>
    </row>
    <row r="627" spans="1:19">
      <c r="A627" s="141">
        <f>Formulario!B635</f>
        <v>0</v>
      </c>
      <c r="B627" s="144" t="str">
        <f>IF(G627="."," ",Formulario!D$5)</f>
        <v xml:space="preserve"> </v>
      </c>
      <c r="C627" s="144" t="str">
        <f>IF(G627=".","",Formulario!D$6)</f>
        <v/>
      </c>
      <c r="D627" s="144" t="str">
        <f>IF(H627=".","",Formulario!D$7)</f>
        <v/>
      </c>
      <c r="E627" s="144" t="str">
        <f>IF(G627=".","",Formulario!J$5)</f>
        <v/>
      </c>
      <c r="F627" s="145" t="str">
        <f>IF(G627=".","",Formulario!J$6)</f>
        <v/>
      </c>
      <c r="G627" s="180" t="str">
        <f>IF(Formulario!C635&lt;&gt;"",IF(Formulario!C635=" ","Falta Depto",IF(H627=".","Error En Descripción",Formulario!C635)),IF(H627=".",".","Falta Datos"))</f>
        <v>.</v>
      </c>
      <c r="H627" s="144" t="str">
        <f>IF(Formulario!D635&lt;&gt;"",IF(Formulario!D635=" ",".",Formulario!D635),".")</f>
        <v>.</v>
      </c>
      <c r="I627" s="144" t="str">
        <f>IF(Formulario!E635&lt;&gt;"",IF(Formulario!E635=" "," ",Formulario!E635),IF(G627=".",".","Falta Propietario"))</f>
        <v>.</v>
      </c>
      <c r="J627" s="144" t="str">
        <f>IF(Formulario!F635&lt;&gt;"",IF(Formulario!F635=" "," ",Formulario!F635)," ")</f>
        <v xml:space="preserve"> </v>
      </c>
      <c r="K627" s="144" t="str">
        <f>IF(Formulario!G635&lt;&gt;"",IF(Formulario!G635=" "," ",Formulario!G635)," ")</f>
        <v xml:space="preserve"> </v>
      </c>
      <c r="L627" s="144" t="str">
        <f>IF(Formulario!H635&lt;&gt;"",IF(Formulario!H635=" "," ",Formulario!H635)," ")</f>
        <v xml:space="preserve"> </v>
      </c>
      <c r="M627" s="144" t="str">
        <f>IF(Formulario!I635&lt;&gt;"",IF(Formulario!I635=" "," ",Formulario!I635)," ")</f>
        <v xml:space="preserve"> </v>
      </c>
      <c r="N627" s="145" t="str">
        <f>IF(Formulario!J635&lt;&gt;"",IF(Formulario!J635=" "," ",Formulario!J635),IF(G627=".",".","Falta Fecha"))</f>
        <v>.</v>
      </c>
      <c r="O627" s="155">
        <f>Formulario!L635</f>
        <v>0</v>
      </c>
      <c r="P627" s="146">
        <f>IF(O627=1,"09:00",Formulario!M635)</f>
        <v>0</v>
      </c>
      <c r="Q627" s="146">
        <f>IF(O627=1,"18:30",Formulario!N635)</f>
        <v>0</v>
      </c>
      <c r="R627" s="146" t="str">
        <f>IF(Formulario!O635&lt;&gt;"",IF(Formulario!O635=" ",".",Formulario!O635),".")</f>
        <v>.</v>
      </c>
      <c r="S627" s="141" t="s">
        <v>131</v>
      </c>
    </row>
    <row r="628" spans="1:19">
      <c r="A628" s="141">
        <f>Formulario!B636</f>
        <v>0</v>
      </c>
      <c r="B628" s="144" t="str">
        <f>IF(G628="."," ",Formulario!D$5)</f>
        <v xml:space="preserve"> </v>
      </c>
      <c r="C628" s="144" t="str">
        <f>IF(G628=".","",Formulario!D$6)</f>
        <v/>
      </c>
      <c r="D628" s="144" t="str">
        <f>IF(H628=".","",Formulario!D$7)</f>
        <v/>
      </c>
      <c r="E628" s="144" t="str">
        <f>IF(G628=".","",Formulario!J$5)</f>
        <v/>
      </c>
      <c r="F628" s="145" t="str">
        <f>IF(G628=".","",Formulario!J$6)</f>
        <v/>
      </c>
      <c r="G628" s="180" t="str">
        <f>IF(Formulario!C636&lt;&gt;"",IF(Formulario!C636=" ","Falta Depto",IF(H628=".","Error En Descripción",Formulario!C636)),IF(H628=".",".","Falta Datos"))</f>
        <v>.</v>
      </c>
      <c r="H628" s="144" t="str">
        <f>IF(Formulario!D636&lt;&gt;"",IF(Formulario!D636=" ",".",Formulario!D636),".")</f>
        <v>.</v>
      </c>
      <c r="I628" s="144" t="str">
        <f>IF(Formulario!E636&lt;&gt;"",IF(Formulario!E636=" "," ",Formulario!E636),IF(G628=".",".","Falta Propietario"))</f>
        <v>.</v>
      </c>
      <c r="J628" s="144" t="str">
        <f>IF(Formulario!F636&lt;&gt;"",IF(Formulario!F636=" "," ",Formulario!F636)," ")</f>
        <v xml:space="preserve"> </v>
      </c>
      <c r="K628" s="144" t="str">
        <f>IF(Formulario!G636&lt;&gt;"",IF(Formulario!G636=" "," ",Formulario!G636)," ")</f>
        <v xml:space="preserve"> </v>
      </c>
      <c r="L628" s="144" t="str">
        <f>IF(Formulario!H636&lt;&gt;"",IF(Formulario!H636=" "," ",Formulario!H636)," ")</f>
        <v xml:space="preserve"> </v>
      </c>
      <c r="M628" s="144" t="str">
        <f>IF(Formulario!I636&lt;&gt;"",IF(Formulario!I636=" "," ",Formulario!I636)," ")</f>
        <v xml:space="preserve"> </v>
      </c>
      <c r="N628" s="145" t="str">
        <f>IF(Formulario!J636&lt;&gt;"",IF(Formulario!J636=" "," ",Formulario!J636),IF(G628=".",".","Falta Fecha"))</f>
        <v>.</v>
      </c>
      <c r="O628" s="155">
        <f>Formulario!L636</f>
        <v>0</v>
      </c>
      <c r="P628" s="146">
        <f>IF(O628=1,"09:00",Formulario!M636)</f>
        <v>0</v>
      </c>
      <c r="Q628" s="146">
        <f>IF(O628=1,"18:30",Formulario!N636)</f>
        <v>0</v>
      </c>
      <c r="R628" s="146" t="str">
        <f>IF(Formulario!O636&lt;&gt;"",IF(Formulario!O636=" ",".",Formulario!O636),".")</f>
        <v>.</v>
      </c>
      <c r="S628" s="141" t="s">
        <v>131</v>
      </c>
    </row>
    <row r="629" spans="1:19">
      <c r="A629" s="141">
        <f>Formulario!B637</f>
        <v>0</v>
      </c>
      <c r="B629" s="144" t="str">
        <f>IF(G629="."," ",Formulario!D$5)</f>
        <v xml:space="preserve"> </v>
      </c>
      <c r="C629" s="144" t="str">
        <f>IF(G629=".","",Formulario!D$6)</f>
        <v/>
      </c>
      <c r="D629" s="144" t="str">
        <f>IF(H629=".","",Formulario!D$7)</f>
        <v/>
      </c>
      <c r="E629" s="144" t="str">
        <f>IF(G629=".","",Formulario!J$5)</f>
        <v/>
      </c>
      <c r="F629" s="145" t="str">
        <f>IF(G629=".","",Formulario!J$6)</f>
        <v/>
      </c>
      <c r="G629" s="180" t="str">
        <f>IF(Formulario!C637&lt;&gt;"",IF(Formulario!C637=" ","Falta Depto",IF(H629=".","Error En Descripción",Formulario!C637)),IF(H629=".",".","Falta Datos"))</f>
        <v>.</v>
      </c>
      <c r="H629" s="144" t="str">
        <f>IF(Formulario!D637&lt;&gt;"",IF(Formulario!D637=" ",".",Formulario!D637),".")</f>
        <v>.</v>
      </c>
      <c r="I629" s="144" t="str">
        <f>IF(Formulario!E637&lt;&gt;"",IF(Formulario!E637=" "," ",Formulario!E637),IF(G629=".",".","Falta Propietario"))</f>
        <v>.</v>
      </c>
      <c r="J629" s="144" t="str">
        <f>IF(Formulario!F637&lt;&gt;"",IF(Formulario!F637=" "," ",Formulario!F637)," ")</f>
        <v xml:space="preserve"> </v>
      </c>
      <c r="K629" s="144" t="str">
        <f>IF(Formulario!G637&lt;&gt;"",IF(Formulario!G637=" "," ",Formulario!G637)," ")</f>
        <v xml:space="preserve"> </v>
      </c>
      <c r="L629" s="144" t="str">
        <f>IF(Formulario!H637&lt;&gt;"",IF(Formulario!H637=" "," ",Formulario!H637)," ")</f>
        <v xml:space="preserve"> </v>
      </c>
      <c r="M629" s="144" t="str">
        <f>IF(Formulario!I637&lt;&gt;"",IF(Formulario!I637=" "," ",Formulario!I637)," ")</f>
        <v xml:space="preserve"> </v>
      </c>
      <c r="N629" s="145" t="str">
        <f>IF(Formulario!J637&lt;&gt;"",IF(Formulario!J637=" "," ",Formulario!J637),IF(G629=".",".","Falta Fecha"))</f>
        <v>.</v>
      </c>
      <c r="O629" s="155">
        <f>Formulario!L637</f>
        <v>0</v>
      </c>
      <c r="P629" s="146">
        <f>IF(O629=1,"09:00",Formulario!M637)</f>
        <v>0</v>
      </c>
      <c r="Q629" s="146">
        <f>IF(O629=1,"18:30",Formulario!N637)</f>
        <v>0</v>
      </c>
      <c r="R629" s="146" t="str">
        <f>IF(Formulario!O637&lt;&gt;"",IF(Formulario!O637=" ",".",Formulario!O637),".")</f>
        <v>.</v>
      </c>
      <c r="S629" s="141" t="s">
        <v>131</v>
      </c>
    </row>
    <row r="630" spans="1:19">
      <c r="A630" s="141">
        <f>Formulario!B638</f>
        <v>0</v>
      </c>
      <c r="B630" s="144" t="str">
        <f>IF(G630="."," ",Formulario!D$5)</f>
        <v xml:space="preserve"> </v>
      </c>
      <c r="C630" s="144" t="str">
        <f>IF(G630=".","",Formulario!D$6)</f>
        <v/>
      </c>
      <c r="D630" s="144" t="str">
        <f>IF(H630=".","",Formulario!D$7)</f>
        <v/>
      </c>
      <c r="E630" s="144" t="str">
        <f>IF(G630=".","",Formulario!J$5)</f>
        <v/>
      </c>
      <c r="F630" s="145" t="str">
        <f>IF(G630=".","",Formulario!J$6)</f>
        <v/>
      </c>
      <c r="G630" s="180" t="str">
        <f>IF(Formulario!C638&lt;&gt;"",IF(Formulario!C638=" ","Falta Depto",IF(H630=".","Error En Descripción",Formulario!C638)),IF(H630=".",".","Falta Datos"))</f>
        <v>.</v>
      </c>
      <c r="H630" s="144" t="str">
        <f>IF(Formulario!D638&lt;&gt;"",IF(Formulario!D638=" ",".",Formulario!D638),".")</f>
        <v>.</v>
      </c>
      <c r="I630" s="144" t="str">
        <f>IF(Formulario!E638&lt;&gt;"",IF(Formulario!E638=" "," ",Formulario!E638),IF(G630=".",".","Falta Propietario"))</f>
        <v>.</v>
      </c>
      <c r="J630" s="144" t="str">
        <f>IF(Formulario!F638&lt;&gt;"",IF(Formulario!F638=" "," ",Formulario!F638)," ")</f>
        <v xml:space="preserve"> </v>
      </c>
      <c r="K630" s="144" t="str">
        <f>IF(Formulario!G638&lt;&gt;"",IF(Formulario!G638=" "," ",Formulario!G638)," ")</f>
        <v xml:space="preserve"> </v>
      </c>
      <c r="L630" s="144" t="str">
        <f>IF(Formulario!H638&lt;&gt;"",IF(Formulario!H638=" "," ",Formulario!H638)," ")</f>
        <v xml:space="preserve"> </v>
      </c>
      <c r="M630" s="144" t="str">
        <f>IF(Formulario!I638&lt;&gt;"",IF(Formulario!I638=" "," ",Formulario!I638)," ")</f>
        <v xml:space="preserve"> </v>
      </c>
      <c r="N630" s="145" t="str">
        <f>IF(Formulario!J638&lt;&gt;"",IF(Formulario!J638=" "," ",Formulario!J638),IF(G630=".",".","Falta Fecha"))</f>
        <v>.</v>
      </c>
      <c r="O630" s="155">
        <f>Formulario!L638</f>
        <v>0</v>
      </c>
      <c r="P630" s="146">
        <f>IF(O630=1,"09:00",Formulario!M638)</f>
        <v>0</v>
      </c>
      <c r="Q630" s="146">
        <f>IF(O630=1,"18:30",Formulario!N638)</f>
        <v>0</v>
      </c>
      <c r="R630" s="146" t="str">
        <f>IF(Formulario!O638&lt;&gt;"",IF(Formulario!O638=" ",".",Formulario!O638),".")</f>
        <v>.</v>
      </c>
      <c r="S630" s="141" t="s">
        <v>131</v>
      </c>
    </row>
    <row r="631" spans="1:19">
      <c r="A631" s="141">
        <f>Formulario!B639</f>
        <v>0</v>
      </c>
      <c r="B631" s="144" t="str">
        <f>IF(G631="."," ",Formulario!D$5)</f>
        <v xml:space="preserve"> </v>
      </c>
      <c r="C631" s="144" t="str">
        <f>IF(G631=".","",Formulario!D$6)</f>
        <v/>
      </c>
      <c r="D631" s="144" t="str">
        <f>IF(H631=".","",Formulario!D$7)</f>
        <v/>
      </c>
      <c r="E631" s="144" t="str">
        <f>IF(G631=".","",Formulario!J$5)</f>
        <v/>
      </c>
      <c r="F631" s="145" t="str">
        <f>IF(G631=".","",Formulario!J$6)</f>
        <v/>
      </c>
      <c r="G631" s="180" t="str">
        <f>IF(Formulario!C639&lt;&gt;"",IF(Formulario!C639=" ","Falta Depto",IF(H631=".","Error En Descripción",Formulario!C639)),IF(H631=".",".","Falta Datos"))</f>
        <v>.</v>
      </c>
      <c r="H631" s="144" t="str">
        <f>IF(Formulario!D639&lt;&gt;"",IF(Formulario!D639=" ",".",Formulario!D639),".")</f>
        <v>.</v>
      </c>
      <c r="I631" s="144" t="str">
        <f>IF(Formulario!E639&lt;&gt;"",IF(Formulario!E639=" "," ",Formulario!E639),IF(G631=".",".","Falta Propietario"))</f>
        <v>.</v>
      </c>
      <c r="J631" s="144" t="str">
        <f>IF(Formulario!F639&lt;&gt;"",IF(Formulario!F639=" "," ",Formulario!F639)," ")</f>
        <v xml:space="preserve"> </v>
      </c>
      <c r="K631" s="144" t="str">
        <f>IF(Formulario!G639&lt;&gt;"",IF(Formulario!G639=" "," ",Formulario!G639)," ")</f>
        <v xml:space="preserve"> </v>
      </c>
      <c r="L631" s="144" t="str">
        <f>IF(Formulario!H639&lt;&gt;"",IF(Formulario!H639=" "," ",Formulario!H639)," ")</f>
        <v xml:space="preserve"> </v>
      </c>
      <c r="M631" s="144" t="str">
        <f>IF(Formulario!I639&lt;&gt;"",IF(Formulario!I639=" "," ",Formulario!I639)," ")</f>
        <v xml:space="preserve"> </v>
      </c>
      <c r="N631" s="145" t="str">
        <f>IF(Formulario!J639&lt;&gt;"",IF(Formulario!J639=" "," ",Formulario!J639),IF(G631=".",".","Falta Fecha"))</f>
        <v>.</v>
      </c>
      <c r="O631" s="155">
        <f>Formulario!L639</f>
        <v>0</v>
      </c>
      <c r="P631" s="146">
        <f>IF(O631=1,"09:00",Formulario!M639)</f>
        <v>0</v>
      </c>
      <c r="Q631" s="146">
        <f>IF(O631=1,"18:30",Formulario!N639)</f>
        <v>0</v>
      </c>
      <c r="R631" s="146" t="str">
        <f>IF(Formulario!O639&lt;&gt;"",IF(Formulario!O639=" ",".",Formulario!O639),".")</f>
        <v>.</v>
      </c>
      <c r="S631" s="141" t="s">
        <v>131</v>
      </c>
    </row>
    <row r="632" spans="1:19">
      <c r="A632" s="141">
        <f>Formulario!B640</f>
        <v>0</v>
      </c>
      <c r="B632" s="144" t="str">
        <f>IF(G632="."," ",Formulario!D$5)</f>
        <v xml:space="preserve"> </v>
      </c>
      <c r="C632" s="144" t="str">
        <f>IF(G632=".","",Formulario!D$6)</f>
        <v/>
      </c>
      <c r="D632" s="144" t="str">
        <f>IF(H632=".","",Formulario!D$7)</f>
        <v/>
      </c>
      <c r="E632" s="144" t="str">
        <f>IF(G632=".","",Formulario!J$5)</f>
        <v/>
      </c>
      <c r="F632" s="145" t="str">
        <f>IF(G632=".","",Formulario!J$6)</f>
        <v/>
      </c>
      <c r="G632" s="180" t="str">
        <f>IF(Formulario!C640&lt;&gt;"",IF(Formulario!C640=" ","Falta Depto",IF(H632=".","Error En Descripción",Formulario!C640)),IF(H632=".",".","Falta Datos"))</f>
        <v>.</v>
      </c>
      <c r="H632" s="144" t="str">
        <f>IF(Formulario!D640&lt;&gt;"",IF(Formulario!D640=" ",".",Formulario!D640),".")</f>
        <v>.</v>
      </c>
      <c r="I632" s="144" t="str">
        <f>IF(Formulario!E640&lt;&gt;"",IF(Formulario!E640=" "," ",Formulario!E640),IF(G632=".",".","Falta Propietario"))</f>
        <v>.</v>
      </c>
      <c r="J632" s="144" t="str">
        <f>IF(Formulario!F640&lt;&gt;"",IF(Formulario!F640=" "," ",Formulario!F640)," ")</f>
        <v xml:space="preserve"> </v>
      </c>
      <c r="K632" s="144" t="str">
        <f>IF(Formulario!G640&lt;&gt;"",IF(Formulario!G640=" "," ",Formulario!G640)," ")</f>
        <v xml:space="preserve"> </v>
      </c>
      <c r="L632" s="144" t="str">
        <f>IF(Formulario!H640&lt;&gt;"",IF(Formulario!H640=" "," ",Formulario!H640)," ")</f>
        <v xml:space="preserve"> </v>
      </c>
      <c r="M632" s="144" t="str">
        <f>IF(Formulario!I640&lt;&gt;"",IF(Formulario!I640=" "," ",Formulario!I640)," ")</f>
        <v xml:space="preserve"> </v>
      </c>
      <c r="N632" s="145" t="str">
        <f>IF(Formulario!J640&lt;&gt;"",IF(Formulario!J640=" "," ",Formulario!J640),IF(G632=".",".","Falta Fecha"))</f>
        <v>.</v>
      </c>
      <c r="O632" s="155">
        <f>Formulario!L640</f>
        <v>0</v>
      </c>
      <c r="P632" s="146">
        <f>IF(O632=1,"09:00",Formulario!M640)</f>
        <v>0</v>
      </c>
      <c r="Q632" s="146">
        <f>IF(O632=1,"18:30",Formulario!N640)</f>
        <v>0</v>
      </c>
      <c r="R632" s="146" t="str">
        <f>IF(Formulario!O640&lt;&gt;"",IF(Formulario!O640=" ",".",Formulario!O640),".")</f>
        <v>.</v>
      </c>
      <c r="S632" s="141" t="s">
        <v>131</v>
      </c>
    </row>
    <row r="633" spans="1:19">
      <c r="A633" s="141">
        <f>Formulario!B641</f>
        <v>0</v>
      </c>
      <c r="B633" s="144" t="str">
        <f>IF(G633="."," ",Formulario!D$5)</f>
        <v xml:space="preserve"> </v>
      </c>
      <c r="C633" s="144" t="str">
        <f>IF(G633=".","",Formulario!D$6)</f>
        <v/>
      </c>
      <c r="D633" s="144" t="str">
        <f>IF(H633=".","",Formulario!D$7)</f>
        <v/>
      </c>
      <c r="E633" s="144" t="str">
        <f>IF(G633=".","",Formulario!J$5)</f>
        <v/>
      </c>
      <c r="F633" s="145" t="str">
        <f>IF(G633=".","",Formulario!J$6)</f>
        <v/>
      </c>
      <c r="G633" s="180" t="str">
        <f>IF(Formulario!C641&lt;&gt;"",IF(Formulario!C641=" ","Falta Depto",IF(H633=".","Error En Descripción",Formulario!C641)),IF(H633=".",".","Falta Datos"))</f>
        <v>.</v>
      </c>
      <c r="H633" s="144" t="str">
        <f>IF(Formulario!D641&lt;&gt;"",IF(Formulario!D641=" ",".",Formulario!D641),".")</f>
        <v>.</v>
      </c>
      <c r="I633" s="144" t="str">
        <f>IF(Formulario!E641&lt;&gt;"",IF(Formulario!E641=" "," ",Formulario!E641),IF(G633=".",".","Falta Propietario"))</f>
        <v>.</v>
      </c>
      <c r="J633" s="144" t="str">
        <f>IF(Formulario!F641&lt;&gt;"",IF(Formulario!F641=" "," ",Formulario!F641)," ")</f>
        <v xml:space="preserve"> </v>
      </c>
      <c r="K633" s="144" t="str">
        <f>IF(Formulario!G641&lt;&gt;"",IF(Formulario!G641=" "," ",Formulario!G641)," ")</f>
        <v xml:space="preserve"> </v>
      </c>
      <c r="L633" s="144" t="str">
        <f>IF(Formulario!H641&lt;&gt;"",IF(Formulario!H641=" "," ",Formulario!H641)," ")</f>
        <v xml:space="preserve"> </v>
      </c>
      <c r="M633" s="144" t="str">
        <f>IF(Formulario!I641&lt;&gt;"",IF(Formulario!I641=" "," ",Formulario!I641)," ")</f>
        <v xml:space="preserve"> </v>
      </c>
      <c r="N633" s="145" t="str">
        <f>IF(Formulario!J641&lt;&gt;"",IF(Formulario!J641=" "," ",Formulario!J641),IF(G633=".",".","Falta Fecha"))</f>
        <v>.</v>
      </c>
      <c r="O633" s="155">
        <f>Formulario!L641</f>
        <v>0</v>
      </c>
      <c r="P633" s="146">
        <f>IF(O633=1,"09:00",Formulario!M641)</f>
        <v>0</v>
      </c>
      <c r="Q633" s="146">
        <f>IF(O633=1,"18:30",Formulario!N641)</f>
        <v>0</v>
      </c>
      <c r="R633" s="146" t="str">
        <f>IF(Formulario!O641&lt;&gt;"",IF(Formulario!O641=" ",".",Formulario!O641),".")</f>
        <v>.</v>
      </c>
      <c r="S633" s="141" t="s">
        <v>131</v>
      </c>
    </row>
    <row r="634" spans="1:19">
      <c r="A634" s="141">
        <f>Formulario!B642</f>
        <v>0</v>
      </c>
      <c r="B634" s="144" t="str">
        <f>IF(G634="."," ",Formulario!D$5)</f>
        <v xml:space="preserve"> </v>
      </c>
      <c r="C634" s="144" t="str">
        <f>IF(G634=".","",Formulario!D$6)</f>
        <v/>
      </c>
      <c r="D634" s="144" t="str">
        <f>IF(H634=".","",Formulario!D$7)</f>
        <v/>
      </c>
      <c r="E634" s="144" t="str">
        <f>IF(G634=".","",Formulario!J$5)</f>
        <v/>
      </c>
      <c r="F634" s="145" t="str">
        <f>IF(G634=".","",Formulario!J$6)</f>
        <v/>
      </c>
      <c r="G634" s="180" t="str">
        <f>IF(Formulario!C642&lt;&gt;"",IF(Formulario!C642=" ","Falta Depto",IF(H634=".","Error En Descripción",Formulario!C642)),IF(H634=".",".","Falta Datos"))</f>
        <v>.</v>
      </c>
      <c r="H634" s="144" t="str">
        <f>IF(Formulario!D642&lt;&gt;"",IF(Formulario!D642=" ",".",Formulario!D642),".")</f>
        <v>.</v>
      </c>
      <c r="I634" s="144" t="str">
        <f>IF(Formulario!E642&lt;&gt;"",IF(Formulario!E642=" "," ",Formulario!E642),IF(G634=".",".","Falta Propietario"))</f>
        <v>.</v>
      </c>
      <c r="J634" s="144" t="str">
        <f>IF(Formulario!F642&lt;&gt;"",IF(Formulario!F642=" "," ",Formulario!F642)," ")</f>
        <v xml:space="preserve"> </v>
      </c>
      <c r="K634" s="144" t="str">
        <f>IF(Formulario!G642&lt;&gt;"",IF(Formulario!G642=" "," ",Formulario!G642)," ")</f>
        <v xml:space="preserve"> </v>
      </c>
      <c r="L634" s="144" t="str">
        <f>IF(Formulario!H642&lt;&gt;"",IF(Formulario!H642=" "," ",Formulario!H642)," ")</f>
        <v xml:space="preserve"> </v>
      </c>
      <c r="M634" s="144" t="str">
        <f>IF(Formulario!I642&lt;&gt;"",IF(Formulario!I642=" "," ",Formulario!I642)," ")</f>
        <v xml:space="preserve"> </v>
      </c>
      <c r="N634" s="145" t="str">
        <f>IF(Formulario!J642&lt;&gt;"",IF(Formulario!J642=" "," ",Formulario!J642),IF(G634=".",".","Falta Fecha"))</f>
        <v>.</v>
      </c>
      <c r="O634" s="155">
        <f>Formulario!L642</f>
        <v>0</v>
      </c>
      <c r="P634" s="146">
        <f>IF(O634=1,"09:00",Formulario!M642)</f>
        <v>0</v>
      </c>
      <c r="Q634" s="146">
        <f>IF(O634=1,"18:30",Formulario!N642)</f>
        <v>0</v>
      </c>
      <c r="R634" s="146" t="str">
        <f>IF(Formulario!O642&lt;&gt;"",IF(Formulario!O642=" ",".",Formulario!O642),".")</f>
        <v>.</v>
      </c>
      <c r="S634" s="141" t="s">
        <v>131</v>
      </c>
    </row>
    <row r="635" spans="1:19">
      <c r="A635" s="141">
        <f>Formulario!B643</f>
        <v>0</v>
      </c>
      <c r="B635" s="144" t="str">
        <f>IF(G635="."," ",Formulario!D$5)</f>
        <v xml:space="preserve"> </v>
      </c>
      <c r="C635" s="144" t="str">
        <f>IF(G635=".","",Formulario!D$6)</f>
        <v/>
      </c>
      <c r="D635" s="144" t="str">
        <f>IF(H635=".","",Formulario!D$7)</f>
        <v/>
      </c>
      <c r="E635" s="144" t="str">
        <f>IF(G635=".","",Formulario!J$5)</f>
        <v/>
      </c>
      <c r="F635" s="145" t="str">
        <f>IF(G635=".","",Formulario!J$6)</f>
        <v/>
      </c>
      <c r="G635" s="180" t="str">
        <f>IF(Formulario!C643&lt;&gt;"",IF(Formulario!C643=" ","Falta Depto",IF(H635=".","Error En Descripción",Formulario!C643)),IF(H635=".",".","Falta Datos"))</f>
        <v>.</v>
      </c>
      <c r="H635" s="144" t="str">
        <f>IF(Formulario!D643&lt;&gt;"",IF(Formulario!D643=" ",".",Formulario!D643),".")</f>
        <v>.</v>
      </c>
      <c r="I635" s="144" t="str">
        <f>IF(Formulario!E643&lt;&gt;"",IF(Formulario!E643=" "," ",Formulario!E643),IF(G635=".",".","Falta Propietario"))</f>
        <v>.</v>
      </c>
      <c r="J635" s="144" t="str">
        <f>IF(Formulario!F643&lt;&gt;"",IF(Formulario!F643=" "," ",Formulario!F643)," ")</f>
        <v xml:space="preserve"> </v>
      </c>
      <c r="K635" s="144" t="str">
        <f>IF(Formulario!G643&lt;&gt;"",IF(Formulario!G643=" "," ",Formulario!G643)," ")</f>
        <v xml:space="preserve"> </v>
      </c>
      <c r="L635" s="144" t="str">
        <f>IF(Formulario!H643&lt;&gt;"",IF(Formulario!H643=" "," ",Formulario!H643)," ")</f>
        <v xml:space="preserve"> </v>
      </c>
      <c r="M635" s="144" t="str">
        <f>IF(Formulario!I643&lt;&gt;"",IF(Formulario!I643=" "," ",Formulario!I643)," ")</f>
        <v xml:space="preserve"> </v>
      </c>
      <c r="N635" s="145" t="str">
        <f>IF(Formulario!J643&lt;&gt;"",IF(Formulario!J643=" "," ",Formulario!J643),IF(G635=".",".","Falta Fecha"))</f>
        <v>.</v>
      </c>
      <c r="O635" s="155">
        <f>Formulario!L643</f>
        <v>0</v>
      </c>
      <c r="P635" s="146">
        <f>IF(O635=1,"09:00",Formulario!M643)</f>
        <v>0</v>
      </c>
      <c r="Q635" s="146">
        <f>IF(O635=1,"18:30",Formulario!N643)</f>
        <v>0</v>
      </c>
      <c r="R635" s="146" t="str">
        <f>IF(Formulario!O643&lt;&gt;"",IF(Formulario!O643=" ",".",Formulario!O643),".")</f>
        <v>.</v>
      </c>
      <c r="S635" s="141" t="s">
        <v>131</v>
      </c>
    </row>
    <row r="636" spans="1:19">
      <c r="A636" s="141">
        <f>Formulario!B644</f>
        <v>0</v>
      </c>
      <c r="B636" s="144" t="str">
        <f>IF(G636="."," ",Formulario!D$5)</f>
        <v xml:space="preserve"> </v>
      </c>
      <c r="C636" s="144" t="str">
        <f>IF(G636=".","",Formulario!D$6)</f>
        <v/>
      </c>
      <c r="D636" s="144" t="str">
        <f>IF(H636=".","",Formulario!D$7)</f>
        <v/>
      </c>
      <c r="E636" s="144" t="str">
        <f>IF(G636=".","",Formulario!J$5)</f>
        <v/>
      </c>
      <c r="F636" s="145" t="str">
        <f>IF(G636=".","",Formulario!J$6)</f>
        <v/>
      </c>
      <c r="G636" s="180" t="str">
        <f>IF(Formulario!C644&lt;&gt;"",IF(Formulario!C644=" ","Falta Depto",IF(H636=".","Error En Descripción",Formulario!C644)),IF(H636=".",".","Falta Datos"))</f>
        <v>.</v>
      </c>
      <c r="H636" s="144" t="str">
        <f>IF(Formulario!D644&lt;&gt;"",IF(Formulario!D644=" ",".",Formulario!D644),".")</f>
        <v>.</v>
      </c>
      <c r="I636" s="144" t="str">
        <f>IF(Formulario!E644&lt;&gt;"",IF(Formulario!E644=" "," ",Formulario!E644),IF(G636=".",".","Falta Propietario"))</f>
        <v>.</v>
      </c>
      <c r="J636" s="144" t="str">
        <f>IF(Formulario!F644&lt;&gt;"",IF(Formulario!F644=" "," ",Formulario!F644)," ")</f>
        <v xml:space="preserve"> </v>
      </c>
      <c r="K636" s="144" t="str">
        <f>IF(Formulario!G644&lt;&gt;"",IF(Formulario!G644=" "," ",Formulario!G644)," ")</f>
        <v xml:space="preserve"> </v>
      </c>
      <c r="L636" s="144" t="str">
        <f>IF(Formulario!H644&lt;&gt;"",IF(Formulario!H644=" "," ",Formulario!H644)," ")</f>
        <v xml:space="preserve"> </v>
      </c>
      <c r="M636" s="144" t="str">
        <f>IF(Formulario!I644&lt;&gt;"",IF(Formulario!I644=" "," ",Formulario!I644)," ")</f>
        <v xml:space="preserve"> </v>
      </c>
      <c r="N636" s="145" t="str">
        <f>IF(Formulario!J644&lt;&gt;"",IF(Formulario!J644=" "," ",Formulario!J644),IF(G636=".",".","Falta Fecha"))</f>
        <v>.</v>
      </c>
      <c r="O636" s="155">
        <f>Formulario!L644</f>
        <v>0</v>
      </c>
      <c r="P636" s="146">
        <f>IF(O636=1,"09:00",Formulario!M644)</f>
        <v>0</v>
      </c>
      <c r="Q636" s="146">
        <f>IF(O636=1,"18:30",Formulario!N644)</f>
        <v>0</v>
      </c>
      <c r="R636" s="146" t="str">
        <f>IF(Formulario!O644&lt;&gt;"",IF(Formulario!O644=" ",".",Formulario!O644),".")</f>
        <v>.</v>
      </c>
      <c r="S636" s="141" t="s">
        <v>131</v>
      </c>
    </row>
    <row r="637" spans="1:19">
      <c r="A637" s="141">
        <f>Formulario!B645</f>
        <v>0</v>
      </c>
      <c r="B637" s="144" t="str">
        <f>IF(G637="."," ",Formulario!D$5)</f>
        <v xml:space="preserve"> </v>
      </c>
      <c r="C637" s="144" t="str">
        <f>IF(G637=".","",Formulario!D$6)</f>
        <v/>
      </c>
      <c r="D637" s="144" t="str">
        <f>IF(H637=".","",Formulario!D$7)</f>
        <v/>
      </c>
      <c r="E637" s="144" t="str">
        <f>IF(G637=".","",Formulario!J$5)</f>
        <v/>
      </c>
      <c r="F637" s="145" t="str">
        <f>IF(G637=".","",Formulario!J$6)</f>
        <v/>
      </c>
      <c r="G637" s="180" t="str">
        <f>IF(Formulario!C645&lt;&gt;"",IF(Formulario!C645=" ","Falta Depto",IF(H637=".","Error En Descripción",Formulario!C645)),IF(H637=".",".","Falta Datos"))</f>
        <v>.</v>
      </c>
      <c r="H637" s="144" t="str">
        <f>IF(Formulario!D645&lt;&gt;"",IF(Formulario!D645=" ",".",Formulario!D645),".")</f>
        <v>.</v>
      </c>
      <c r="I637" s="144" t="str">
        <f>IF(Formulario!E645&lt;&gt;"",IF(Formulario!E645=" "," ",Formulario!E645),IF(G637=".",".","Falta Propietario"))</f>
        <v>.</v>
      </c>
      <c r="J637" s="144" t="str">
        <f>IF(Formulario!F645&lt;&gt;"",IF(Formulario!F645=" "," ",Formulario!F645)," ")</f>
        <v xml:space="preserve"> </v>
      </c>
      <c r="K637" s="144" t="str">
        <f>IF(Formulario!G645&lt;&gt;"",IF(Formulario!G645=" "," ",Formulario!G645)," ")</f>
        <v xml:space="preserve"> </v>
      </c>
      <c r="L637" s="144" t="str">
        <f>IF(Formulario!H645&lt;&gt;"",IF(Formulario!H645=" "," ",Formulario!H645)," ")</f>
        <v xml:space="preserve"> </v>
      </c>
      <c r="M637" s="144" t="str">
        <f>IF(Formulario!I645&lt;&gt;"",IF(Formulario!I645=" "," ",Formulario!I645)," ")</f>
        <v xml:space="preserve"> </v>
      </c>
      <c r="N637" s="145" t="str">
        <f>IF(Formulario!J645&lt;&gt;"",IF(Formulario!J645=" "," ",Formulario!J645),IF(G637=".",".","Falta Fecha"))</f>
        <v>.</v>
      </c>
      <c r="O637" s="155">
        <f>Formulario!L645</f>
        <v>0</v>
      </c>
      <c r="P637" s="146">
        <f>IF(O637=1,"09:00",Formulario!M645)</f>
        <v>0</v>
      </c>
      <c r="Q637" s="146">
        <f>IF(O637=1,"18:30",Formulario!N645)</f>
        <v>0</v>
      </c>
      <c r="R637" s="146" t="str">
        <f>IF(Formulario!O645&lt;&gt;"",IF(Formulario!O645=" ",".",Formulario!O645),".")</f>
        <v>.</v>
      </c>
      <c r="S637" s="141" t="s">
        <v>131</v>
      </c>
    </row>
    <row r="638" spans="1:19">
      <c r="A638" s="141">
        <f>Formulario!B646</f>
        <v>0</v>
      </c>
      <c r="B638" s="144" t="str">
        <f>IF(G638="."," ",Formulario!D$5)</f>
        <v xml:space="preserve"> </v>
      </c>
      <c r="C638" s="144" t="str">
        <f>IF(G638=".","",Formulario!D$6)</f>
        <v/>
      </c>
      <c r="D638" s="144" t="str">
        <f>IF(H638=".","",Formulario!D$7)</f>
        <v/>
      </c>
      <c r="E638" s="144" t="str">
        <f>IF(G638=".","",Formulario!J$5)</f>
        <v/>
      </c>
      <c r="F638" s="145" t="str">
        <f>IF(G638=".","",Formulario!J$6)</f>
        <v/>
      </c>
      <c r="G638" s="180" t="str">
        <f>IF(Formulario!C646&lt;&gt;"",IF(Formulario!C646=" ","Falta Depto",IF(H638=".","Error En Descripción",Formulario!C646)),IF(H638=".",".","Falta Datos"))</f>
        <v>.</v>
      </c>
      <c r="H638" s="144" t="str">
        <f>IF(Formulario!D646&lt;&gt;"",IF(Formulario!D646=" ",".",Formulario!D646),".")</f>
        <v>.</v>
      </c>
      <c r="I638" s="144" t="str">
        <f>IF(Formulario!E646&lt;&gt;"",IF(Formulario!E646=" "," ",Formulario!E646),IF(G638=".",".","Falta Propietario"))</f>
        <v>.</v>
      </c>
      <c r="J638" s="144" t="str">
        <f>IF(Formulario!F646&lt;&gt;"",IF(Formulario!F646=" "," ",Formulario!F646)," ")</f>
        <v xml:space="preserve"> </v>
      </c>
      <c r="K638" s="144" t="str">
        <f>IF(Formulario!G646&lt;&gt;"",IF(Formulario!G646=" "," ",Formulario!G646)," ")</f>
        <v xml:space="preserve"> </v>
      </c>
      <c r="L638" s="144" t="str">
        <f>IF(Formulario!H646&lt;&gt;"",IF(Formulario!H646=" "," ",Formulario!H646)," ")</f>
        <v xml:space="preserve"> </v>
      </c>
      <c r="M638" s="144" t="str">
        <f>IF(Formulario!I646&lt;&gt;"",IF(Formulario!I646=" "," ",Formulario!I646)," ")</f>
        <v xml:space="preserve"> </v>
      </c>
      <c r="N638" s="145" t="str">
        <f>IF(Formulario!J646&lt;&gt;"",IF(Formulario!J646=" "," ",Formulario!J646),IF(G638=".",".","Falta Fecha"))</f>
        <v>.</v>
      </c>
      <c r="O638" s="155">
        <f>Formulario!L646</f>
        <v>0</v>
      </c>
      <c r="P638" s="146">
        <f>IF(O638=1,"09:00",Formulario!M646)</f>
        <v>0</v>
      </c>
      <c r="Q638" s="146">
        <f>IF(O638=1,"18:30",Formulario!N646)</f>
        <v>0</v>
      </c>
      <c r="R638" s="146" t="str">
        <f>IF(Formulario!O646&lt;&gt;"",IF(Formulario!O646=" ",".",Formulario!O646),".")</f>
        <v>.</v>
      </c>
      <c r="S638" s="141" t="s">
        <v>131</v>
      </c>
    </row>
    <row r="639" spans="1:19">
      <c r="A639" s="141">
        <f>Formulario!B647</f>
        <v>0</v>
      </c>
      <c r="B639" s="144" t="str">
        <f>IF(G639="."," ",Formulario!D$5)</f>
        <v xml:space="preserve"> </v>
      </c>
      <c r="C639" s="144" t="str">
        <f>IF(G639=".","",Formulario!D$6)</f>
        <v/>
      </c>
      <c r="D639" s="144" t="str">
        <f>IF(H639=".","",Formulario!D$7)</f>
        <v/>
      </c>
      <c r="E639" s="144" t="str">
        <f>IF(G639=".","",Formulario!J$5)</f>
        <v/>
      </c>
      <c r="F639" s="145" t="str">
        <f>IF(G639=".","",Formulario!J$6)</f>
        <v/>
      </c>
      <c r="G639" s="180" t="str">
        <f>IF(Formulario!C647&lt;&gt;"",IF(Formulario!C647=" ","Falta Depto",IF(H639=".","Error En Descripción",Formulario!C647)),IF(H639=".",".","Falta Datos"))</f>
        <v>.</v>
      </c>
      <c r="H639" s="144" t="str">
        <f>IF(Formulario!D647&lt;&gt;"",IF(Formulario!D647=" ",".",Formulario!D647),".")</f>
        <v>.</v>
      </c>
      <c r="I639" s="144" t="str">
        <f>IF(Formulario!E647&lt;&gt;"",IF(Formulario!E647=" "," ",Formulario!E647),IF(G639=".",".","Falta Propietario"))</f>
        <v>.</v>
      </c>
      <c r="J639" s="144" t="str">
        <f>IF(Formulario!F647&lt;&gt;"",IF(Formulario!F647=" "," ",Formulario!F647)," ")</f>
        <v xml:space="preserve"> </v>
      </c>
      <c r="K639" s="144" t="str">
        <f>IF(Formulario!G647&lt;&gt;"",IF(Formulario!G647=" "," ",Formulario!G647)," ")</f>
        <v xml:space="preserve"> </v>
      </c>
      <c r="L639" s="144" t="str">
        <f>IF(Formulario!H647&lt;&gt;"",IF(Formulario!H647=" "," ",Formulario!H647)," ")</f>
        <v xml:space="preserve"> </v>
      </c>
      <c r="M639" s="144" t="str">
        <f>IF(Formulario!I647&lt;&gt;"",IF(Formulario!I647=" "," ",Formulario!I647)," ")</f>
        <v xml:space="preserve"> </v>
      </c>
      <c r="N639" s="145" t="str">
        <f>IF(Formulario!J647&lt;&gt;"",IF(Formulario!J647=" "," ",Formulario!J647),IF(G639=".",".","Falta Fecha"))</f>
        <v>.</v>
      </c>
      <c r="O639" s="155">
        <f>Formulario!L647</f>
        <v>0</v>
      </c>
      <c r="P639" s="146">
        <f>IF(O639=1,"09:00",Formulario!M647)</f>
        <v>0</v>
      </c>
      <c r="Q639" s="146">
        <f>IF(O639=1,"18:30",Formulario!N647)</f>
        <v>0</v>
      </c>
      <c r="R639" s="146" t="str">
        <f>IF(Formulario!O647&lt;&gt;"",IF(Formulario!O647=" ",".",Formulario!O647),".")</f>
        <v>.</v>
      </c>
      <c r="S639" s="141" t="s">
        <v>131</v>
      </c>
    </row>
    <row r="640" spans="1:19">
      <c r="A640" s="141">
        <f>Formulario!B648</f>
        <v>0</v>
      </c>
      <c r="B640" s="144" t="str">
        <f>IF(G640="."," ",Formulario!D$5)</f>
        <v xml:space="preserve"> </v>
      </c>
      <c r="C640" s="144" t="str">
        <f>IF(G640=".","",Formulario!D$6)</f>
        <v/>
      </c>
      <c r="D640" s="144" t="str">
        <f>IF(H640=".","",Formulario!D$7)</f>
        <v/>
      </c>
      <c r="E640" s="144" t="str">
        <f>IF(G640=".","",Formulario!J$5)</f>
        <v/>
      </c>
      <c r="F640" s="145" t="str">
        <f>IF(G640=".","",Formulario!J$6)</f>
        <v/>
      </c>
      <c r="G640" s="180" t="str">
        <f>IF(Formulario!C648&lt;&gt;"",IF(Formulario!C648=" ","Falta Depto",IF(H640=".","Error En Descripción",Formulario!C648)),IF(H640=".",".","Falta Datos"))</f>
        <v>.</v>
      </c>
      <c r="H640" s="144" t="str">
        <f>IF(Formulario!D648&lt;&gt;"",IF(Formulario!D648=" ",".",Formulario!D648),".")</f>
        <v>.</v>
      </c>
      <c r="I640" s="144" t="str">
        <f>IF(Formulario!E648&lt;&gt;"",IF(Formulario!E648=" "," ",Formulario!E648),IF(G640=".",".","Falta Propietario"))</f>
        <v>.</v>
      </c>
      <c r="J640" s="144" t="str">
        <f>IF(Formulario!F648&lt;&gt;"",IF(Formulario!F648=" "," ",Formulario!F648)," ")</f>
        <v xml:space="preserve"> </v>
      </c>
      <c r="K640" s="144" t="str">
        <f>IF(Formulario!G648&lt;&gt;"",IF(Formulario!G648=" "," ",Formulario!G648)," ")</f>
        <v xml:space="preserve"> </v>
      </c>
      <c r="L640" s="144" t="str">
        <f>IF(Formulario!H648&lt;&gt;"",IF(Formulario!H648=" "," ",Formulario!H648)," ")</f>
        <v xml:space="preserve"> </v>
      </c>
      <c r="M640" s="144" t="str">
        <f>IF(Formulario!I648&lt;&gt;"",IF(Formulario!I648=" "," ",Formulario!I648)," ")</f>
        <v xml:space="preserve"> </v>
      </c>
      <c r="N640" s="145" t="str">
        <f>IF(Formulario!J648&lt;&gt;"",IF(Formulario!J648=" "," ",Formulario!J648),IF(G640=".",".","Falta Fecha"))</f>
        <v>.</v>
      </c>
      <c r="O640" s="155">
        <f>Formulario!L648</f>
        <v>0</v>
      </c>
      <c r="P640" s="146">
        <f>IF(O640=1,"09:00",Formulario!M648)</f>
        <v>0</v>
      </c>
      <c r="Q640" s="146">
        <f>IF(O640=1,"18:30",Formulario!N648)</f>
        <v>0</v>
      </c>
      <c r="R640" s="146" t="str">
        <f>IF(Formulario!O648&lt;&gt;"",IF(Formulario!O648=" ",".",Formulario!O648),".")</f>
        <v>.</v>
      </c>
      <c r="S640" s="141" t="s">
        <v>131</v>
      </c>
    </row>
    <row r="641" spans="1:19">
      <c r="A641" s="141">
        <f>Formulario!B649</f>
        <v>0</v>
      </c>
      <c r="B641" s="144" t="str">
        <f>IF(G641="."," ",Formulario!D$5)</f>
        <v xml:space="preserve"> </v>
      </c>
      <c r="C641" s="144" t="str">
        <f>IF(G641=".","",Formulario!D$6)</f>
        <v/>
      </c>
      <c r="D641" s="144" t="str">
        <f>IF(H641=".","",Formulario!D$7)</f>
        <v/>
      </c>
      <c r="E641" s="144" t="str">
        <f>IF(G641=".","",Formulario!J$5)</f>
        <v/>
      </c>
      <c r="F641" s="145" t="str">
        <f>IF(G641=".","",Formulario!J$6)</f>
        <v/>
      </c>
      <c r="G641" s="180" t="str">
        <f>IF(Formulario!C649&lt;&gt;"",IF(Formulario!C649=" ","Falta Depto",IF(H641=".","Error En Descripción",Formulario!C649)),IF(H641=".",".","Falta Datos"))</f>
        <v>.</v>
      </c>
      <c r="H641" s="144" t="str">
        <f>IF(Formulario!D649&lt;&gt;"",IF(Formulario!D649=" ",".",Formulario!D649),".")</f>
        <v>.</v>
      </c>
      <c r="I641" s="144" t="str">
        <f>IF(Formulario!E649&lt;&gt;"",IF(Formulario!E649=" "," ",Formulario!E649),IF(G641=".",".","Falta Propietario"))</f>
        <v>.</v>
      </c>
      <c r="J641" s="144" t="str">
        <f>IF(Formulario!F649&lt;&gt;"",IF(Formulario!F649=" "," ",Formulario!F649)," ")</f>
        <v xml:space="preserve"> </v>
      </c>
      <c r="K641" s="144" t="str">
        <f>IF(Formulario!G649&lt;&gt;"",IF(Formulario!G649=" "," ",Formulario!G649)," ")</f>
        <v xml:space="preserve"> </v>
      </c>
      <c r="L641" s="144" t="str">
        <f>IF(Formulario!H649&lt;&gt;"",IF(Formulario!H649=" "," ",Formulario!H649)," ")</f>
        <v xml:space="preserve"> </v>
      </c>
      <c r="M641" s="144" t="str">
        <f>IF(Formulario!I649&lt;&gt;"",IF(Formulario!I649=" "," ",Formulario!I649)," ")</f>
        <v xml:space="preserve"> </v>
      </c>
      <c r="N641" s="145" t="str">
        <f>IF(Formulario!J649&lt;&gt;"",IF(Formulario!J649=" "," ",Formulario!J649),IF(G641=".",".","Falta Fecha"))</f>
        <v>.</v>
      </c>
      <c r="O641" s="155">
        <f>Formulario!L649</f>
        <v>0</v>
      </c>
      <c r="P641" s="146">
        <f>IF(O641=1,"09:00",Formulario!M649)</f>
        <v>0</v>
      </c>
      <c r="Q641" s="146">
        <f>IF(O641=1,"18:30",Formulario!N649)</f>
        <v>0</v>
      </c>
      <c r="R641" s="146" t="str">
        <f>IF(Formulario!O649&lt;&gt;"",IF(Formulario!O649=" ",".",Formulario!O649),".")</f>
        <v>.</v>
      </c>
      <c r="S641" s="141" t="s">
        <v>131</v>
      </c>
    </row>
    <row r="642" spans="1:19">
      <c r="A642" s="141">
        <f>Formulario!B650</f>
        <v>0</v>
      </c>
      <c r="B642" s="144" t="str">
        <f>IF(G642="."," ",Formulario!D$5)</f>
        <v xml:space="preserve"> </v>
      </c>
      <c r="C642" s="144" t="str">
        <f>IF(G642=".","",Formulario!D$6)</f>
        <v/>
      </c>
      <c r="D642" s="144" t="str">
        <f>IF(H642=".","",Formulario!D$7)</f>
        <v/>
      </c>
      <c r="E642" s="144" t="str">
        <f>IF(G642=".","",Formulario!J$5)</f>
        <v/>
      </c>
      <c r="F642" s="145" t="str">
        <f>IF(G642=".","",Formulario!J$6)</f>
        <v/>
      </c>
      <c r="G642" s="180" t="str">
        <f>IF(Formulario!C650&lt;&gt;"",IF(Formulario!C650=" ","Falta Depto",IF(H642=".","Error En Descripción",Formulario!C650)),IF(H642=".",".","Falta Datos"))</f>
        <v>.</v>
      </c>
      <c r="H642" s="144" t="str">
        <f>IF(Formulario!D650&lt;&gt;"",IF(Formulario!D650=" ",".",Formulario!D650),".")</f>
        <v>.</v>
      </c>
      <c r="I642" s="144" t="str">
        <f>IF(Formulario!E650&lt;&gt;"",IF(Formulario!E650=" "," ",Formulario!E650),IF(G642=".",".","Falta Propietario"))</f>
        <v>.</v>
      </c>
      <c r="J642" s="144" t="str">
        <f>IF(Formulario!F650&lt;&gt;"",IF(Formulario!F650=" "," ",Formulario!F650)," ")</f>
        <v xml:space="preserve"> </v>
      </c>
      <c r="K642" s="144" t="str">
        <f>IF(Formulario!G650&lt;&gt;"",IF(Formulario!G650=" "," ",Formulario!G650)," ")</f>
        <v xml:space="preserve"> </v>
      </c>
      <c r="L642" s="144" t="str">
        <f>IF(Formulario!H650&lt;&gt;"",IF(Formulario!H650=" "," ",Formulario!H650)," ")</f>
        <v xml:space="preserve"> </v>
      </c>
      <c r="M642" s="144" t="str">
        <f>IF(Formulario!I650&lt;&gt;"",IF(Formulario!I650=" "," ",Formulario!I650)," ")</f>
        <v xml:space="preserve"> </v>
      </c>
      <c r="N642" s="145" t="str">
        <f>IF(Formulario!J650&lt;&gt;"",IF(Formulario!J650=" "," ",Formulario!J650),IF(G642=".",".","Falta Fecha"))</f>
        <v>.</v>
      </c>
      <c r="O642" s="155">
        <f>Formulario!L650</f>
        <v>0</v>
      </c>
      <c r="P642" s="146">
        <f>IF(O642=1,"09:00",Formulario!M650)</f>
        <v>0</v>
      </c>
      <c r="Q642" s="146">
        <f>IF(O642=1,"18:30",Formulario!N650)</f>
        <v>0</v>
      </c>
      <c r="R642" s="146" t="str">
        <f>IF(Formulario!O650&lt;&gt;"",IF(Formulario!O650=" ",".",Formulario!O650),".")</f>
        <v>.</v>
      </c>
      <c r="S642" s="141" t="s">
        <v>131</v>
      </c>
    </row>
    <row r="643" spans="1:19">
      <c r="A643" s="141">
        <f>Formulario!B651</f>
        <v>0</v>
      </c>
      <c r="B643" s="144" t="str">
        <f>IF(G643="."," ",Formulario!D$5)</f>
        <v xml:space="preserve"> </v>
      </c>
      <c r="C643" s="144" t="str">
        <f>IF(G643=".","",Formulario!D$6)</f>
        <v/>
      </c>
      <c r="D643" s="144" t="str">
        <f>IF(H643=".","",Formulario!D$7)</f>
        <v/>
      </c>
      <c r="E643" s="144" t="str">
        <f>IF(G643=".","",Formulario!J$5)</f>
        <v/>
      </c>
      <c r="F643" s="145" t="str">
        <f>IF(G643=".","",Formulario!J$6)</f>
        <v/>
      </c>
      <c r="G643" s="180" t="str">
        <f>IF(Formulario!C651&lt;&gt;"",IF(Formulario!C651=" ","Falta Depto",IF(H643=".","Error En Descripción",Formulario!C651)),IF(H643=".",".","Falta Datos"))</f>
        <v>.</v>
      </c>
      <c r="H643" s="144" t="str">
        <f>IF(Formulario!D651&lt;&gt;"",IF(Formulario!D651=" ",".",Formulario!D651),".")</f>
        <v>.</v>
      </c>
      <c r="I643" s="144" t="str">
        <f>IF(Formulario!E651&lt;&gt;"",IF(Formulario!E651=" "," ",Formulario!E651),IF(G643=".",".","Falta Propietario"))</f>
        <v>.</v>
      </c>
      <c r="J643" s="144" t="str">
        <f>IF(Formulario!F651&lt;&gt;"",IF(Formulario!F651=" "," ",Formulario!F651)," ")</f>
        <v xml:space="preserve"> </v>
      </c>
      <c r="K643" s="144" t="str">
        <f>IF(Formulario!G651&lt;&gt;"",IF(Formulario!G651=" "," ",Formulario!G651)," ")</f>
        <v xml:space="preserve"> </v>
      </c>
      <c r="L643" s="144" t="str">
        <f>IF(Formulario!H651&lt;&gt;"",IF(Formulario!H651=" "," ",Formulario!H651)," ")</f>
        <v xml:space="preserve"> </v>
      </c>
      <c r="M643" s="144" t="str">
        <f>IF(Formulario!I651&lt;&gt;"",IF(Formulario!I651=" "," ",Formulario!I651)," ")</f>
        <v xml:space="preserve"> </v>
      </c>
      <c r="N643" s="145" t="str">
        <f>IF(Formulario!J651&lt;&gt;"",IF(Formulario!J651=" "," ",Formulario!J651),IF(G643=".",".","Falta Fecha"))</f>
        <v>.</v>
      </c>
      <c r="O643" s="155">
        <f>Formulario!L651</f>
        <v>0</v>
      </c>
      <c r="P643" s="146">
        <f>IF(O643=1,"09:00",Formulario!M651)</f>
        <v>0</v>
      </c>
      <c r="Q643" s="146">
        <f>IF(O643=1,"18:30",Formulario!N651)</f>
        <v>0</v>
      </c>
      <c r="R643" s="146" t="str">
        <f>IF(Formulario!O651&lt;&gt;"",IF(Formulario!O651=" ",".",Formulario!O651),".")</f>
        <v>.</v>
      </c>
      <c r="S643" s="141" t="s">
        <v>131</v>
      </c>
    </row>
    <row r="644" spans="1:19">
      <c r="A644" s="141">
        <f>Formulario!B652</f>
        <v>0</v>
      </c>
      <c r="B644" s="144" t="str">
        <f>IF(G644="."," ",Formulario!D$5)</f>
        <v xml:space="preserve"> </v>
      </c>
      <c r="C644" s="144" t="str">
        <f>IF(G644=".","",Formulario!D$6)</f>
        <v/>
      </c>
      <c r="D644" s="144" t="str">
        <f>IF(H644=".","",Formulario!D$7)</f>
        <v/>
      </c>
      <c r="E644" s="144" t="str">
        <f>IF(G644=".","",Formulario!J$5)</f>
        <v/>
      </c>
      <c r="F644" s="145" t="str">
        <f>IF(G644=".","",Formulario!J$6)</f>
        <v/>
      </c>
      <c r="G644" s="180" t="str">
        <f>IF(Formulario!C652&lt;&gt;"",IF(Formulario!C652=" ","Falta Depto",IF(H644=".","Error En Descripción",Formulario!C652)),IF(H644=".",".","Falta Datos"))</f>
        <v>.</v>
      </c>
      <c r="H644" s="144" t="str">
        <f>IF(Formulario!D652&lt;&gt;"",IF(Formulario!D652=" ",".",Formulario!D652),".")</f>
        <v>.</v>
      </c>
      <c r="I644" s="144" t="str">
        <f>IF(Formulario!E652&lt;&gt;"",IF(Formulario!E652=" "," ",Formulario!E652),IF(G644=".",".","Falta Propietario"))</f>
        <v>.</v>
      </c>
      <c r="J644" s="144" t="str">
        <f>IF(Formulario!F652&lt;&gt;"",IF(Formulario!F652=" "," ",Formulario!F652)," ")</f>
        <v xml:space="preserve"> </v>
      </c>
      <c r="K644" s="144" t="str">
        <f>IF(Formulario!G652&lt;&gt;"",IF(Formulario!G652=" "," ",Formulario!G652)," ")</f>
        <v xml:space="preserve"> </v>
      </c>
      <c r="L644" s="144" t="str">
        <f>IF(Formulario!H652&lt;&gt;"",IF(Formulario!H652=" "," ",Formulario!H652)," ")</f>
        <v xml:space="preserve"> </v>
      </c>
      <c r="M644" s="144" t="str">
        <f>IF(Formulario!I652&lt;&gt;"",IF(Formulario!I652=" "," ",Formulario!I652)," ")</f>
        <v xml:space="preserve"> </v>
      </c>
      <c r="N644" s="145" t="str">
        <f>IF(Formulario!J652&lt;&gt;"",IF(Formulario!J652=" "," ",Formulario!J652),IF(G644=".",".","Falta Fecha"))</f>
        <v>.</v>
      </c>
      <c r="O644" s="155">
        <f>Formulario!L652</f>
        <v>0</v>
      </c>
      <c r="P644" s="146">
        <f>IF(O644=1,"09:00",Formulario!M652)</f>
        <v>0</v>
      </c>
      <c r="Q644" s="146">
        <f>IF(O644=1,"18:30",Formulario!N652)</f>
        <v>0</v>
      </c>
      <c r="R644" s="146" t="str">
        <f>IF(Formulario!O652&lt;&gt;"",IF(Formulario!O652=" ",".",Formulario!O652),".")</f>
        <v>.</v>
      </c>
      <c r="S644" s="141" t="s">
        <v>131</v>
      </c>
    </row>
    <row r="645" spans="1:19">
      <c r="A645" s="141">
        <f>Formulario!B653</f>
        <v>0</v>
      </c>
      <c r="B645" s="144" t="str">
        <f>IF(G645="."," ",Formulario!D$5)</f>
        <v xml:space="preserve"> </v>
      </c>
      <c r="C645" s="144" t="str">
        <f>IF(G645=".","",Formulario!D$6)</f>
        <v/>
      </c>
      <c r="D645" s="144" t="str">
        <f>IF(H645=".","",Formulario!D$7)</f>
        <v/>
      </c>
      <c r="E645" s="144" t="str">
        <f>IF(G645=".","",Formulario!J$5)</f>
        <v/>
      </c>
      <c r="F645" s="145" t="str">
        <f>IF(G645=".","",Formulario!J$6)</f>
        <v/>
      </c>
      <c r="G645" s="180" t="str">
        <f>IF(Formulario!C653&lt;&gt;"",IF(Formulario!C653=" ","Falta Depto",IF(H645=".","Error En Descripción",Formulario!C653)),IF(H645=".",".","Falta Datos"))</f>
        <v>.</v>
      </c>
      <c r="H645" s="144" t="str">
        <f>IF(Formulario!D653&lt;&gt;"",IF(Formulario!D653=" ",".",Formulario!D653),".")</f>
        <v>.</v>
      </c>
      <c r="I645" s="144" t="str">
        <f>IF(Formulario!E653&lt;&gt;"",IF(Formulario!E653=" "," ",Formulario!E653),IF(G645=".",".","Falta Propietario"))</f>
        <v>.</v>
      </c>
      <c r="J645" s="144" t="str">
        <f>IF(Formulario!F653&lt;&gt;"",IF(Formulario!F653=" "," ",Formulario!F653)," ")</f>
        <v xml:space="preserve"> </v>
      </c>
      <c r="K645" s="144" t="str">
        <f>IF(Formulario!G653&lt;&gt;"",IF(Formulario!G653=" "," ",Formulario!G653)," ")</f>
        <v xml:space="preserve"> </v>
      </c>
      <c r="L645" s="144" t="str">
        <f>IF(Formulario!H653&lt;&gt;"",IF(Formulario!H653=" "," ",Formulario!H653)," ")</f>
        <v xml:space="preserve"> </v>
      </c>
      <c r="M645" s="144" t="str">
        <f>IF(Formulario!I653&lt;&gt;"",IF(Formulario!I653=" "," ",Formulario!I653)," ")</f>
        <v xml:space="preserve"> </v>
      </c>
      <c r="N645" s="145" t="str">
        <f>IF(Formulario!J653&lt;&gt;"",IF(Formulario!J653=" "," ",Formulario!J653),IF(G645=".",".","Falta Fecha"))</f>
        <v>.</v>
      </c>
      <c r="O645" s="155">
        <f>Formulario!L653</f>
        <v>0</v>
      </c>
      <c r="P645" s="146">
        <f>IF(O645=1,"09:00",Formulario!M653)</f>
        <v>0</v>
      </c>
      <c r="Q645" s="146">
        <f>IF(O645=1,"18:30",Formulario!N653)</f>
        <v>0</v>
      </c>
      <c r="R645" s="146" t="str">
        <f>IF(Formulario!O653&lt;&gt;"",IF(Formulario!O653=" ",".",Formulario!O653),".")</f>
        <v>.</v>
      </c>
      <c r="S645" s="141" t="s">
        <v>131</v>
      </c>
    </row>
    <row r="646" spans="1:19">
      <c r="A646" s="141">
        <f>Formulario!B654</f>
        <v>0</v>
      </c>
      <c r="B646" s="144" t="str">
        <f>IF(G646="."," ",Formulario!D$5)</f>
        <v xml:space="preserve"> </v>
      </c>
      <c r="C646" s="144" t="str">
        <f>IF(G646=".","",Formulario!D$6)</f>
        <v/>
      </c>
      <c r="D646" s="144" t="str">
        <f>IF(H646=".","",Formulario!D$7)</f>
        <v/>
      </c>
      <c r="E646" s="144" t="str">
        <f>IF(G646=".","",Formulario!J$5)</f>
        <v/>
      </c>
      <c r="F646" s="145" t="str">
        <f>IF(G646=".","",Formulario!J$6)</f>
        <v/>
      </c>
      <c r="G646" s="180" t="str">
        <f>IF(Formulario!C654&lt;&gt;"",IF(Formulario!C654=" ","Falta Depto",IF(H646=".","Error En Descripción",Formulario!C654)),IF(H646=".",".","Falta Datos"))</f>
        <v>.</v>
      </c>
      <c r="H646" s="144" t="str">
        <f>IF(Formulario!D654&lt;&gt;"",IF(Formulario!D654=" ",".",Formulario!D654),".")</f>
        <v>.</v>
      </c>
      <c r="I646" s="144" t="str">
        <f>IF(Formulario!E654&lt;&gt;"",IF(Formulario!E654=" "," ",Formulario!E654),IF(G646=".",".","Falta Propietario"))</f>
        <v>.</v>
      </c>
      <c r="J646" s="144" t="str">
        <f>IF(Formulario!F654&lt;&gt;"",IF(Formulario!F654=" "," ",Formulario!F654)," ")</f>
        <v xml:space="preserve"> </v>
      </c>
      <c r="K646" s="144" t="str">
        <f>IF(Formulario!G654&lt;&gt;"",IF(Formulario!G654=" "," ",Formulario!G654)," ")</f>
        <v xml:space="preserve"> </v>
      </c>
      <c r="L646" s="144" t="str">
        <f>IF(Formulario!H654&lt;&gt;"",IF(Formulario!H654=" "," ",Formulario!H654)," ")</f>
        <v xml:space="preserve"> </v>
      </c>
      <c r="M646" s="144" t="str">
        <f>IF(Formulario!I654&lt;&gt;"",IF(Formulario!I654=" "," ",Formulario!I654)," ")</f>
        <v xml:space="preserve"> </v>
      </c>
      <c r="N646" s="145" t="str">
        <f>IF(Formulario!J654&lt;&gt;"",IF(Formulario!J654=" "," ",Formulario!J654),IF(G646=".",".","Falta Fecha"))</f>
        <v>.</v>
      </c>
      <c r="O646" s="155">
        <f>Formulario!L654</f>
        <v>0</v>
      </c>
      <c r="P646" s="146">
        <f>IF(O646=1,"09:00",Formulario!M654)</f>
        <v>0</v>
      </c>
      <c r="Q646" s="146">
        <f>IF(O646=1,"18:30",Formulario!N654)</f>
        <v>0</v>
      </c>
      <c r="R646" s="146" t="str">
        <f>IF(Formulario!O654&lt;&gt;"",IF(Formulario!O654=" ",".",Formulario!O654),".")</f>
        <v>.</v>
      </c>
      <c r="S646" s="141" t="s">
        <v>131</v>
      </c>
    </row>
    <row r="647" spans="1:19">
      <c r="A647" s="141">
        <f>Formulario!B655</f>
        <v>0</v>
      </c>
      <c r="B647" s="144" t="str">
        <f>IF(G647="."," ",Formulario!D$5)</f>
        <v xml:space="preserve"> </v>
      </c>
      <c r="C647" s="144" t="str">
        <f>IF(G647=".","",Formulario!D$6)</f>
        <v/>
      </c>
      <c r="D647" s="144" t="str">
        <f>IF(H647=".","",Formulario!D$7)</f>
        <v/>
      </c>
      <c r="E647" s="144" t="str">
        <f>IF(G647=".","",Formulario!J$5)</f>
        <v/>
      </c>
      <c r="F647" s="145" t="str">
        <f>IF(G647=".","",Formulario!J$6)</f>
        <v/>
      </c>
      <c r="G647" s="180" t="str">
        <f>IF(Formulario!C655&lt;&gt;"",IF(Formulario!C655=" ","Falta Depto",IF(H647=".","Error En Descripción",Formulario!C655)),IF(H647=".",".","Falta Datos"))</f>
        <v>.</v>
      </c>
      <c r="H647" s="144" t="str">
        <f>IF(Formulario!D655&lt;&gt;"",IF(Formulario!D655=" ",".",Formulario!D655),".")</f>
        <v>.</v>
      </c>
      <c r="I647" s="144" t="str">
        <f>IF(Formulario!E655&lt;&gt;"",IF(Formulario!E655=" "," ",Formulario!E655),IF(G647=".",".","Falta Propietario"))</f>
        <v>.</v>
      </c>
      <c r="J647" s="144" t="str">
        <f>IF(Formulario!F655&lt;&gt;"",IF(Formulario!F655=" "," ",Formulario!F655)," ")</f>
        <v xml:space="preserve"> </v>
      </c>
      <c r="K647" s="144" t="str">
        <f>IF(Formulario!G655&lt;&gt;"",IF(Formulario!G655=" "," ",Formulario!G655)," ")</f>
        <v xml:space="preserve"> </v>
      </c>
      <c r="L647" s="144" t="str">
        <f>IF(Formulario!H655&lt;&gt;"",IF(Formulario!H655=" "," ",Formulario!H655)," ")</f>
        <v xml:space="preserve"> </v>
      </c>
      <c r="M647" s="144" t="str">
        <f>IF(Formulario!I655&lt;&gt;"",IF(Formulario!I655=" "," ",Formulario!I655)," ")</f>
        <v xml:space="preserve"> </v>
      </c>
      <c r="N647" s="145" t="str">
        <f>IF(Formulario!J655&lt;&gt;"",IF(Formulario!J655=" "," ",Formulario!J655),IF(G647=".",".","Falta Fecha"))</f>
        <v>.</v>
      </c>
      <c r="O647" s="155">
        <f>Formulario!L655</f>
        <v>0</v>
      </c>
      <c r="P647" s="146">
        <f>IF(O647=1,"09:00",Formulario!M655)</f>
        <v>0</v>
      </c>
      <c r="Q647" s="146">
        <f>IF(O647=1,"18:30",Formulario!N655)</f>
        <v>0</v>
      </c>
      <c r="R647" s="146" t="str">
        <f>IF(Formulario!O655&lt;&gt;"",IF(Formulario!O655=" ",".",Formulario!O655),".")</f>
        <v>.</v>
      </c>
      <c r="S647" s="141" t="s">
        <v>131</v>
      </c>
    </row>
    <row r="648" spans="1:19">
      <c r="A648" s="141">
        <f>Formulario!B656</f>
        <v>0</v>
      </c>
      <c r="B648" s="144" t="str">
        <f>IF(G648="."," ",Formulario!D$5)</f>
        <v xml:space="preserve"> </v>
      </c>
      <c r="C648" s="144" t="str">
        <f>IF(G648=".","",Formulario!D$6)</f>
        <v/>
      </c>
      <c r="D648" s="144" t="str">
        <f>IF(H648=".","",Formulario!D$7)</f>
        <v/>
      </c>
      <c r="E648" s="144" t="str">
        <f>IF(G648=".","",Formulario!J$5)</f>
        <v/>
      </c>
      <c r="F648" s="145" t="str">
        <f>IF(G648=".","",Formulario!J$6)</f>
        <v/>
      </c>
      <c r="G648" s="180" t="str">
        <f>IF(Formulario!C656&lt;&gt;"",IF(Formulario!C656=" ","Falta Depto",IF(H648=".","Error En Descripción",Formulario!C656)),IF(H648=".",".","Falta Datos"))</f>
        <v>.</v>
      </c>
      <c r="H648" s="144" t="str">
        <f>IF(Formulario!D656&lt;&gt;"",IF(Formulario!D656=" ",".",Formulario!D656),".")</f>
        <v>.</v>
      </c>
      <c r="I648" s="144" t="str">
        <f>IF(Formulario!E656&lt;&gt;"",IF(Formulario!E656=" "," ",Formulario!E656),IF(G648=".",".","Falta Propietario"))</f>
        <v>.</v>
      </c>
      <c r="J648" s="144" t="str">
        <f>IF(Formulario!F656&lt;&gt;"",IF(Formulario!F656=" "," ",Formulario!F656)," ")</f>
        <v xml:space="preserve"> </v>
      </c>
      <c r="K648" s="144" t="str">
        <f>IF(Formulario!G656&lt;&gt;"",IF(Formulario!G656=" "," ",Formulario!G656)," ")</f>
        <v xml:space="preserve"> </v>
      </c>
      <c r="L648" s="144" t="str">
        <f>IF(Formulario!H656&lt;&gt;"",IF(Formulario!H656=" "," ",Formulario!H656)," ")</f>
        <v xml:space="preserve"> </v>
      </c>
      <c r="M648" s="144" t="str">
        <f>IF(Formulario!I656&lt;&gt;"",IF(Formulario!I656=" "," ",Formulario!I656)," ")</f>
        <v xml:space="preserve"> </v>
      </c>
      <c r="N648" s="145" t="str">
        <f>IF(Formulario!J656&lt;&gt;"",IF(Formulario!J656=" "," ",Formulario!J656),IF(G648=".",".","Falta Fecha"))</f>
        <v>.</v>
      </c>
      <c r="O648" s="155">
        <f>Formulario!L656</f>
        <v>0</v>
      </c>
      <c r="P648" s="146">
        <f>IF(O648=1,"09:00",Formulario!M656)</f>
        <v>0</v>
      </c>
      <c r="Q648" s="146">
        <f>IF(O648=1,"18:30",Formulario!N656)</f>
        <v>0</v>
      </c>
      <c r="R648" s="146" t="str">
        <f>IF(Formulario!O656&lt;&gt;"",IF(Formulario!O656=" ",".",Formulario!O656),".")</f>
        <v>.</v>
      </c>
      <c r="S648" s="141" t="s">
        <v>131</v>
      </c>
    </row>
    <row r="649" spans="1:19">
      <c r="A649" s="141">
        <f>Formulario!B657</f>
        <v>0</v>
      </c>
      <c r="B649" s="144" t="str">
        <f>IF(G649="."," ",Formulario!D$5)</f>
        <v xml:space="preserve"> </v>
      </c>
      <c r="C649" s="144" t="str">
        <f>IF(G649=".","",Formulario!D$6)</f>
        <v/>
      </c>
      <c r="D649" s="144" t="str">
        <f>IF(H649=".","",Formulario!D$7)</f>
        <v/>
      </c>
      <c r="E649" s="144" t="str">
        <f>IF(G649=".","",Formulario!J$5)</f>
        <v/>
      </c>
      <c r="F649" s="145" t="str">
        <f>IF(G649=".","",Formulario!J$6)</f>
        <v/>
      </c>
      <c r="G649" s="180" t="str">
        <f>IF(Formulario!C657&lt;&gt;"",IF(Formulario!C657=" ","Falta Depto",IF(H649=".","Error En Descripción",Formulario!C657)),IF(H649=".",".","Falta Datos"))</f>
        <v>.</v>
      </c>
      <c r="H649" s="144" t="str">
        <f>IF(Formulario!D657&lt;&gt;"",IF(Formulario!D657=" ",".",Formulario!D657),".")</f>
        <v>.</v>
      </c>
      <c r="I649" s="144" t="str">
        <f>IF(Formulario!E657&lt;&gt;"",IF(Formulario!E657=" "," ",Formulario!E657),IF(G649=".",".","Falta Propietario"))</f>
        <v>.</v>
      </c>
      <c r="J649" s="144" t="str">
        <f>IF(Formulario!F657&lt;&gt;"",IF(Formulario!F657=" "," ",Formulario!F657)," ")</f>
        <v xml:space="preserve"> </v>
      </c>
      <c r="K649" s="144" t="str">
        <f>IF(Formulario!G657&lt;&gt;"",IF(Formulario!G657=" "," ",Formulario!G657)," ")</f>
        <v xml:space="preserve"> </v>
      </c>
      <c r="L649" s="144" t="str">
        <f>IF(Formulario!H657&lt;&gt;"",IF(Formulario!H657=" "," ",Formulario!H657)," ")</f>
        <v xml:space="preserve"> </v>
      </c>
      <c r="M649" s="144" t="str">
        <f>IF(Formulario!I657&lt;&gt;"",IF(Formulario!I657=" "," ",Formulario!I657)," ")</f>
        <v xml:space="preserve"> </v>
      </c>
      <c r="N649" s="145" t="str">
        <f>IF(Formulario!J657&lt;&gt;"",IF(Formulario!J657=" "," ",Formulario!J657),IF(G649=".",".","Falta Fecha"))</f>
        <v>.</v>
      </c>
      <c r="O649" s="155">
        <f>Formulario!L657</f>
        <v>0</v>
      </c>
      <c r="P649" s="146">
        <f>IF(O649=1,"09:00",Formulario!M657)</f>
        <v>0</v>
      </c>
      <c r="Q649" s="146">
        <f>IF(O649=1,"18:30",Formulario!N657)</f>
        <v>0</v>
      </c>
      <c r="R649" s="146" t="str">
        <f>IF(Formulario!O657&lt;&gt;"",IF(Formulario!O657=" ",".",Formulario!O657),".")</f>
        <v>.</v>
      </c>
      <c r="S649" s="141" t="s">
        <v>131</v>
      </c>
    </row>
    <row r="650" spans="1:19">
      <c r="A650" s="141">
        <f>Formulario!B658</f>
        <v>0</v>
      </c>
      <c r="B650" s="144" t="str">
        <f>IF(G650="."," ",Formulario!D$5)</f>
        <v xml:space="preserve"> </v>
      </c>
      <c r="C650" s="144" t="str">
        <f>IF(G650=".","",Formulario!D$6)</f>
        <v/>
      </c>
      <c r="D650" s="144" t="str">
        <f>IF(H650=".","",Formulario!D$7)</f>
        <v/>
      </c>
      <c r="E650" s="144" t="str">
        <f>IF(G650=".","",Formulario!J$5)</f>
        <v/>
      </c>
      <c r="F650" s="145" t="str">
        <f>IF(G650=".","",Formulario!J$6)</f>
        <v/>
      </c>
      <c r="G650" s="180" t="str">
        <f>IF(Formulario!C658&lt;&gt;"",IF(Formulario!C658=" ","Falta Depto",IF(H650=".","Error En Descripción",Formulario!C658)),IF(H650=".",".","Falta Datos"))</f>
        <v>.</v>
      </c>
      <c r="H650" s="144" t="str">
        <f>IF(Formulario!D658&lt;&gt;"",IF(Formulario!D658=" ",".",Formulario!D658),".")</f>
        <v>.</v>
      </c>
      <c r="I650" s="144" t="str">
        <f>IF(Formulario!E658&lt;&gt;"",IF(Formulario!E658=" "," ",Formulario!E658),IF(G650=".",".","Falta Propietario"))</f>
        <v>.</v>
      </c>
      <c r="J650" s="144" t="str">
        <f>IF(Formulario!F658&lt;&gt;"",IF(Formulario!F658=" "," ",Formulario!F658)," ")</f>
        <v xml:space="preserve"> </v>
      </c>
      <c r="K650" s="144" t="str">
        <f>IF(Formulario!G658&lt;&gt;"",IF(Formulario!G658=" "," ",Formulario!G658)," ")</f>
        <v xml:space="preserve"> </v>
      </c>
      <c r="L650" s="144" t="str">
        <f>IF(Formulario!H658&lt;&gt;"",IF(Formulario!H658=" "," ",Formulario!H658)," ")</f>
        <v xml:space="preserve"> </v>
      </c>
      <c r="M650" s="144" t="str">
        <f>IF(Formulario!I658&lt;&gt;"",IF(Formulario!I658=" "," ",Formulario!I658)," ")</f>
        <v xml:space="preserve"> </v>
      </c>
      <c r="N650" s="145" t="str">
        <f>IF(Formulario!J658&lt;&gt;"",IF(Formulario!J658=" "," ",Formulario!J658),IF(G650=".",".","Falta Fecha"))</f>
        <v>.</v>
      </c>
      <c r="O650" s="155">
        <f>Formulario!L658</f>
        <v>0</v>
      </c>
      <c r="P650" s="146">
        <f>IF(O650=1,"09:00",Formulario!M658)</f>
        <v>0</v>
      </c>
      <c r="Q650" s="146">
        <f>IF(O650=1,"18:30",Formulario!N658)</f>
        <v>0</v>
      </c>
      <c r="R650" s="146" t="str">
        <f>IF(Formulario!O658&lt;&gt;"",IF(Formulario!O658=" ",".",Formulario!O658),".")</f>
        <v>.</v>
      </c>
      <c r="S650" s="141" t="s">
        <v>131</v>
      </c>
    </row>
    <row r="651" spans="1:19">
      <c r="A651" s="141">
        <f>Formulario!B659</f>
        <v>0</v>
      </c>
      <c r="B651" s="144" t="str">
        <f>IF(G651="."," ",Formulario!D$5)</f>
        <v xml:space="preserve"> </v>
      </c>
      <c r="C651" s="144" t="str">
        <f>IF(G651=".","",Formulario!D$6)</f>
        <v/>
      </c>
      <c r="D651" s="144" t="str">
        <f>IF(H651=".","",Formulario!D$7)</f>
        <v/>
      </c>
      <c r="E651" s="144" t="str">
        <f>IF(G651=".","",Formulario!J$5)</f>
        <v/>
      </c>
      <c r="F651" s="145" t="str">
        <f>IF(G651=".","",Formulario!J$6)</f>
        <v/>
      </c>
      <c r="G651" s="180" t="str">
        <f>IF(Formulario!C659&lt;&gt;"",IF(Formulario!C659=" ","Falta Depto",IF(H651=".","Error En Descripción",Formulario!C659)),IF(H651=".",".","Falta Datos"))</f>
        <v>.</v>
      </c>
      <c r="H651" s="144" t="str">
        <f>IF(Formulario!D659&lt;&gt;"",IF(Formulario!D659=" ",".",Formulario!D659),".")</f>
        <v>.</v>
      </c>
      <c r="I651" s="144" t="str">
        <f>IF(Formulario!E659&lt;&gt;"",IF(Formulario!E659=" "," ",Formulario!E659),IF(G651=".",".","Falta Propietario"))</f>
        <v>.</v>
      </c>
      <c r="J651" s="144" t="str">
        <f>IF(Formulario!F659&lt;&gt;"",IF(Formulario!F659=" "," ",Formulario!F659)," ")</f>
        <v xml:space="preserve"> </v>
      </c>
      <c r="K651" s="144" t="str">
        <f>IF(Formulario!G659&lt;&gt;"",IF(Formulario!G659=" "," ",Formulario!G659)," ")</f>
        <v xml:space="preserve"> </v>
      </c>
      <c r="L651" s="144" t="str">
        <f>IF(Formulario!H659&lt;&gt;"",IF(Formulario!H659=" "," ",Formulario!H659)," ")</f>
        <v xml:space="preserve"> </v>
      </c>
      <c r="M651" s="144" t="str">
        <f>IF(Formulario!I659&lt;&gt;"",IF(Formulario!I659=" "," ",Formulario!I659)," ")</f>
        <v xml:space="preserve"> </v>
      </c>
      <c r="N651" s="145" t="str">
        <f>IF(Formulario!J659&lt;&gt;"",IF(Formulario!J659=" "," ",Formulario!J659),IF(G651=".",".","Falta Fecha"))</f>
        <v>.</v>
      </c>
      <c r="O651" s="155">
        <f>Formulario!L659</f>
        <v>0</v>
      </c>
      <c r="P651" s="146">
        <f>IF(O651=1,"09:00",Formulario!M659)</f>
        <v>0</v>
      </c>
      <c r="Q651" s="146">
        <f>IF(O651=1,"18:30",Formulario!N659)</f>
        <v>0</v>
      </c>
      <c r="R651" s="146" t="str">
        <f>IF(Formulario!O659&lt;&gt;"",IF(Formulario!O659=" ",".",Formulario!O659),".")</f>
        <v>.</v>
      </c>
      <c r="S651" s="141" t="s">
        <v>131</v>
      </c>
    </row>
    <row r="652" spans="1:19">
      <c r="A652" s="141">
        <f>Formulario!B660</f>
        <v>0</v>
      </c>
      <c r="B652" s="144" t="str">
        <f>IF(G652="."," ",Formulario!D$5)</f>
        <v xml:space="preserve"> </v>
      </c>
      <c r="C652" s="144" t="str">
        <f>IF(G652=".","",Formulario!D$6)</f>
        <v/>
      </c>
      <c r="D652" s="144" t="str">
        <f>IF(H652=".","",Formulario!D$7)</f>
        <v/>
      </c>
      <c r="E652" s="144" t="str">
        <f>IF(G652=".","",Formulario!J$5)</f>
        <v/>
      </c>
      <c r="F652" s="145" t="str">
        <f>IF(G652=".","",Formulario!J$6)</f>
        <v/>
      </c>
      <c r="G652" s="180" t="str">
        <f>IF(Formulario!C660&lt;&gt;"",IF(Formulario!C660=" ","Falta Depto",IF(H652=".","Error En Descripción",Formulario!C660)),IF(H652=".",".","Falta Datos"))</f>
        <v>.</v>
      </c>
      <c r="H652" s="144" t="str">
        <f>IF(Formulario!D660&lt;&gt;"",IF(Formulario!D660=" ",".",Formulario!D660),".")</f>
        <v>.</v>
      </c>
      <c r="I652" s="144" t="str">
        <f>IF(Formulario!E660&lt;&gt;"",IF(Formulario!E660=" "," ",Formulario!E660),IF(G652=".",".","Falta Propietario"))</f>
        <v>.</v>
      </c>
      <c r="J652" s="144" t="str">
        <f>IF(Formulario!F660&lt;&gt;"",IF(Formulario!F660=" "," ",Formulario!F660)," ")</f>
        <v xml:space="preserve"> </v>
      </c>
      <c r="K652" s="144" t="str">
        <f>IF(Formulario!G660&lt;&gt;"",IF(Formulario!G660=" "," ",Formulario!G660)," ")</f>
        <v xml:space="preserve"> </v>
      </c>
      <c r="L652" s="144" t="str">
        <f>IF(Formulario!H660&lt;&gt;"",IF(Formulario!H660=" "," ",Formulario!H660)," ")</f>
        <v xml:space="preserve"> </v>
      </c>
      <c r="M652" s="144" t="str">
        <f>IF(Formulario!I660&lt;&gt;"",IF(Formulario!I660=" "," ",Formulario!I660)," ")</f>
        <v xml:space="preserve"> </v>
      </c>
      <c r="N652" s="145" t="str">
        <f>IF(Formulario!J660&lt;&gt;"",IF(Formulario!J660=" "," ",Formulario!J660),IF(G652=".",".","Falta Fecha"))</f>
        <v>.</v>
      </c>
      <c r="O652" s="155">
        <f>Formulario!L660</f>
        <v>0</v>
      </c>
      <c r="P652" s="146">
        <f>IF(O652=1,"09:00",Formulario!M660)</f>
        <v>0</v>
      </c>
      <c r="Q652" s="146">
        <f>IF(O652=1,"18:30",Formulario!N660)</f>
        <v>0</v>
      </c>
      <c r="R652" s="146" t="str">
        <f>IF(Formulario!O660&lt;&gt;"",IF(Formulario!O660=" ",".",Formulario!O660),".")</f>
        <v>.</v>
      </c>
      <c r="S652" s="141" t="s">
        <v>131</v>
      </c>
    </row>
    <row r="653" spans="1:19">
      <c r="A653" s="141">
        <f>Formulario!B661</f>
        <v>0</v>
      </c>
      <c r="B653" s="144" t="str">
        <f>IF(G653="."," ",Formulario!D$5)</f>
        <v xml:space="preserve"> </v>
      </c>
      <c r="C653" s="144" t="str">
        <f>IF(G653=".","",Formulario!D$6)</f>
        <v/>
      </c>
      <c r="D653" s="144" t="str">
        <f>IF(H653=".","",Formulario!D$7)</f>
        <v/>
      </c>
      <c r="E653" s="144" t="str">
        <f>IF(G653=".","",Formulario!J$5)</f>
        <v/>
      </c>
      <c r="F653" s="145" t="str">
        <f>IF(G653=".","",Formulario!J$6)</f>
        <v/>
      </c>
      <c r="G653" s="180" t="str">
        <f>IF(Formulario!C661&lt;&gt;"",IF(Formulario!C661=" ","Falta Depto",IF(H653=".","Error En Descripción",Formulario!C661)),IF(H653=".",".","Falta Datos"))</f>
        <v>.</v>
      </c>
      <c r="H653" s="144" t="str">
        <f>IF(Formulario!D661&lt;&gt;"",IF(Formulario!D661=" ",".",Formulario!D661),".")</f>
        <v>.</v>
      </c>
      <c r="I653" s="144" t="str">
        <f>IF(Formulario!E661&lt;&gt;"",IF(Formulario!E661=" "," ",Formulario!E661),IF(G653=".",".","Falta Propietario"))</f>
        <v>.</v>
      </c>
      <c r="J653" s="144" t="str">
        <f>IF(Formulario!F661&lt;&gt;"",IF(Formulario!F661=" "," ",Formulario!F661)," ")</f>
        <v xml:space="preserve"> </v>
      </c>
      <c r="K653" s="144" t="str">
        <f>IF(Formulario!G661&lt;&gt;"",IF(Formulario!G661=" "," ",Formulario!G661)," ")</f>
        <v xml:space="preserve"> </v>
      </c>
      <c r="L653" s="144" t="str">
        <f>IF(Formulario!H661&lt;&gt;"",IF(Formulario!H661=" "," ",Formulario!H661)," ")</f>
        <v xml:space="preserve"> </v>
      </c>
      <c r="M653" s="144" t="str">
        <f>IF(Formulario!I661&lt;&gt;"",IF(Formulario!I661=" "," ",Formulario!I661)," ")</f>
        <v xml:space="preserve"> </v>
      </c>
      <c r="N653" s="145" t="str">
        <f>IF(Formulario!J661&lt;&gt;"",IF(Formulario!J661=" "," ",Formulario!J661),IF(G653=".",".","Falta Fecha"))</f>
        <v>.</v>
      </c>
      <c r="O653" s="155">
        <f>Formulario!L661</f>
        <v>0</v>
      </c>
      <c r="P653" s="146">
        <f>IF(O653=1,"09:00",Formulario!M661)</f>
        <v>0</v>
      </c>
      <c r="Q653" s="146">
        <f>IF(O653=1,"18:30",Formulario!N661)</f>
        <v>0</v>
      </c>
      <c r="R653" s="146" t="str">
        <f>IF(Formulario!O661&lt;&gt;"",IF(Formulario!O661=" ",".",Formulario!O661),".")</f>
        <v>.</v>
      </c>
      <c r="S653" s="141" t="s">
        <v>131</v>
      </c>
    </row>
    <row r="654" spans="1:19">
      <c r="A654" s="141">
        <f>Formulario!B662</f>
        <v>0</v>
      </c>
      <c r="B654" s="144" t="str">
        <f>IF(G654="."," ",Formulario!D$5)</f>
        <v xml:space="preserve"> </v>
      </c>
      <c r="C654" s="144" t="str">
        <f>IF(G654=".","",Formulario!D$6)</f>
        <v/>
      </c>
      <c r="D654" s="144" t="str">
        <f>IF(H654=".","",Formulario!D$7)</f>
        <v/>
      </c>
      <c r="E654" s="144" t="str">
        <f>IF(G654=".","",Formulario!J$5)</f>
        <v/>
      </c>
      <c r="F654" s="145" t="str">
        <f>IF(G654=".","",Formulario!J$6)</f>
        <v/>
      </c>
      <c r="G654" s="180" t="str">
        <f>IF(Formulario!C662&lt;&gt;"",IF(Formulario!C662=" ","Falta Depto",IF(H654=".","Error En Descripción",Formulario!C662)),IF(H654=".",".","Falta Datos"))</f>
        <v>.</v>
      </c>
      <c r="H654" s="144" t="str">
        <f>IF(Formulario!D662&lt;&gt;"",IF(Formulario!D662=" ",".",Formulario!D662),".")</f>
        <v>.</v>
      </c>
      <c r="I654" s="144" t="str">
        <f>IF(Formulario!E662&lt;&gt;"",IF(Formulario!E662=" "," ",Formulario!E662),IF(G654=".",".","Falta Propietario"))</f>
        <v>.</v>
      </c>
      <c r="J654" s="144" t="str">
        <f>IF(Formulario!F662&lt;&gt;"",IF(Formulario!F662=" "," ",Formulario!F662)," ")</f>
        <v xml:space="preserve"> </v>
      </c>
      <c r="K654" s="144" t="str">
        <f>IF(Formulario!G662&lt;&gt;"",IF(Formulario!G662=" "," ",Formulario!G662)," ")</f>
        <v xml:space="preserve"> </v>
      </c>
      <c r="L654" s="144" t="str">
        <f>IF(Formulario!H662&lt;&gt;"",IF(Formulario!H662=" "," ",Formulario!H662)," ")</f>
        <v xml:space="preserve"> </v>
      </c>
      <c r="M654" s="144" t="str">
        <f>IF(Formulario!I662&lt;&gt;"",IF(Formulario!I662=" "," ",Formulario!I662)," ")</f>
        <v xml:space="preserve"> </v>
      </c>
      <c r="N654" s="145" t="str">
        <f>IF(Formulario!J662&lt;&gt;"",IF(Formulario!J662=" "," ",Formulario!J662),IF(G654=".",".","Falta Fecha"))</f>
        <v>.</v>
      </c>
      <c r="O654" s="155">
        <f>Formulario!L662</f>
        <v>0</v>
      </c>
      <c r="P654" s="146">
        <f>IF(O654=1,"09:00",Formulario!M662)</f>
        <v>0</v>
      </c>
      <c r="Q654" s="146">
        <f>IF(O654=1,"18:30",Formulario!N662)</f>
        <v>0</v>
      </c>
      <c r="R654" s="146" t="str">
        <f>IF(Formulario!O662&lt;&gt;"",IF(Formulario!O662=" ",".",Formulario!O662),".")</f>
        <v>.</v>
      </c>
      <c r="S654" s="141" t="s">
        <v>131</v>
      </c>
    </row>
    <row r="655" spans="1:19">
      <c r="A655" s="141">
        <f>Formulario!B663</f>
        <v>0</v>
      </c>
      <c r="B655" s="144" t="str">
        <f>IF(G655="."," ",Formulario!D$5)</f>
        <v xml:space="preserve"> </v>
      </c>
      <c r="C655" s="144" t="str">
        <f>IF(G655=".","",Formulario!D$6)</f>
        <v/>
      </c>
      <c r="D655" s="144" t="str">
        <f>IF(H655=".","",Formulario!D$7)</f>
        <v/>
      </c>
      <c r="E655" s="144" t="str">
        <f>IF(G655=".","",Formulario!J$5)</f>
        <v/>
      </c>
      <c r="F655" s="145" t="str">
        <f>IF(G655=".","",Formulario!J$6)</f>
        <v/>
      </c>
      <c r="G655" s="180" t="str">
        <f>IF(Formulario!C663&lt;&gt;"",IF(Formulario!C663=" ","Falta Depto",IF(H655=".","Error En Descripción",Formulario!C663)),IF(H655=".",".","Falta Datos"))</f>
        <v>.</v>
      </c>
      <c r="H655" s="144" t="str">
        <f>IF(Formulario!D663&lt;&gt;"",IF(Formulario!D663=" ",".",Formulario!D663),".")</f>
        <v>.</v>
      </c>
      <c r="I655" s="144" t="str">
        <f>IF(Formulario!E663&lt;&gt;"",IF(Formulario!E663=" "," ",Formulario!E663),IF(G655=".",".","Falta Propietario"))</f>
        <v>.</v>
      </c>
      <c r="J655" s="144" t="str">
        <f>IF(Formulario!F663&lt;&gt;"",IF(Formulario!F663=" "," ",Formulario!F663)," ")</f>
        <v xml:space="preserve"> </v>
      </c>
      <c r="K655" s="144" t="str">
        <f>IF(Formulario!G663&lt;&gt;"",IF(Formulario!G663=" "," ",Formulario!G663)," ")</f>
        <v xml:space="preserve"> </v>
      </c>
      <c r="L655" s="144" t="str">
        <f>IF(Formulario!H663&lt;&gt;"",IF(Formulario!H663=" "," ",Formulario!H663)," ")</f>
        <v xml:space="preserve"> </v>
      </c>
      <c r="M655" s="144" t="str">
        <f>IF(Formulario!I663&lt;&gt;"",IF(Formulario!I663=" "," ",Formulario!I663)," ")</f>
        <v xml:space="preserve"> </v>
      </c>
      <c r="N655" s="145" t="str">
        <f>IF(Formulario!J663&lt;&gt;"",IF(Formulario!J663=" "," ",Formulario!J663),IF(G655=".",".","Falta Fecha"))</f>
        <v>.</v>
      </c>
      <c r="O655" s="155">
        <f>Formulario!L663</f>
        <v>0</v>
      </c>
      <c r="P655" s="146">
        <f>IF(O655=1,"09:00",Formulario!M663)</f>
        <v>0</v>
      </c>
      <c r="Q655" s="146">
        <f>IF(O655=1,"18:30",Formulario!N663)</f>
        <v>0</v>
      </c>
      <c r="R655" s="146" t="str">
        <f>IF(Formulario!O663&lt;&gt;"",IF(Formulario!O663=" ",".",Formulario!O663),".")</f>
        <v>.</v>
      </c>
      <c r="S655" s="141" t="s">
        <v>131</v>
      </c>
    </row>
    <row r="656" spans="1:19">
      <c r="A656" s="141">
        <f>Formulario!B664</f>
        <v>0</v>
      </c>
      <c r="B656" s="144" t="str">
        <f>IF(G656="."," ",Formulario!D$5)</f>
        <v xml:space="preserve"> </v>
      </c>
      <c r="C656" s="144" t="str">
        <f>IF(G656=".","",Formulario!D$6)</f>
        <v/>
      </c>
      <c r="D656" s="144" t="str">
        <f>IF(H656=".","",Formulario!D$7)</f>
        <v/>
      </c>
      <c r="E656" s="144" t="str">
        <f>IF(G656=".","",Formulario!J$5)</f>
        <v/>
      </c>
      <c r="F656" s="145" t="str">
        <f>IF(G656=".","",Formulario!J$6)</f>
        <v/>
      </c>
      <c r="G656" s="180" t="str">
        <f>IF(Formulario!C664&lt;&gt;"",IF(Formulario!C664=" ","Falta Depto",IF(H656=".","Error En Descripción",Formulario!C664)),IF(H656=".",".","Falta Datos"))</f>
        <v>.</v>
      </c>
      <c r="H656" s="144" t="str">
        <f>IF(Formulario!D664&lt;&gt;"",IF(Formulario!D664=" ",".",Formulario!D664),".")</f>
        <v>.</v>
      </c>
      <c r="I656" s="144" t="str">
        <f>IF(Formulario!E664&lt;&gt;"",IF(Formulario!E664=" "," ",Formulario!E664),IF(G656=".",".","Falta Propietario"))</f>
        <v>.</v>
      </c>
      <c r="J656" s="144" t="str">
        <f>IF(Formulario!F664&lt;&gt;"",IF(Formulario!F664=" "," ",Formulario!F664)," ")</f>
        <v xml:space="preserve"> </v>
      </c>
      <c r="K656" s="144" t="str">
        <f>IF(Formulario!G664&lt;&gt;"",IF(Formulario!G664=" "," ",Formulario!G664)," ")</f>
        <v xml:space="preserve"> </v>
      </c>
      <c r="L656" s="144" t="str">
        <f>IF(Formulario!H664&lt;&gt;"",IF(Formulario!H664=" "," ",Formulario!H664)," ")</f>
        <v xml:space="preserve"> </v>
      </c>
      <c r="M656" s="144" t="str">
        <f>IF(Formulario!I664&lt;&gt;"",IF(Formulario!I664=" "," ",Formulario!I664)," ")</f>
        <v xml:space="preserve"> </v>
      </c>
      <c r="N656" s="145" t="str">
        <f>IF(Formulario!J664&lt;&gt;"",IF(Formulario!J664=" "," ",Formulario!J664),IF(G656=".",".","Falta Fecha"))</f>
        <v>.</v>
      </c>
      <c r="O656" s="155">
        <f>Formulario!L664</f>
        <v>0</v>
      </c>
      <c r="P656" s="146">
        <f>IF(O656=1,"09:00",Formulario!M664)</f>
        <v>0</v>
      </c>
      <c r="Q656" s="146">
        <f>IF(O656=1,"18:30",Formulario!N664)</f>
        <v>0</v>
      </c>
      <c r="R656" s="146" t="str">
        <f>IF(Formulario!O664&lt;&gt;"",IF(Formulario!O664=" ",".",Formulario!O664),".")</f>
        <v>.</v>
      </c>
      <c r="S656" s="141" t="s">
        <v>131</v>
      </c>
    </row>
    <row r="657" spans="1:19">
      <c r="A657" s="141">
        <f>Formulario!B665</f>
        <v>0</v>
      </c>
      <c r="B657" s="144" t="str">
        <f>IF(G657="."," ",Formulario!D$5)</f>
        <v xml:space="preserve"> </v>
      </c>
      <c r="C657" s="144" t="str">
        <f>IF(G657=".","",Formulario!D$6)</f>
        <v/>
      </c>
      <c r="D657" s="144" t="str">
        <f>IF(H657=".","",Formulario!D$7)</f>
        <v/>
      </c>
      <c r="E657" s="144" t="str">
        <f>IF(G657=".","",Formulario!J$5)</f>
        <v/>
      </c>
      <c r="F657" s="145" t="str">
        <f>IF(G657=".","",Formulario!J$6)</f>
        <v/>
      </c>
      <c r="G657" s="180" t="str">
        <f>IF(Formulario!C665&lt;&gt;"",IF(Formulario!C665=" ","Falta Depto",IF(H657=".","Error En Descripción",Formulario!C665)),IF(H657=".",".","Falta Datos"))</f>
        <v>.</v>
      </c>
      <c r="H657" s="144" t="str">
        <f>IF(Formulario!D665&lt;&gt;"",IF(Formulario!D665=" ",".",Formulario!D665),".")</f>
        <v>.</v>
      </c>
      <c r="I657" s="144" t="str">
        <f>IF(Formulario!E665&lt;&gt;"",IF(Formulario!E665=" "," ",Formulario!E665),IF(G657=".",".","Falta Propietario"))</f>
        <v>.</v>
      </c>
      <c r="J657" s="144" t="str">
        <f>IF(Formulario!F665&lt;&gt;"",IF(Formulario!F665=" "," ",Formulario!F665)," ")</f>
        <v xml:space="preserve"> </v>
      </c>
      <c r="K657" s="144" t="str">
        <f>IF(Formulario!G665&lt;&gt;"",IF(Formulario!G665=" "," ",Formulario!G665)," ")</f>
        <v xml:space="preserve"> </v>
      </c>
      <c r="L657" s="144" t="str">
        <f>IF(Formulario!H665&lt;&gt;"",IF(Formulario!H665=" "," ",Formulario!H665)," ")</f>
        <v xml:space="preserve"> </v>
      </c>
      <c r="M657" s="144" t="str">
        <f>IF(Formulario!I665&lt;&gt;"",IF(Formulario!I665=" "," ",Formulario!I665)," ")</f>
        <v xml:space="preserve"> </v>
      </c>
      <c r="N657" s="145" t="str">
        <f>IF(Formulario!J665&lt;&gt;"",IF(Formulario!J665=" "," ",Formulario!J665),IF(G657=".",".","Falta Fecha"))</f>
        <v>.</v>
      </c>
      <c r="O657" s="155">
        <f>Formulario!L665</f>
        <v>0</v>
      </c>
      <c r="P657" s="146">
        <f>IF(O657=1,"09:00",Formulario!M665)</f>
        <v>0</v>
      </c>
      <c r="Q657" s="146">
        <f>IF(O657=1,"18:30",Formulario!N665)</f>
        <v>0</v>
      </c>
      <c r="R657" s="146" t="str">
        <f>IF(Formulario!O665&lt;&gt;"",IF(Formulario!O665=" ",".",Formulario!O665),".")</f>
        <v>.</v>
      </c>
      <c r="S657" s="141" t="s">
        <v>131</v>
      </c>
    </row>
    <row r="658" spans="1:19">
      <c r="A658" s="141">
        <f>Formulario!B666</f>
        <v>0</v>
      </c>
      <c r="B658" s="144" t="str">
        <f>IF(G658="."," ",Formulario!D$5)</f>
        <v xml:space="preserve"> </v>
      </c>
      <c r="C658" s="144" t="str">
        <f>IF(G658=".","",Formulario!D$6)</f>
        <v/>
      </c>
      <c r="D658" s="144" t="str">
        <f>IF(H658=".","",Formulario!D$7)</f>
        <v/>
      </c>
      <c r="E658" s="144" t="str">
        <f>IF(G658=".","",Formulario!J$5)</f>
        <v/>
      </c>
      <c r="F658" s="145" t="str">
        <f>IF(G658=".","",Formulario!J$6)</f>
        <v/>
      </c>
      <c r="G658" s="180" t="str">
        <f>IF(Formulario!C666&lt;&gt;"",IF(Formulario!C666=" ","Falta Depto",IF(H658=".","Error En Descripción",Formulario!C666)),IF(H658=".",".","Falta Datos"))</f>
        <v>.</v>
      </c>
      <c r="H658" s="144" t="str">
        <f>IF(Formulario!D666&lt;&gt;"",IF(Formulario!D666=" ",".",Formulario!D666),".")</f>
        <v>.</v>
      </c>
      <c r="I658" s="144" t="str">
        <f>IF(Formulario!E666&lt;&gt;"",IF(Formulario!E666=" "," ",Formulario!E666),IF(G658=".",".","Falta Propietario"))</f>
        <v>.</v>
      </c>
      <c r="J658" s="144" t="str">
        <f>IF(Formulario!F666&lt;&gt;"",IF(Formulario!F666=" "," ",Formulario!F666)," ")</f>
        <v xml:space="preserve"> </v>
      </c>
      <c r="K658" s="144" t="str">
        <f>IF(Formulario!G666&lt;&gt;"",IF(Formulario!G666=" "," ",Formulario!G666)," ")</f>
        <v xml:space="preserve"> </v>
      </c>
      <c r="L658" s="144" t="str">
        <f>IF(Formulario!H666&lt;&gt;"",IF(Formulario!H666=" "," ",Formulario!H666)," ")</f>
        <v xml:space="preserve"> </v>
      </c>
      <c r="M658" s="144" t="str">
        <f>IF(Formulario!I666&lt;&gt;"",IF(Formulario!I666=" "," ",Formulario!I666)," ")</f>
        <v xml:space="preserve"> </v>
      </c>
      <c r="N658" s="145" t="str">
        <f>IF(Formulario!J666&lt;&gt;"",IF(Formulario!J666=" "," ",Formulario!J666),IF(G658=".",".","Falta Fecha"))</f>
        <v>.</v>
      </c>
      <c r="O658" s="155">
        <f>Formulario!L666</f>
        <v>0</v>
      </c>
      <c r="P658" s="146">
        <f>IF(O658=1,"09:00",Formulario!M666)</f>
        <v>0</v>
      </c>
      <c r="Q658" s="146">
        <f>IF(O658=1,"18:30",Formulario!N666)</f>
        <v>0</v>
      </c>
      <c r="R658" s="146" t="str">
        <f>IF(Formulario!O666&lt;&gt;"",IF(Formulario!O666=" ",".",Formulario!O666),".")</f>
        <v>.</v>
      </c>
      <c r="S658" s="141" t="s">
        <v>131</v>
      </c>
    </row>
    <row r="659" spans="1:19">
      <c r="A659" s="141">
        <f>Formulario!B667</f>
        <v>0</v>
      </c>
      <c r="B659" s="144" t="str">
        <f>IF(G659="."," ",Formulario!D$5)</f>
        <v xml:space="preserve"> </v>
      </c>
      <c r="C659" s="144" t="str">
        <f>IF(G659=".","",Formulario!D$6)</f>
        <v/>
      </c>
      <c r="D659" s="144" t="str">
        <f>IF(H659=".","",Formulario!D$7)</f>
        <v/>
      </c>
      <c r="E659" s="144" t="str">
        <f>IF(G659=".","",Formulario!J$5)</f>
        <v/>
      </c>
      <c r="F659" s="145" t="str">
        <f>IF(G659=".","",Formulario!J$6)</f>
        <v/>
      </c>
      <c r="G659" s="180" t="str">
        <f>IF(Formulario!C667&lt;&gt;"",IF(Formulario!C667=" ","Falta Depto",IF(H659=".","Error En Descripción",Formulario!C667)),IF(H659=".",".","Falta Datos"))</f>
        <v>.</v>
      </c>
      <c r="H659" s="144" t="str">
        <f>IF(Formulario!D667&lt;&gt;"",IF(Formulario!D667=" ",".",Formulario!D667),".")</f>
        <v>.</v>
      </c>
      <c r="I659" s="144" t="str">
        <f>IF(Formulario!E667&lt;&gt;"",IF(Formulario!E667=" "," ",Formulario!E667),IF(G659=".",".","Falta Propietario"))</f>
        <v>.</v>
      </c>
      <c r="J659" s="144" t="str">
        <f>IF(Formulario!F667&lt;&gt;"",IF(Formulario!F667=" "," ",Formulario!F667)," ")</f>
        <v xml:space="preserve"> </v>
      </c>
      <c r="K659" s="144" t="str">
        <f>IF(Formulario!G667&lt;&gt;"",IF(Formulario!G667=" "," ",Formulario!G667)," ")</f>
        <v xml:space="preserve"> </v>
      </c>
      <c r="L659" s="144" t="str">
        <f>IF(Formulario!H667&lt;&gt;"",IF(Formulario!H667=" "," ",Formulario!H667)," ")</f>
        <v xml:space="preserve"> </v>
      </c>
      <c r="M659" s="144" t="str">
        <f>IF(Formulario!I667&lt;&gt;"",IF(Formulario!I667=" "," ",Formulario!I667)," ")</f>
        <v xml:space="preserve"> </v>
      </c>
      <c r="N659" s="145" t="str">
        <f>IF(Formulario!J667&lt;&gt;"",IF(Formulario!J667=" "," ",Formulario!J667),IF(G659=".",".","Falta Fecha"))</f>
        <v>.</v>
      </c>
      <c r="O659" s="155">
        <f>Formulario!L667</f>
        <v>0</v>
      </c>
      <c r="P659" s="146">
        <f>IF(O659=1,"09:00",Formulario!M667)</f>
        <v>0</v>
      </c>
      <c r="Q659" s="146">
        <f>IF(O659=1,"18:30",Formulario!N667)</f>
        <v>0</v>
      </c>
      <c r="R659" s="146" t="str">
        <f>IF(Formulario!O667&lt;&gt;"",IF(Formulario!O667=" ",".",Formulario!O667),".")</f>
        <v>.</v>
      </c>
      <c r="S659" s="141" t="s">
        <v>131</v>
      </c>
    </row>
    <row r="660" spans="1:19">
      <c r="A660" s="141">
        <f>Formulario!B668</f>
        <v>0</v>
      </c>
      <c r="B660" s="144" t="str">
        <f>IF(G660="."," ",Formulario!D$5)</f>
        <v xml:space="preserve"> </v>
      </c>
      <c r="C660" s="144" t="str">
        <f>IF(G660=".","",Formulario!D$6)</f>
        <v/>
      </c>
      <c r="D660" s="144" t="str">
        <f>IF(H660=".","",Formulario!D$7)</f>
        <v/>
      </c>
      <c r="E660" s="144" t="str">
        <f>IF(G660=".","",Formulario!J$5)</f>
        <v/>
      </c>
      <c r="F660" s="145" t="str">
        <f>IF(G660=".","",Formulario!J$6)</f>
        <v/>
      </c>
      <c r="G660" s="180" t="str">
        <f>IF(Formulario!C668&lt;&gt;"",IF(Formulario!C668=" ","Falta Depto",IF(H660=".","Error En Descripción",Formulario!C668)),IF(H660=".",".","Falta Datos"))</f>
        <v>.</v>
      </c>
      <c r="H660" s="144" t="str">
        <f>IF(Formulario!D668&lt;&gt;"",IF(Formulario!D668=" ",".",Formulario!D668),".")</f>
        <v>.</v>
      </c>
      <c r="I660" s="144" t="str">
        <f>IF(Formulario!E668&lt;&gt;"",IF(Formulario!E668=" "," ",Formulario!E668),IF(G660=".",".","Falta Propietario"))</f>
        <v>.</v>
      </c>
      <c r="J660" s="144" t="str">
        <f>IF(Formulario!F668&lt;&gt;"",IF(Formulario!F668=" "," ",Formulario!F668)," ")</f>
        <v xml:space="preserve"> </v>
      </c>
      <c r="K660" s="144" t="str">
        <f>IF(Formulario!G668&lt;&gt;"",IF(Formulario!G668=" "," ",Formulario!G668)," ")</f>
        <v xml:space="preserve"> </v>
      </c>
      <c r="L660" s="144" t="str">
        <f>IF(Formulario!H668&lt;&gt;"",IF(Formulario!H668=" "," ",Formulario!H668)," ")</f>
        <v xml:space="preserve"> </v>
      </c>
      <c r="M660" s="144" t="str">
        <f>IF(Formulario!I668&lt;&gt;"",IF(Formulario!I668=" "," ",Formulario!I668)," ")</f>
        <v xml:space="preserve"> </v>
      </c>
      <c r="N660" s="145" t="str">
        <f>IF(Formulario!J668&lt;&gt;"",IF(Formulario!J668=" "," ",Formulario!J668),IF(G660=".",".","Falta Fecha"))</f>
        <v>.</v>
      </c>
      <c r="O660" s="155">
        <f>Formulario!L668</f>
        <v>0</v>
      </c>
      <c r="P660" s="146">
        <f>IF(O660=1,"09:00",Formulario!M668)</f>
        <v>0</v>
      </c>
      <c r="Q660" s="146">
        <f>IF(O660=1,"18:30",Formulario!N668)</f>
        <v>0</v>
      </c>
      <c r="R660" s="146" t="str">
        <f>IF(Formulario!O668&lt;&gt;"",IF(Formulario!O668=" ",".",Formulario!O668),".")</f>
        <v>.</v>
      </c>
      <c r="S660" s="141" t="s">
        <v>131</v>
      </c>
    </row>
    <row r="661" spans="1:19">
      <c r="A661" s="141">
        <f>Formulario!B669</f>
        <v>0</v>
      </c>
      <c r="B661" s="144" t="str">
        <f>IF(G661="."," ",Formulario!D$5)</f>
        <v xml:space="preserve"> </v>
      </c>
      <c r="C661" s="144" t="str">
        <f>IF(G661=".","",Formulario!D$6)</f>
        <v/>
      </c>
      <c r="D661" s="144" t="str">
        <f>IF(H661=".","",Formulario!D$7)</f>
        <v/>
      </c>
      <c r="E661" s="144" t="str">
        <f>IF(G661=".","",Formulario!J$5)</f>
        <v/>
      </c>
      <c r="F661" s="145" t="str">
        <f>IF(G661=".","",Formulario!J$6)</f>
        <v/>
      </c>
      <c r="G661" s="180" t="str">
        <f>IF(Formulario!C669&lt;&gt;"",IF(Formulario!C669=" ","Falta Depto",IF(H661=".","Error En Descripción",Formulario!C669)),IF(H661=".",".","Falta Datos"))</f>
        <v>.</v>
      </c>
      <c r="H661" s="144" t="str">
        <f>IF(Formulario!D669&lt;&gt;"",IF(Formulario!D669=" ",".",Formulario!D669),".")</f>
        <v>.</v>
      </c>
      <c r="I661" s="144" t="str">
        <f>IF(Formulario!E669&lt;&gt;"",IF(Formulario!E669=" "," ",Formulario!E669),IF(G661=".",".","Falta Propietario"))</f>
        <v>.</v>
      </c>
      <c r="J661" s="144" t="str">
        <f>IF(Formulario!F669&lt;&gt;"",IF(Formulario!F669=" "," ",Formulario!F669)," ")</f>
        <v xml:space="preserve"> </v>
      </c>
      <c r="K661" s="144" t="str">
        <f>IF(Formulario!G669&lt;&gt;"",IF(Formulario!G669=" "," ",Formulario!G669)," ")</f>
        <v xml:space="preserve"> </v>
      </c>
      <c r="L661" s="144" t="str">
        <f>IF(Formulario!H669&lt;&gt;"",IF(Formulario!H669=" "," ",Formulario!H669)," ")</f>
        <v xml:space="preserve"> </v>
      </c>
      <c r="M661" s="144" t="str">
        <f>IF(Formulario!I669&lt;&gt;"",IF(Formulario!I669=" "," ",Formulario!I669)," ")</f>
        <v xml:space="preserve"> </v>
      </c>
      <c r="N661" s="145" t="str">
        <f>IF(Formulario!J669&lt;&gt;"",IF(Formulario!J669=" "," ",Formulario!J669),IF(G661=".",".","Falta Fecha"))</f>
        <v>.</v>
      </c>
      <c r="O661" s="155">
        <f>Formulario!L669</f>
        <v>0</v>
      </c>
      <c r="P661" s="146">
        <f>IF(O661=1,"09:00",Formulario!M669)</f>
        <v>0</v>
      </c>
      <c r="Q661" s="146">
        <f>IF(O661=1,"18:30",Formulario!N669)</f>
        <v>0</v>
      </c>
      <c r="R661" s="146" t="str">
        <f>IF(Formulario!O669&lt;&gt;"",IF(Formulario!O669=" ",".",Formulario!O669),".")</f>
        <v>.</v>
      </c>
      <c r="S661" s="141" t="s">
        <v>131</v>
      </c>
    </row>
    <row r="662" spans="1:19">
      <c r="A662" s="141">
        <f>Formulario!B670</f>
        <v>0</v>
      </c>
      <c r="B662" s="144" t="str">
        <f>IF(G662="."," ",Formulario!D$5)</f>
        <v xml:space="preserve"> </v>
      </c>
      <c r="C662" s="144" t="str">
        <f>IF(G662=".","",Formulario!D$6)</f>
        <v/>
      </c>
      <c r="D662" s="144" t="str">
        <f>IF(H662=".","",Formulario!D$7)</f>
        <v/>
      </c>
      <c r="E662" s="144" t="str">
        <f>IF(G662=".","",Formulario!J$5)</f>
        <v/>
      </c>
      <c r="F662" s="145" t="str">
        <f>IF(G662=".","",Formulario!J$6)</f>
        <v/>
      </c>
      <c r="G662" s="180" t="str">
        <f>IF(Formulario!C670&lt;&gt;"",IF(Formulario!C670=" ","Falta Depto",IF(H662=".","Error En Descripción",Formulario!C670)),IF(H662=".",".","Falta Datos"))</f>
        <v>.</v>
      </c>
      <c r="H662" s="144" t="str">
        <f>IF(Formulario!D670&lt;&gt;"",IF(Formulario!D670=" ",".",Formulario!D670),".")</f>
        <v>.</v>
      </c>
      <c r="I662" s="144" t="str">
        <f>IF(Formulario!E670&lt;&gt;"",IF(Formulario!E670=" "," ",Formulario!E670),IF(G662=".",".","Falta Propietario"))</f>
        <v>.</v>
      </c>
      <c r="J662" s="144" t="str">
        <f>IF(Formulario!F670&lt;&gt;"",IF(Formulario!F670=" "," ",Formulario!F670)," ")</f>
        <v xml:space="preserve"> </v>
      </c>
      <c r="K662" s="144" t="str">
        <f>IF(Formulario!G670&lt;&gt;"",IF(Formulario!G670=" "," ",Formulario!G670)," ")</f>
        <v xml:space="preserve"> </v>
      </c>
      <c r="L662" s="144" t="str">
        <f>IF(Formulario!H670&lt;&gt;"",IF(Formulario!H670=" "," ",Formulario!H670)," ")</f>
        <v xml:space="preserve"> </v>
      </c>
      <c r="M662" s="144" t="str">
        <f>IF(Formulario!I670&lt;&gt;"",IF(Formulario!I670=" "," ",Formulario!I670)," ")</f>
        <v xml:space="preserve"> </v>
      </c>
      <c r="N662" s="145" t="str">
        <f>IF(Formulario!J670&lt;&gt;"",IF(Formulario!J670=" "," ",Formulario!J670),IF(G662=".",".","Falta Fecha"))</f>
        <v>.</v>
      </c>
      <c r="O662" s="155">
        <f>Formulario!L670</f>
        <v>0</v>
      </c>
      <c r="P662" s="146">
        <f>IF(O662=1,"09:00",Formulario!M670)</f>
        <v>0</v>
      </c>
      <c r="Q662" s="146">
        <f>IF(O662=1,"18:30",Formulario!N670)</f>
        <v>0</v>
      </c>
      <c r="R662" s="146" t="str">
        <f>IF(Formulario!O670&lt;&gt;"",IF(Formulario!O670=" ",".",Formulario!O670),".")</f>
        <v>.</v>
      </c>
      <c r="S662" s="141" t="s">
        <v>131</v>
      </c>
    </row>
    <row r="663" spans="1:19">
      <c r="A663" s="141">
        <f>Formulario!B671</f>
        <v>0</v>
      </c>
      <c r="B663" s="144" t="str">
        <f>IF(G663="."," ",Formulario!D$5)</f>
        <v xml:space="preserve"> </v>
      </c>
      <c r="C663" s="144" t="str">
        <f>IF(G663=".","",Formulario!D$6)</f>
        <v/>
      </c>
      <c r="D663" s="144" t="str">
        <f>IF(H663=".","",Formulario!D$7)</f>
        <v/>
      </c>
      <c r="E663" s="144" t="str">
        <f>IF(G663=".","",Formulario!J$5)</f>
        <v/>
      </c>
      <c r="F663" s="145" t="str">
        <f>IF(G663=".","",Formulario!J$6)</f>
        <v/>
      </c>
      <c r="G663" s="180" t="str">
        <f>IF(Formulario!C671&lt;&gt;"",IF(Formulario!C671=" ","Falta Depto",IF(H663=".","Error En Descripción",Formulario!C671)),IF(H663=".",".","Falta Datos"))</f>
        <v>.</v>
      </c>
      <c r="H663" s="144" t="str">
        <f>IF(Formulario!D671&lt;&gt;"",IF(Formulario!D671=" ",".",Formulario!D671),".")</f>
        <v>.</v>
      </c>
      <c r="I663" s="144" t="str">
        <f>IF(Formulario!E671&lt;&gt;"",IF(Formulario!E671=" "," ",Formulario!E671),IF(G663=".",".","Falta Propietario"))</f>
        <v>.</v>
      </c>
      <c r="J663" s="144" t="str">
        <f>IF(Formulario!F671&lt;&gt;"",IF(Formulario!F671=" "," ",Formulario!F671)," ")</f>
        <v xml:space="preserve"> </v>
      </c>
      <c r="K663" s="144" t="str">
        <f>IF(Formulario!G671&lt;&gt;"",IF(Formulario!G671=" "," ",Formulario!G671)," ")</f>
        <v xml:space="preserve"> </v>
      </c>
      <c r="L663" s="144" t="str">
        <f>IF(Formulario!H671&lt;&gt;"",IF(Formulario!H671=" "," ",Formulario!H671)," ")</f>
        <v xml:space="preserve"> </v>
      </c>
      <c r="M663" s="144" t="str">
        <f>IF(Formulario!I671&lt;&gt;"",IF(Formulario!I671=" "," ",Formulario!I671)," ")</f>
        <v xml:space="preserve"> </v>
      </c>
      <c r="N663" s="145" t="str">
        <f>IF(Formulario!J671&lt;&gt;"",IF(Formulario!J671=" "," ",Formulario!J671),IF(G663=".",".","Falta Fecha"))</f>
        <v>.</v>
      </c>
      <c r="O663" s="155">
        <f>Formulario!L671</f>
        <v>0</v>
      </c>
      <c r="P663" s="146">
        <f>IF(O663=1,"09:00",Formulario!M671)</f>
        <v>0</v>
      </c>
      <c r="Q663" s="146">
        <f>IF(O663=1,"18:30",Formulario!N671)</f>
        <v>0</v>
      </c>
      <c r="R663" s="146" t="str">
        <f>IF(Formulario!O671&lt;&gt;"",IF(Formulario!O671=" ",".",Formulario!O671),".")</f>
        <v>.</v>
      </c>
      <c r="S663" s="141" t="s">
        <v>131</v>
      </c>
    </row>
    <row r="664" spans="1:19">
      <c r="A664" s="141">
        <f>Formulario!B672</f>
        <v>0</v>
      </c>
      <c r="B664" s="144" t="str">
        <f>IF(G664="."," ",Formulario!D$5)</f>
        <v xml:space="preserve"> </v>
      </c>
      <c r="C664" s="144" t="str">
        <f>IF(G664=".","",Formulario!D$6)</f>
        <v/>
      </c>
      <c r="D664" s="144" t="str">
        <f>IF(H664=".","",Formulario!D$7)</f>
        <v/>
      </c>
      <c r="E664" s="144" t="str">
        <f>IF(G664=".","",Formulario!J$5)</f>
        <v/>
      </c>
      <c r="F664" s="145" t="str">
        <f>IF(G664=".","",Formulario!J$6)</f>
        <v/>
      </c>
      <c r="G664" s="180" t="str">
        <f>IF(Formulario!C672&lt;&gt;"",IF(Formulario!C672=" ","Falta Depto",IF(H664=".","Error En Descripción",Formulario!C672)),IF(H664=".",".","Falta Datos"))</f>
        <v>.</v>
      </c>
      <c r="H664" s="144" t="str">
        <f>IF(Formulario!D672&lt;&gt;"",IF(Formulario!D672=" ",".",Formulario!D672),".")</f>
        <v>.</v>
      </c>
      <c r="I664" s="144" t="str">
        <f>IF(Formulario!E672&lt;&gt;"",IF(Formulario!E672=" "," ",Formulario!E672),IF(G664=".",".","Falta Propietario"))</f>
        <v>.</v>
      </c>
      <c r="J664" s="144" t="str">
        <f>IF(Formulario!F672&lt;&gt;"",IF(Formulario!F672=" "," ",Formulario!F672)," ")</f>
        <v xml:space="preserve"> </v>
      </c>
      <c r="K664" s="144" t="str">
        <f>IF(Formulario!G672&lt;&gt;"",IF(Formulario!G672=" "," ",Formulario!G672)," ")</f>
        <v xml:space="preserve"> </v>
      </c>
      <c r="L664" s="144" t="str">
        <f>IF(Formulario!H672&lt;&gt;"",IF(Formulario!H672=" "," ",Formulario!H672)," ")</f>
        <v xml:space="preserve"> </v>
      </c>
      <c r="M664" s="144" t="str">
        <f>IF(Formulario!I672&lt;&gt;"",IF(Formulario!I672=" "," ",Formulario!I672)," ")</f>
        <v xml:space="preserve"> </v>
      </c>
      <c r="N664" s="145" t="str">
        <f>IF(Formulario!J672&lt;&gt;"",IF(Formulario!J672=" "," ",Formulario!J672),IF(G664=".",".","Falta Fecha"))</f>
        <v>.</v>
      </c>
      <c r="O664" s="155">
        <f>Formulario!L672</f>
        <v>0</v>
      </c>
      <c r="P664" s="146">
        <f>IF(O664=1,"09:00",Formulario!M672)</f>
        <v>0</v>
      </c>
      <c r="Q664" s="146">
        <f>IF(O664=1,"18:30",Formulario!N672)</f>
        <v>0</v>
      </c>
      <c r="R664" s="146" t="str">
        <f>IF(Formulario!O672&lt;&gt;"",IF(Formulario!O672=" ",".",Formulario!O672),".")</f>
        <v>.</v>
      </c>
      <c r="S664" s="141" t="s">
        <v>131</v>
      </c>
    </row>
    <row r="665" spans="1:19">
      <c r="A665" s="141">
        <f>Formulario!B673</f>
        <v>0</v>
      </c>
      <c r="B665" s="144" t="str">
        <f>IF(G665="."," ",Formulario!D$5)</f>
        <v xml:space="preserve"> </v>
      </c>
      <c r="C665" s="144" t="str">
        <f>IF(G665=".","",Formulario!D$6)</f>
        <v/>
      </c>
      <c r="D665" s="144" t="str">
        <f>IF(H665=".","",Formulario!D$7)</f>
        <v/>
      </c>
      <c r="E665" s="144" t="str">
        <f>IF(G665=".","",Formulario!J$5)</f>
        <v/>
      </c>
      <c r="F665" s="145" t="str">
        <f>IF(G665=".","",Formulario!J$6)</f>
        <v/>
      </c>
      <c r="G665" s="180" t="str">
        <f>IF(Formulario!C673&lt;&gt;"",IF(Formulario!C673=" ","Falta Depto",IF(H665=".","Error En Descripción",Formulario!C673)),IF(H665=".",".","Falta Datos"))</f>
        <v>.</v>
      </c>
      <c r="H665" s="144" t="str">
        <f>IF(Formulario!D673&lt;&gt;"",IF(Formulario!D673=" ",".",Formulario!D673),".")</f>
        <v>.</v>
      </c>
      <c r="I665" s="144" t="str">
        <f>IF(Formulario!E673&lt;&gt;"",IF(Formulario!E673=" "," ",Formulario!E673),IF(G665=".",".","Falta Propietario"))</f>
        <v>.</v>
      </c>
      <c r="J665" s="144" t="str">
        <f>IF(Formulario!F673&lt;&gt;"",IF(Formulario!F673=" "," ",Formulario!F673)," ")</f>
        <v xml:space="preserve"> </v>
      </c>
      <c r="K665" s="144" t="str">
        <f>IF(Formulario!G673&lt;&gt;"",IF(Formulario!G673=" "," ",Formulario!G673)," ")</f>
        <v xml:space="preserve"> </v>
      </c>
      <c r="L665" s="144" t="str">
        <f>IF(Formulario!H673&lt;&gt;"",IF(Formulario!H673=" "," ",Formulario!H673)," ")</f>
        <v xml:space="preserve"> </v>
      </c>
      <c r="M665" s="144" t="str">
        <f>IF(Formulario!I673&lt;&gt;"",IF(Formulario!I673=" "," ",Formulario!I673)," ")</f>
        <v xml:space="preserve"> </v>
      </c>
      <c r="N665" s="145" t="str">
        <f>IF(Formulario!J673&lt;&gt;"",IF(Formulario!J673=" "," ",Formulario!J673),IF(G665=".",".","Falta Fecha"))</f>
        <v>.</v>
      </c>
      <c r="O665" s="155">
        <f>Formulario!L673</f>
        <v>0</v>
      </c>
      <c r="P665" s="146">
        <f>IF(O665=1,"09:00",Formulario!M673)</f>
        <v>0</v>
      </c>
      <c r="Q665" s="146">
        <f>IF(O665=1,"18:30",Formulario!N673)</f>
        <v>0</v>
      </c>
      <c r="R665" s="146" t="str">
        <f>IF(Formulario!O673&lt;&gt;"",IF(Formulario!O673=" ",".",Formulario!O673),".")</f>
        <v>.</v>
      </c>
      <c r="S665" s="141" t="s">
        <v>131</v>
      </c>
    </row>
    <row r="666" spans="1:19">
      <c r="A666" s="141">
        <f>Formulario!B674</f>
        <v>0</v>
      </c>
      <c r="B666" s="144" t="str">
        <f>IF(G666="."," ",Formulario!D$5)</f>
        <v xml:space="preserve"> </v>
      </c>
      <c r="C666" s="144" t="str">
        <f>IF(G666=".","",Formulario!D$6)</f>
        <v/>
      </c>
      <c r="D666" s="144" t="str">
        <f>IF(H666=".","",Formulario!D$7)</f>
        <v/>
      </c>
      <c r="E666" s="144" t="str">
        <f>IF(G666=".","",Formulario!J$5)</f>
        <v/>
      </c>
      <c r="F666" s="145" t="str">
        <f>IF(G666=".","",Formulario!J$6)</f>
        <v/>
      </c>
      <c r="G666" s="180" t="str">
        <f>IF(Formulario!C674&lt;&gt;"",IF(Formulario!C674=" ","Falta Depto",IF(H666=".","Error En Descripción",Formulario!C674)),IF(H666=".",".","Falta Datos"))</f>
        <v>.</v>
      </c>
      <c r="H666" s="144" t="str">
        <f>IF(Formulario!D674&lt;&gt;"",IF(Formulario!D674=" ",".",Formulario!D674),".")</f>
        <v>.</v>
      </c>
      <c r="I666" s="144" t="str">
        <f>IF(Formulario!E674&lt;&gt;"",IF(Formulario!E674=" "," ",Formulario!E674),IF(G666=".",".","Falta Propietario"))</f>
        <v>.</v>
      </c>
      <c r="J666" s="144" t="str">
        <f>IF(Formulario!F674&lt;&gt;"",IF(Formulario!F674=" "," ",Formulario!F674)," ")</f>
        <v xml:space="preserve"> </v>
      </c>
      <c r="K666" s="144" t="str">
        <f>IF(Formulario!G674&lt;&gt;"",IF(Formulario!G674=" "," ",Formulario!G674)," ")</f>
        <v xml:space="preserve"> </v>
      </c>
      <c r="L666" s="144" t="str">
        <f>IF(Formulario!H674&lt;&gt;"",IF(Formulario!H674=" "," ",Formulario!H674)," ")</f>
        <v xml:space="preserve"> </v>
      </c>
      <c r="M666" s="144" t="str">
        <f>IF(Formulario!I674&lt;&gt;"",IF(Formulario!I674=" "," ",Formulario!I674)," ")</f>
        <v xml:space="preserve"> </v>
      </c>
      <c r="N666" s="145" t="str">
        <f>IF(Formulario!J674&lt;&gt;"",IF(Formulario!J674=" "," ",Formulario!J674),IF(G666=".",".","Falta Fecha"))</f>
        <v>.</v>
      </c>
      <c r="O666" s="155">
        <f>Formulario!L674</f>
        <v>0</v>
      </c>
      <c r="P666" s="146">
        <f>IF(O666=1,"09:00",Formulario!M674)</f>
        <v>0</v>
      </c>
      <c r="Q666" s="146">
        <f>IF(O666=1,"18:30",Formulario!N674)</f>
        <v>0</v>
      </c>
      <c r="R666" s="146" t="str">
        <f>IF(Formulario!O674&lt;&gt;"",IF(Formulario!O674=" ",".",Formulario!O674),".")</f>
        <v>.</v>
      </c>
      <c r="S666" s="141" t="s">
        <v>131</v>
      </c>
    </row>
    <row r="667" spans="1:19">
      <c r="A667" s="141">
        <f>Formulario!B675</f>
        <v>0</v>
      </c>
      <c r="B667" s="144" t="str">
        <f>IF(G667="."," ",Formulario!D$5)</f>
        <v xml:space="preserve"> </v>
      </c>
      <c r="C667" s="144" t="str">
        <f>IF(G667=".","",Formulario!D$6)</f>
        <v/>
      </c>
      <c r="D667" s="144" t="str">
        <f>IF(H667=".","",Formulario!D$7)</f>
        <v/>
      </c>
      <c r="E667" s="144" t="str">
        <f>IF(G667=".","",Formulario!J$5)</f>
        <v/>
      </c>
      <c r="F667" s="145" t="str">
        <f>IF(G667=".","",Formulario!J$6)</f>
        <v/>
      </c>
      <c r="G667" s="180" t="str">
        <f>IF(Formulario!C675&lt;&gt;"",IF(Formulario!C675=" ","Falta Depto",IF(H667=".","Error En Descripción",Formulario!C675)),IF(H667=".",".","Falta Datos"))</f>
        <v>.</v>
      </c>
      <c r="H667" s="144" t="str">
        <f>IF(Formulario!D675&lt;&gt;"",IF(Formulario!D675=" ",".",Formulario!D675),".")</f>
        <v>.</v>
      </c>
      <c r="I667" s="144" t="str">
        <f>IF(Formulario!E675&lt;&gt;"",IF(Formulario!E675=" "," ",Formulario!E675),IF(G667=".",".","Falta Propietario"))</f>
        <v>.</v>
      </c>
      <c r="J667" s="144" t="str">
        <f>IF(Formulario!F675&lt;&gt;"",IF(Formulario!F675=" "," ",Formulario!F675)," ")</f>
        <v xml:space="preserve"> </v>
      </c>
      <c r="K667" s="144" t="str">
        <f>IF(Formulario!G675&lt;&gt;"",IF(Formulario!G675=" "," ",Formulario!G675)," ")</f>
        <v xml:space="preserve"> </v>
      </c>
      <c r="L667" s="144" t="str">
        <f>IF(Formulario!H675&lt;&gt;"",IF(Formulario!H675=" "," ",Formulario!H675)," ")</f>
        <v xml:space="preserve"> </v>
      </c>
      <c r="M667" s="144" t="str">
        <f>IF(Formulario!I675&lt;&gt;"",IF(Formulario!I675=" "," ",Formulario!I675)," ")</f>
        <v xml:space="preserve"> </v>
      </c>
      <c r="N667" s="145" t="str">
        <f>IF(Formulario!J675&lt;&gt;"",IF(Formulario!J675=" "," ",Formulario!J675),IF(G667=".",".","Falta Fecha"))</f>
        <v>.</v>
      </c>
      <c r="O667" s="155">
        <f>Formulario!L675</f>
        <v>0</v>
      </c>
      <c r="P667" s="146">
        <f>IF(O667=1,"09:00",Formulario!M675)</f>
        <v>0</v>
      </c>
      <c r="Q667" s="146">
        <f>IF(O667=1,"18:30",Formulario!N675)</f>
        <v>0</v>
      </c>
      <c r="R667" s="146" t="str">
        <f>IF(Formulario!O675&lt;&gt;"",IF(Formulario!O675=" ",".",Formulario!O675),".")</f>
        <v>.</v>
      </c>
      <c r="S667" s="141" t="s">
        <v>131</v>
      </c>
    </row>
    <row r="668" spans="1:19">
      <c r="A668" s="141">
        <f>Formulario!B676</f>
        <v>0</v>
      </c>
      <c r="B668" s="144" t="str">
        <f>IF(G668="."," ",Formulario!D$5)</f>
        <v xml:space="preserve"> </v>
      </c>
      <c r="C668" s="144" t="str">
        <f>IF(G668=".","",Formulario!D$6)</f>
        <v/>
      </c>
      <c r="D668" s="144" t="str">
        <f>IF(H668=".","",Formulario!D$7)</f>
        <v/>
      </c>
      <c r="E668" s="144" t="str">
        <f>IF(G668=".","",Formulario!J$5)</f>
        <v/>
      </c>
      <c r="F668" s="145" t="str">
        <f>IF(G668=".","",Formulario!J$6)</f>
        <v/>
      </c>
      <c r="G668" s="180" t="str">
        <f>IF(Formulario!C676&lt;&gt;"",IF(Formulario!C676=" ","Falta Depto",IF(H668=".","Error En Descripción",Formulario!C676)),IF(H668=".",".","Falta Datos"))</f>
        <v>.</v>
      </c>
      <c r="H668" s="144" t="str">
        <f>IF(Formulario!D676&lt;&gt;"",IF(Formulario!D676=" ",".",Formulario!D676),".")</f>
        <v>.</v>
      </c>
      <c r="I668" s="144" t="str">
        <f>IF(Formulario!E676&lt;&gt;"",IF(Formulario!E676=" "," ",Formulario!E676),IF(G668=".",".","Falta Propietario"))</f>
        <v>.</v>
      </c>
      <c r="J668" s="144" t="str">
        <f>IF(Formulario!F676&lt;&gt;"",IF(Formulario!F676=" "," ",Formulario!F676)," ")</f>
        <v xml:space="preserve"> </v>
      </c>
      <c r="K668" s="144" t="str">
        <f>IF(Formulario!G676&lt;&gt;"",IF(Formulario!G676=" "," ",Formulario!G676)," ")</f>
        <v xml:space="preserve"> </v>
      </c>
      <c r="L668" s="144" t="str">
        <f>IF(Formulario!H676&lt;&gt;"",IF(Formulario!H676=" "," ",Formulario!H676)," ")</f>
        <v xml:space="preserve"> </v>
      </c>
      <c r="M668" s="144" t="str">
        <f>IF(Formulario!I676&lt;&gt;"",IF(Formulario!I676=" "," ",Formulario!I676)," ")</f>
        <v xml:space="preserve"> </v>
      </c>
      <c r="N668" s="145" t="str">
        <f>IF(Formulario!J676&lt;&gt;"",IF(Formulario!J676=" "," ",Formulario!J676),IF(G668=".",".","Falta Fecha"))</f>
        <v>.</v>
      </c>
      <c r="O668" s="155">
        <f>Formulario!L676</f>
        <v>0</v>
      </c>
      <c r="P668" s="146">
        <f>IF(O668=1,"09:00",Formulario!M676)</f>
        <v>0</v>
      </c>
      <c r="Q668" s="146">
        <f>IF(O668=1,"18:30",Formulario!N676)</f>
        <v>0</v>
      </c>
      <c r="R668" s="146" t="str">
        <f>IF(Formulario!O676&lt;&gt;"",IF(Formulario!O676=" ",".",Formulario!O676),".")</f>
        <v>.</v>
      </c>
      <c r="S668" s="141" t="s">
        <v>131</v>
      </c>
    </row>
    <row r="669" spans="1:19">
      <c r="A669" s="141">
        <f>Formulario!B677</f>
        <v>0</v>
      </c>
      <c r="B669" s="144" t="str">
        <f>IF(G669="."," ",Formulario!D$5)</f>
        <v xml:space="preserve"> </v>
      </c>
      <c r="C669" s="144" t="str">
        <f>IF(G669=".","",Formulario!D$6)</f>
        <v/>
      </c>
      <c r="D669" s="144" t="str">
        <f>IF(H669=".","",Formulario!D$7)</f>
        <v/>
      </c>
      <c r="E669" s="144" t="str">
        <f>IF(G669=".","",Formulario!J$5)</f>
        <v/>
      </c>
      <c r="F669" s="145" t="str">
        <f>IF(G669=".","",Formulario!J$6)</f>
        <v/>
      </c>
      <c r="G669" s="180" t="str">
        <f>IF(Formulario!C677&lt;&gt;"",IF(Formulario!C677=" ","Falta Depto",IF(H669=".","Error En Descripción",Formulario!C677)),IF(H669=".",".","Falta Datos"))</f>
        <v>.</v>
      </c>
      <c r="H669" s="144" t="str">
        <f>IF(Formulario!D677&lt;&gt;"",IF(Formulario!D677=" ",".",Formulario!D677),".")</f>
        <v>.</v>
      </c>
      <c r="I669" s="144" t="str">
        <f>IF(Formulario!E677&lt;&gt;"",IF(Formulario!E677=" "," ",Formulario!E677),IF(G669=".",".","Falta Propietario"))</f>
        <v>.</v>
      </c>
      <c r="J669" s="144" t="str">
        <f>IF(Formulario!F677&lt;&gt;"",IF(Formulario!F677=" "," ",Formulario!F677)," ")</f>
        <v xml:space="preserve"> </v>
      </c>
      <c r="K669" s="144" t="str">
        <f>IF(Formulario!G677&lt;&gt;"",IF(Formulario!G677=" "," ",Formulario!G677)," ")</f>
        <v xml:space="preserve"> </v>
      </c>
      <c r="L669" s="144" t="str">
        <f>IF(Formulario!H677&lt;&gt;"",IF(Formulario!H677=" "," ",Formulario!H677)," ")</f>
        <v xml:space="preserve"> </v>
      </c>
      <c r="M669" s="144" t="str">
        <f>IF(Formulario!I677&lt;&gt;"",IF(Formulario!I677=" "," ",Formulario!I677)," ")</f>
        <v xml:space="preserve"> </v>
      </c>
      <c r="N669" s="145" t="str">
        <f>IF(Formulario!J677&lt;&gt;"",IF(Formulario!J677=" "," ",Formulario!J677),IF(G669=".",".","Falta Fecha"))</f>
        <v>.</v>
      </c>
      <c r="O669" s="155">
        <f>Formulario!L677</f>
        <v>0</v>
      </c>
      <c r="P669" s="146">
        <f>IF(O669=1,"09:00",Formulario!M677)</f>
        <v>0</v>
      </c>
      <c r="Q669" s="146">
        <f>IF(O669=1,"18:30",Formulario!N677)</f>
        <v>0</v>
      </c>
      <c r="R669" s="146" t="str">
        <f>IF(Formulario!O677&lt;&gt;"",IF(Formulario!O677=" ",".",Formulario!O677),".")</f>
        <v>.</v>
      </c>
      <c r="S669" s="141" t="s">
        <v>131</v>
      </c>
    </row>
    <row r="670" spans="1:19">
      <c r="A670" s="141">
        <f>Formulario!B678</f>
        <v>0</v>
      </c>
      <c r="B670" s="144" t="str">
        <f>IF(G670="."," ",Formulario!D$5)</f>
        <v xml:space="preserve"> </v>
      </c>
      <c r="C670" s="144" t="str">
        <f>IF(G670=".","",Formulario!D$6)</f>
        <v/>
      </c>
      <c r="D670" s="144" t="str">
        <f>IF(H670=".","",Formulario!D$7)</f>
        <v/>
      </c>
      <c r="E670" s="144" t="str">
        <f>IF(G670=".","",Formulario!J$5)</f>
        <v/>
      </c>
      <c r="F670" s="145" t="str">
        <f>IF(G670=".","",Formulario!J$6)</f>
        <v/>
      </c>
      <c r="G670" s="180" t="str">
        <f>IF(Formulario!C678&lt;&gt;"",IF(Formulario!C678=" ","Falta Depto",IF(H670=".","Error En Descripción",Formulario!C678)),IF(H670=".",".","Falta Datos"))</f>
        <v>.</v>
      </c>
      <c r="H670" s="144" t="str">
        <f>IF(Formulario!D678&lt;&gt;"",IF(Formulario!D678=" ",".",Formulario!D678),".")</f>
        <v>.</v>
      </c>
      <c r="I670" s="144" t="str">
        <f>IF(Formulario!E678&lt;&gt;"",IF(Formulario!E678=" "," ",Formulario!E678),IF(G670=".",".","Falta Propietario"))</f>
        <v>.</v>
      </c>
      <c r="J670" s="144" t="str">
        <f>IF(Formulario!F678&lt;&gt;"",IF(Formulario!F678=" "," ",Formulario!F678)," ")</f>
        <v xml:space="preserve"> </v>
      </c>
      <c r="K670" s="144" t="str">
        <f>IF(Formulario!G678&lt;&gt;"",IF(Formulario!G678=" "," ",Formulario!G678)," ")</f>
        <v xml:space="preserve"> </v>
      </c>
      <c r="L670" s="144" t="str">
        <f>IF(Formulario!H678&lt;&gt;"",IF(Formulario!H678=" "," ",Formulario!H678)," ")</f>
        <v xml:space="preserve"> </v>
      </c>
      <c r="M670" s="144" t="str">
        <f>IF(Formulario!I678&lt;&gt;"",IF(Formulario!I678=" "," ",Formulario!I678)," ")</f>
        <v xml:space="preserve"> </v>
      </c>
      <c r="N670" s="145" t="str">
        <f>IF(Formulario!J678&lt;&gt;"",IF(Formulario!J678=" "," ",Formulario!J678),IF(G670=".",".","Falta Fecha"))</f>
        <v>.</v>
      </c>
      <c r="O670" s="155">
        <f>Formulario!L678</f>
        <v>0</v>
      </c>
      <c r="P670" s="146">
        <f>IF(O670=1,"09:00",Formulario!M678)</f>
        <v>0</v>
      </c>
      <c r="Q670" s="146">
        <f>IF(O670=1,"18:30",Formulario!N678)</f>
        <v>0</v>
      </c>
      <c r="R670" s="146" t="str">
        <f>IF(Formulario!O678&lt;&gt;"",IF(Formulario!O678=" ",".",Formulario!O678),".")</f>
        <v>.</v>
      </c>
      <c r="S670" s="141" t="s">
        <v>131</v>
      </c>
    </row>
    <row r="671" spans="1:19">
      <c r="A671" s="141">
        <f>Formulario!B679</f>
        <v>0</v>
      </c>
      <c r="B671" s="144" t="str">
        <f>IF(G671="."," ",Formulario!D$5)</f>
        <v xml:space="preserve"> </v>
      </c>
      <c r="C671" s="144" t="str">
        <f>IF(G671=".","",Formulario!D$6)</f>
        <v/>
      </c>
      <c r="D671" s="144" t="str">
        <f>IF(H671=".","",Formulario!D$7)</f>
        <v/>
      </c>
      <c r="E671" s="144" t="str">
        <f>IF(G671=".","",Formulario!J$5)</f>
        <v/>
      </c>
      <c r="F671" s="145" t="str">
        <f>IF(G671=".","",Formulario!J$6)</f>
        <v/>
      </c>
      <c r="G671" s="180" t="str">
        <f>IF(Formulario!C679&lt;&gt;"",IF(Formulario!C679=" ","Falta Depto",IF(H671=".","Error En Descripción",Formulario!C679)),IF(H671=".",".","Falta Datos"))</f>
        <v>.</v>
      </c>
      <c r="H671" s="144" t="str">
        <f>IF(Formulario!D679&lt;&gt;"",IF(Formulario!D679=" ",".",Formulario!D679),".")</f>
        <v>.</v>
      </c>
      <c r="I671" s="144" t="str">
        <f>IF(Formulario!E679&lt;&gt;"",IF(Formulario!E679=" "," ",Formulario!E679),IF(G671=".",".","Falta Propietario"))</f>
        <v>.</v>
      </c>
      <c r="J671" s="144" t="str">
        <f>IF(Formulario!F679&lt;&gt;"",IF(Formulario!F679=" "," ",Formulario!F679)," ")</f>
        <v xml:space="preserve"> </v>
      </c>
      <c r="K671" s="144" t="str">
        <f>IF(Formulario!G679&lt;&gt;"",IF(Formulario!G679=" "," ",Formulario!G679)," ")</f>
        <v xml:space="preserve"> </v>
      </c>
      <c r="L671" s="144" t="str">
        <f>IF(Formulario!H679&lt;&gt;"",IF(Formulario!H679=" "," ",Formulario!H679)," ")</f>
        <v xml:space="preserve"> </v>
      </c>
      <c r="M671" s="144" t="str">
        <f>IF(Formulario!I679&lt;&gt;"",IF(Formulario!I679=" "," ",Formulario!I679)," ")</f>
        <v xml:space="preserve"> </v>
      </c>
      <c r="N671" s="145" t="str">
        <f>IF(Formulario!J679&lt;&gt;"",IF(Formulario!J679=" "," ",Formulario!J679),IF(G671=".",".","Falta Fecha"))</f>
        <v>.</v>
      </c>
      <c r="O671" s="155">
        <f>Formulario!L679</f>
        <v>0</v>
      </c>
      <c r="P671" s="146">
        <f>IF(O671=1,"09:00",Formulario!M679)</f>
        <v>0</v>
      </c>
      <c r="Q671" s="146">
        <f>IF(O671=1,"18:30",Formulario!N679)</f>
        <v>0</v>
      </c>
      <c r="R671" s="146" t="str">
        <f>IF(Formulario!O679&lt;&gt;"",IF(Formulario!O679=" ",".",Formulario!O679),".")</f>
        <v>.</v>
      </c>
      <c r="S671" s="141" t="s">
        <v>131</v>
      </c>
    </row>
    <row r="672" spans="1:19">
      <c r="A672" s="141">
        <f>Formulario!B680</f>
        <v>0</v>
      </c>
      <c r="B672" s="144" t="str">
        <f>IF(G672="."," ",Formulario!D$5)</f>
        <v xml:space="preserve"> </v>
      </c>
      <c r="C672" s="144" t="str">
        <f>IF(G672=".","",Formulario!D$6)</f>
        <v/>
      </c>
      <c r="D672" s="144" t="str">
        <f>IF(H672=".","",Formulario!D$7)</f>
        <v/>
      </c>
      <c r="E672" s="144" t="str">
        <f>IF(G672=".","",Formulario!J$5)</f>
        <v/>
      </c>
      <c r="F672" s="145" t="str">
        <f>IF(G672=".","",Formulario!J$6)</f>
        <v/>
      </c>
      <c r="G672" s="180" t="str">
        <f>IF(Formulario!C680&lt;&gt;"",IF(Formulario!C680=" ","Falta Depto",IF(H672=".","Error En Descripción",Formulario!C680)),IF(H672=".",".","Falta Datos"))</f>
        <v>.</v>
      </c>
      <c r="H672" s="144" t="str">
        <f>IF(Formulario!D680&lt;&gt;"",IF(Formulario!D680=" ",".",Formulario!D680),".")</f>
        <v>.</v>
      </c>
      <c r="I672" s="144" t="str">
        <f>IF(Formulario!E680&lt;&gt;"",IF(Formulario!E680=" "," ",Formulario!E680),IF(G672=".",".","Falta Propietario"))</f>
        <v>.</v>
      </c>
      <c r="J672" s="144" t="str">
        <f>IF(Formulario!F680&lt;&gt;"",IF(Formulario!F680=" "," ",Formulario!F680)," ")</f>
        <v xml:space="preserve"> </v>
      </c>
      <c r="K672" s="144" t="str">
        <f>IF(Formulario!G680&lt;&gt;"",IF(Formulario!G680=" "," ",Formulario!G680)," ")</f>
        <v xml:space="preserve"> </v>
      </c>
      <c r="L672" s="144" t="str">
        <f>IF(Formulario!H680&lt;&gt;"",IF(Formulario!H680=" "," ",Formulario!H680)," ")</f>
        <v xml:space="preserve"> </v>
      </c>
      <c r="M672" s="144" t="str">
        <f>IF(Formulario!I680&lt;&gt;"",IF(Formulario!I680=" "," ",Formulario!I680)," ")</f>
        <v xml:space="preserve"> </v>
      </c>
      <c r="N672" s="145" t="str">
        <f>IF(Formulario!J680&lt;&gt;"",IF(Formulario!J680=" "," ",Formulario!J680),IF(G672=".",".","Falta Fecha"))</f>
        <v>.</v>
      </c>
      <c r="O672" s="155">
        <f>Formulario!L680</f>
        <v>0</v>
      </c>
      <c r="P672" s="146">
        <f>IF(O672=1,"09:00",Formulario!M680)</f>
        <v>0</v>
      </c>
      <c r="Q672" s="146">
        <f>IF(O672=1,"18:30",Formulario!N680)</f>
        <v>0</v>
      </c>
      <c r="R672" s="146" t="str">
        <f>IF(Formulario!O680&lt;&gt;"",IF(Formulario!O680=" ",".",Formulario!O680),".")</f>
        <v>.</v>
      </c>
      <c r="S672" s="141" t="s">
        <v>131</v>
      </c>
    </row>
    <row r="673" spans="1:19">
      <c r="A673" s="141">
        <f>Formulario!B681</f>
        <v>0</v>
      </c>
      <c r="B673" s="144" t="str">
        <f>IF(G673="."," ",Formulario!D$5)</f>
        <v xml:space="preserve"> </v>
      </c>
      <c r="C673" s="144" t="str">
        <f>IF(G673=".","",Formulario!D$6)</f>
        <v/>
      </c>
      <c r="D673" s="144" t="str">
        <f>IF(H673=".","",Formulario!D$7)</f>
        <v/>
      </c>
      <c r="E673" s="144" t="str">
        <f>IF(G673=".","",Formulario!J$5)</f>
        <v/>
      </c>
      <c r="F673" s="145" t="str">
        <f>IF(G673=".","",Formulario!J$6)</f>
        <v/>
      </c>
      <c r="G673" s="180" t="str">
        <f>IF(Formulario!C681&lt;&gt;"",IF(Formulario!C681=" ","Falta Depto",IF(H673=".","Error En Descripción",Formulario!C681)),IF(H673=".",".","Falta Datos"))</f>
        <v>.</v>
      </c>
      <c r="H673" s="144" t="str">
        <f>IF(Formulario!D681&lt;&gt;"",IF(Formulario!D681=" ",".",Formulario!D681),".")</f>
        <v>.</v>
      </c>
      <c r="I673" s="144" t="str">
        <f>IF(Formulario!E681&lt;&gt;"",IF(Formulario!E681=" "," ",Formulario!E681),IF(G673=".",".","Falta Propietario"))</f>
        <v>.</v>
      </c>
      <c r="J673" s="144" t="str">
        <f>IF(Formulario!F681&lt;&gt;"",IF(Formulario!F681=" "," ",Formulario!F681)," ")</f>
        <v xml:space="preserve"> </v>
      </c>
      <c r="K673" s="144" t="str">
        <f>IF(Formulario!G681&lt;&gt;"",IF(Formulario!G681=" "," ",Formulario!G681)," ")</f>
        <v xml:space="preserve"> </v>
      </c>
      <c r="L673" s="144" t="str">
        <f>IF(Formulario!H681&lt;&gt;"",IF(Formulario!H681=" "," ",Formulario!H681)," ")</f>
        <v xml:space="preserve"> </v>
      </c>
      <c r="M673" s="144" t="str">
        <f>IF(Formulario!I681&lt;&gt;"",IF(Formulario!I681=" "," ",Formulario!I681)," ")</f>
        <v xml:space="preserve"> </v>
      </c>
      <c r="N673" s="145" t="str">
        <f>IF(Formulario!J681&lt;&gt;"",IF(Formulario!J681=" "," ",Formulario!J681),IF(G673=".",".","Falta Fecha"))</f>
        <v>.</v>
      </c>
      <c r="O673" s="155">
        <f>Formulario!L681</f>
        <v>0</v>
      </c>
      <c r="P673" s="146">
        <f>IF(O673=1,"09:00",Formulario!M681)</f>
        <v>0</v>
      </c>
      <c r="Q673" s="146">
        <f>IF(O673=1,"18:30",Formulario!N681)</f>
        <v>0</v>
      </c>
      <c r="R673" s="146" t="str">
        <f>IF(Formulario!O681&lt;&gt;"",IF(Formulario!O681=" ",".",Formulario!O681),".")</f>
        <v>.</v>
      </c>
      <c r="S673" s="141" t="s">
        <v>131</v>
      </c>
    </row>
    <row r="674" spans="1:19">
      <c r="A674" s="141">
        <f>Formulario!B682</f>
        <v>0</v>
      </c>
      <c r="B674" s="144" t="str">
        <f>IF(G674="."," ",Formulario!D$5)</f>
        <v xml:space="preserve"> </v>
      </c>
      <c r="C674" s="144" t="str">
        <f>IF(G674=".","",Formulario!D$6)</f>
        <v/>
      </c>
      <c r="D674" s="144" t="str">
        <f>IF(H674=".","",Formulario!D$7)</f>
        <v/>
      </c>
      <c r="E674" s="144" t="str">
        <f>IF(G674=".","",Formulario!J$5)</f>
        <v/>
      </c>
      <c r="F674" s="145" t="str">
        <f>IF(G674=".","",Formulario!J$6)</f>
        <v/>
      </c>
      <c r="G674" s="180" t="str">
        <f>IF(Formulario!C682&lt;&gt;"",IF(Formulario!C682=" ","Falta Depto",IF(H674=".","Error En Descripción",Formulario!C682)),IF(H674=".",".","Falta Datos"))</f>
        <v>.</v>
      </c>
      <c r="H674" s="144" t="str">
        <f>IF(Formulario!D682&lt;&gt;"",IF(Formulario!D682=" ",".",Formulario!D682),".")</f>
        <v>.</v>
      </c>
      <c r="I674" s="144" t="str">
        <f>IF(Formulario!E682&lt;&gt;"",IF(Formulario!E682=" "," ",Formulario!E682),IF(G674=".",".","Falta Propietario"))</f>
        <v>.</v>
      </c>
      <c r="J674" s="144" t="str">
        <f>IF(Formulario!F682&lt;&gt;"",IF(Formulario!F682=" "," ",Formulario!F682)," ")</f>
        <v xml:space="preserve"> </v>
      </c>
      <c r="K674" s="144" t="str">
        <f>IF(Formulario!G682&lt;&gt;"",IF(Formulario!G682=" "," ",Formulario!G682)," ")</f>
        <v xml:space="preserve"> </v>
      </c>
      <c r="L674" s="144" t="str">
        <f>IF(Formulario!H682&lt;&gt;"",IF(Formulario!H682=" "," ",Formulario!H682)," ")</f>
        <v xml:space="preserve"> </v>
      </c>
      <c r="M674" s="144" t="str">
        <f>IF(Formulario!I682&lt;&gt;"",IF(Formulario!I682=" "," ",Formulario!I682)," ")</f>
        <v xml:space="preserve"> </v>
      </c>
      <c r="N674" s="145" t="str">
        <f>IF(Formulario!J682&lt;&gt;"",IF(Formulario!J682=" "," ",Formulario!J682),IF(G674=".",".","Falta Fecha"))</f>
        <v>.</v>
      </c>
      <c r="O674" s="155">
        <f>Formulario!L682</f>
        <v>0</v>
      </c>
      <c r="P674" s="146">
        <f>IF(O674=1,"09:00",Formulario!M682)</f>
        <v>0</v>
      </c>
      <c r="Q674" s="146">
        <f>IF(O674=1,"18:30",Formulario!N682)</f>
        <v>0</v>
      </c>
      <c r="R674" s="146" t="str">
        <f>IF(Formulario!O682&lt;&gt;"",IF(Formulario!O682=" ",".",Formulario!O682),".")</f>
        <v>.</v>
      </c>
      <c r="S674" s="141" t="s">
        <v>131</v>
      </c>
    </row>
    <row r="675" spans="1:19">
      <c r="A675" s="141">
        <f>Formulario!B683</f>
        <v>0</v>
      </c>
      <c r="B675" s="144" t="str">
        <f>IF(G675="."," ",Formulario!D$5)</f>
        <v xml:space="preserve"> </v>
      </c>
      <c r="C675" s="144" t="str">
        <f>IF(G675=".","",Formulario!D$6)</f>
        <v/>
      </c>
      <c r="D675" s="144" t="str">
        <f>IF(H675=".","",Formulario!D$7)</f>
        <v/>
      </c>
      <c r="E675" s="144" t="str">
        <f>IF(G675=".","",Formulario!J$5)</f>
        <v/>
      </c>
      <c r="F675" s="145" t="str">
        <f>IF(G675=".","",Formulario!J$6)</f>
        <v/>
      </c>
      <c r="G675" s="180" t="str">
        <f>IF(Formulario!C683&lt;&gt;"",IF(Formulario!C683=" ","Falta Depto",IF(H675=".","Error En Descripción",Formulario!C683)),IF(H675=".",".","Falta Datos"))</f>
        <v>.</v>
      </c>
      <c r="H675" s="144" t="str">
        <f>IF(Formulario!D683&lt;&gt;"",IF(Formulario!D683=" ",".",Formulario!D683),".")</f>
        <v>.</v>
      </c>
      <c r="I675" s="144" t="str">
        <f>IF(Formulario!E683&lt;&gt;"",IF(Formulario!E683=" "," ",Formulario!E683),IF(G675=".",".","Falta Propietario"))</f>
        <v>.</v>
      </c>
      <c r="J675" s="144" t="str">
        <f>IF(Formulario!F683&lt;&gt;"",IF(Formulario!F683=" "," ",Formulario!F683)," ")</f>
        <v xml:space="preserve"> </v>
      </c>
      <c r="K675" s="144" t="str">
        <f>IF(Formulario!G683&lt;&gt;"",IF(Formulario!G683=" "," ",Formulario!G683)," ")</f>
        <v xml:space="preserve"> </v>
      </c>
      <c r="L675" s="144" t="str">
        <f>IF(Formulario!H683&lt;&gt;"",IF(Formulario!H683=" "," ",Formulario!H683)," ")</f>
        <v xml:space="preserve"> </v>
      </c>
      <c r="M675" s="144" t="str">
        <f>IF(Formulario!I683&lt;&gt;"",IF(Formulario!I683=" "," ",Formulario!I683)," ")</f>
        <v xml:space="preserve"> </v>
      </c>
      <c r="N675" s="145" t="str">
        <f>IF(Formulario!J683&lt;&gt;"",IF(Formulario!J683=" "," ",Formulario!J683),IF(G675=".",".","Falta Fecha"))</f>
        <v>.</v>
      </c>
      <c r="O675" s="155">
        <f>Formulario!L683</f>
        <v>0</v>
      </c>
      <c r="P675" s="146">
        <f>IF(O675=1,"09:00",Formulario!M683)</f>
        <v>0</v>
      </c>
      <c r="Q675" s="146">
        <f>IF(O675=1,"18:30",Formulario!N683)</f>
        <v>0</v>
      </c>
      <c r="R675" s="146" t="str">
        <f>IF(Formulario!O683&lt;&gt;"",IF(Formulario!O683=" ",".",Formulario!O683),".")</f>
        <v>.</v>
      </c>
      <c r="S675" s="141" t="s">
        <v>131</v>
      </c>
    </row>
    <row r="676" spans="1:19">
      <c r="A676" s="141">
        <f>Formulario!B684</f>
        <v>0</v>
      </c>
      <c r="B676" s="144" t="str">
        <f>IF(G676="."," ",Formulario!D$5)</f>
        <v xml:space="preserve"> </v>
      </c>
      <c r="C676" s="144" t="str">
        <f>IF(G676=".","",Formulario!D$6)</f>
        <v/>
      </c>
      <c r="D676" s="144" t="str">
        <f>IF(H676=".","",Formulario!D$7)</f>
        <v/>
      </c>
      <c r="E676" s="144" t="str">
        <f>IF(G676=".","",Formulario!J$5)</f>
        <v/>
      </c>
      <c r="F676" s="145" t="str">
        <f>IF(G676=".","",Formulario!J$6)</f>
        <v/>
      </c>
      <c r="G676" s="180" t="str">
        <f>IF(Formulario!C684&lt;&gt;"",IF(Formulario!C684=" ","Falta Depto",IF(H676=".","Error En Descripción",Formulario!C684)),IF(H676=".",".","Falta Datos"))</f>
        <v>.</v>
      </c>
      <c r="H676" s="144" t="str">
        <f>IF(Formulario!D684&lt;&gt;"",IF(Formulario!D684=" ",".",Formulario!D684),".")</f>
        <v>.</v>
      </c>
      <c r="I676" s="144" t="str">
        <f>IF(Formulario!E684&lt;&gt;"",IF(Formulario!E684=" "," ",Formulario!E684),IF(G676=".",".","Falta Propietario"))</f>
        <v>.</v>
      </c>
      <c r="J676" s="144" t="str">
        <f>IF(Formulario!F684&lt;&gt;"",IF(Formulario!F684=" "," ",Formulario!F684)," ")</f>
        <v xml:space="preserve"> </v>
      </c>
      <c r="K676" s="144" t="str">
        <f>IF(Formulario!G684&lt;&gt;"",IF(Formulario!G684=" "," ",Formulario!G684)," ")</f>
        <v xml:space="preserve"> </v>
      </c>
      <c r="L676" s="144" t="str">
        <f>IF(Formulario!H684&lt;&gt;"",IF(Formulario!H684=" "," ",Formulario!H684)," ")</f>
        <v xml:space="preserve"> </v>
      </c>
      <c r="M676" s="144" t="str">
        <f>IF(Formulario!I684&lt;&gt;"",IF(Formulario!I684=" "," ",Formulario!I684)," ")</f>
        <v xml:space="preserve"> </v>
      </c>
      <c r="N676" s="145" t="str">
        <f>IF(Formulario!J684&lt;&gt;"",IF(Formulario!J684=" "," ",Formulario!J684),IF(G676=".",".","Falta Fecha"))</f>
        <v>.</v>
      </c>
      <c r="O676" s="155">
        <f>Formulario!L684</f>
        <v>0</v>
      </c>
      <c r="P676" s="146">
        <f>IF(O676=1,"09:00",Formulario!M684)</f>
        <v>0</v>
      </c>
      <c r="Q676" s="146">
        <f>IF(O676=1,"18:30",Formulario!N684)</f>
        <v>0</v>
      </c>
      <c r="R676" s="146" t="str">
        <f>IF(Formulario!O684&lt;&gt;"",IF(Formulario!O684=" ",".",Formulario!O684),".")</f>
        <v>.</v>
      </c>
      <c r="S676" s="141" t="s">
        <v>131</v>
      </c>
    </row>
    <row r="677" spans="1:19">
      <c r="A677" s="141">
        <f>Formulario!B685</f>
        <v>0</v>
      </c>
      <c r="B677" s="144" t="str">
        <f>IF(G677="."," ",Formulario!D$5)</f>
        <v xml:space="preserve"> </v>
      </c>
      <c r="C677" s="144" t="str">
        <f>IF(G677=".","",Formulario!D$6)</f>
        <v/>
      </c>
      <c r="D677" s="144" t="str">
        <f>IF(H677=".","",Formulario!D$7)</f>
        <v/>
      </c>
      <c r="E677" s="144" t="str">
        <f>IF(G677=".","",Formulario!J$5)</f>
        <v/>
      </c>
      <c r="F677" s="145" t="str">
        <f>IF(G677=".","",Formulario!J$6)</f>
        <v/>
      </c>
      <c r="G677" s="180" t="str">
        <f>IF(Formulario!C685&lt;&gt;"",IF(Formulario!C685=" ","Falta Depto",IF(H677=".","Error En Descripción",Formulario!C685)),IF(H677=".",".","Falta Datos"))</f>
        <v>.</v>
      </c>
      <c r="H677" s="144" t="str">
        <f>IF(Formulario!D685&lt;&gt;"",IF(Formulario!D685=" ",".",Formulario!D685),".")</f>
        <v>.</v>
      </c>
      <c r="I677" s="144" t="str">
        <f>IF(Formulario!E685&lt;&gt;"",IF(Formulario!E685=" "," ",Formulario!E685),IF(G677=".",".","Falta Propietario"))</f>
        <v>.</v>
      </c>
      <c r="J677" s="144" t="str">
        <f>IF(Formulario!F685&lt;&gt;"",IF(Formulario!F685=" "," ",Formulario!F685)," ")</f>
        <v xml:space="preserve"> </v>
      </c>
      <c r="K677" s="144" t="str">
        <f>IF(Formulario!G685&lt;&gt;"",IF(Formulario!G685=" "," ",Formulario!G685)," ")</f>
        <v xml:space="preserve"> </v>
      </c>
      <c r="L677" s="144" t="str">
        <f>IF(Formulario!H685&lt;&gt;"",IF(Formulario!H685=" "," ",Formulario!H685)," ")</f>
        <v xml:space="preserve"> </v>
      </c>
      <c r="M677" s="144" t="str">
        <f>IF(Formulario!I685&lt;&gt;"",IF(Formulario!I685=" "," ",Formulario!I685)," ")</f>
        <v xml:space="preserve"> </v>
      </c>
      <c r="N677" s="145" t="str">
        <f>IF(Formulario!J685&lt;&gt;"",IF(Formulario!J685=" "," ",Formulario!J685),IF(G677=".",".","Falta Fecha"))</f>
        <v>.</v>
      </c>
      <c r="O677" s="155">
        <f>Formulario!L685</f>
        <v>0</v>
      </c>
      <c r="P677" s="146">
        <f>IF(O677=1,"09:00",Formulario!M685)</f>
        <v>0</v>
      </c>
      <c r="Q677" s="146">
        <f>IF(O677=1,"18:30",Formulario!N685)</f>
        <v>0</v>
      </c>
      <c r="R677" s="146" t="str">
        <f>IF(Formulario!O685&lt;&gt;"",IF(Formulario!O685=" ",".",Formulario!O685),".")</f>
        <v>.</v>
      </c>
      <c r="S677" s="141" t="s">
        <v>131</v>
      </c>
    </row>
    <row r="678" spans="1:19">
      <c r="A678" s="141">
        <f>Formulario!B686</f>
        <v>0</v>
      </c>
      <c r="B678" s="144" t="str">
        <f>IF(G678="."," ",Formulario!D$5)</f>
        <v xml:space="preserve"> </v>
      </c>
      <c r="C678" s="144" t="str">
        <f>IF(G678=".","",Formulario!D$6)</f>
        <v/>
      </c>
      <c r="D678" s="144" t="str">
        <f>IF(H678=".","",Formulario!D$7)</f>
        <v/>
      </c>
      <c r="E678" s="144" t="str">
        <f>IF(G678=".","",Formulario!J$5)</f>
        <v/>
      </c>
      <c r="F678" s="145" t="str">
        <f>IF(G678=".","",Formulario!J$6)</f>
        <v/>
      </c>
      <c r="G678" s="180" t="str">
        <f>IF(Formulario!C686&lt;&gt;"",IF(Formulario!C686=" ","Falta Depto",IF(H678=".","Error En Descripción",Formulario!C686)),IF(H678=".",".","Falta Datos"))</f>
        <v>.</v>
      </c>
      <c r="H678" s="144" t="str">
        <f>IF(Formulario!D686&lt;&gt;"",IF(Formulario!D686=" ",".",Formulario!D686),".")</f>
        <v>.</v>
      </c>
      <c r="I678" s="144" t="str">
        <f>IF(Formulario!E686&lt;&gt;"",IF(Formulario!E686=" "," ",Formulario!E686),IF(G678=".",".","Falta Propietario"))</f>
        <v>.</v>
      </c>
      <c r="J678" s="144" t="str">
        <f>IF(Formulario!F686&lt;&gt;"",IF(Formulario!F686=" "," ",Formulario!F686)," ")</f>
        <v xml:space="preserve"> </v>
      </c>
      <c r="K678" s="144" t="str">
        <f>IF(Formulario!G686&lt;&gt;"",IF(Formulario!G686=" "," ",Formulario!G686)," ")</f>
        <v xml:space="preserve"> </v>
      </c>
      <c r="L678" s="144" t="str">
        <f>IF(Formulario!H686&lt;&gt;"",IF(Formulario!H686=" "," ",Formulario!H686)," ")</f>
        <v xml:space="preserve"> </v>
      </c>
      <c r="M678" s="144" t="str">
        <f>IF(Formulario!I686&lt;&gt;"",IF(Formulario!I686=" "," ",Formulario!I686)," ")</f>
        <v xml:space="preserve"> </v>
      </c>
      <c r="N678" s="145" t="str">
        <f>IF(Formulario!J686&lt;&gt;"",IF(Formulario!J686=" "," ",Formulario!J686),IF(G678=".",".","Falta Fecha"))</f>
        <v>.</v>
      </c>
      <c r="O678" s="155">
        <f>Formulario!L686</f>
        <v>0</v>
      </c>
      <c r="P678" s="146">
        <f>IF(O678=1,"09:00",Formulario!M686)</f>
        <v>0</v>
      </c>
      <c r="Q678" s="146">
        <f>IF(O678=1,"18:30",Formulario!N686)</f>
        <v>0</v>
      </c>
      <c r="R678" s="146" t="str">
        <f>IF(Formulario!O686&lt;&gt;"",IF(Formulario!O686=" ",".",Formulario!O686),".")</f>
        <v>.</v>
      </c>
      <c r="S678" s="141" t="s">
        <v>131</v>
      </c>
    </row>
    <row r="679" spans="1:19">
      <c r="A679" s="141">
        <f>Formulario!B687</f>
        <v>0</v>
      </c>
      <c r="B679" s="144" t="str">
        <f>IF(G679="."," ",Formulario!D$5)</f>
        <v xml:space="preserve"> </v>
      </c>
      <c r="C679" s="144" t="str">
        <f>IF(G679=".","",Formulario!D$6)</f>
        <v/>
      </c>
      <c r="D679" s="144" t="str">
        <f>IF(H679=".","",Formulario!D$7)</f>
        <v/>
      </c>
      <c r="E679" s="144" t="str">
        <f>IF(G679=".","",Formulario!J$5)</f>
        <v/>
      </c>
      <c r="F679" s="145" t="str">
        <f>IF(G679=".","",Formulario!J$6)</f>
        <v/>
      </c>
      <c r="G679" s="180" t="str">
        <f>IF(Formulario!C687&lt;&gt;"",IF(Formulario!C687=" ","Falta Depto",IF(H679=".","Error En Descripción",Formulario!C687)),IF(H679=".",".","Falta Datos"))</f>
        <v>.</v>
      </c>
      <c r="H679" s="144" t="str">
        <f>IF(Formulario!D687&lt;&gt;"",IF(Formulario!D687=" ",".",Formulario!D687),".")</f>
        <v>.</v>
      </c>
      <c r="I679" s="144" t="str">
        <f>IF(Formulario!E687&lt;&gt;"",IF(Formulario!E687=" "," ",Formulario!E687),IF(G679=".",".","Falta Propietario"))</f>
        <v>.</v>
      </c>
      <c r="J679" s="144" t="str">
        <f>IF(Formulario!F687&lt;&gt;"",IF(Formulario!F687=" "," ",Formulario!F687)," ")</f>
        <v xml:space="preserve"> </v>
      </c>
      <c r="K679" s="144" t="str">
        <f>IF(Formulario!G687&lt;&gt;"",IF(Formulario!G687=" "," ",Formulario!G687)," ")</f>
        <v xml:space="preserve"> </v>
      </c>
      <c r="L679" s="144" t="str">
        <f>IF(Formulario!H687&lt;&gt;"",IF(Formulario!H687=" "," ",Formulario!H687)," ")</f>
        <v xml:space="preserve"> </v>
      </c>
      <c r="M679" s="144" t="str">
        <f>IF(Formulario!I687&lt;&gt;"",IF(Formulario!I687=" "," ",Formulario!I687)," ")</f>
        <v xml:space="preserve"> </v>
      </c>
      <c r="N679" s="145" t="str">
        <f>IF(Formulario!J687&lt;&gt;"",IF(Formulario!J687=" "," ",Formulario!J687),IF(G679=".",".","Falta Fecha"))</f>
        <v>.</v>
      </c>
      <c r="O679" s="155">
        <f>Formulario!L687</f>
        <v>0</v>
      </c>
      <c r="P679" s="146">
        <f>IF(O679=1,"09:00",Formulario!M687)</f>
        <v>0</v>
      </c>
      <c r="Q679" s="146">
        <f>IF(O679=1,"18:30",Formulario!N687)</f>
        <v>0</v>
      </c>
      <c r="R679" s="146" t="str">
        <f>IF(Formulario!O687&lt;&gt;"",IF(Formulario!O687=" ",".",Formulario!O687),".")</f>
        <v>.</v>
      </c>
      <c r="S679" s="141" t="s">
        <v>131</v>
      </c>
    </row>
    <row r="680" spans="1:19">
      <c r="A680" s="141">
        <f>Formulario!B688</f>
        <v>0</v>
      </c>
      <c r="B680" s="144" t="str">
        <f>IF(G680="."," ",Formulario!D$5)</f>
        <v xml:space="preserve"> </v>
      </c>
      <c r="C680" s="144" t="str">
        <f>IF(G680=".","",Formulario!D$6)</f>
        <v/>
      </c>
      <c r="D680" s="144" t="str">
        <f>IF(H680=".","",Formulario!D$7)</f>
        <v/>
      </c>
      <c r="E680" s="144" t="str">
        <f>IF(G680=".","",Formulario!J$5)</f>
        <v/>
      </c>
      <c r="F680" s="145" t="str">
        <f>IF(G680=".","",Formulario!J$6)</f>
        <v/>
      </c>
      <c r="G680" s="180" t="str">
        <f>IF(Formulario!C688&lt;&gt;"",IF(Formulario!C688=" ","Falta Depto",IF(H680=".","Error En Descripción",Formulario!C688)),IF(H680=".",".","Falta Datos"))</f>
        <v>.</v>
      </c>
      <c r="H680" s="144" t="str">
        <f>IF(Formulario!D688&lt;&gt;"",IF(Formulario!D688=" ",".",Formulario!D688),".")</f>
        <v>.</v>
      </c>
      <c r="I680" s="144" t="str">
        <f>IF(Formulario!E688&lt;&gt;"",IF(Formulario!E688=" "," ",Formulario!E688),IF(G680=".",".","Falta Propietario"))</f>
        <v>.</v>
      </c>
      <c r="J680" s="144" t="str">
        <f>IF(Formulario!F688&lt;&gt;"",IF(Formulario!F688=" "," ",Formulario!F688)," ")</f>
        <v xml:space="preserve"> </v>
      </c>
      <c r="K680" s="144" t="str">
        <f>IF(Formulario!G688&lt;&gt;"",IF(Formulario!G688=" "," ",Formulario!G688)," ")</f>
        <v xml:space="preserve"> </v>
      </c>
      <c r="L680" s="144" t="str">
        <f>IF(Formulario!H688&lt;&gt;"",IF(Formulario!H688=" "," ",Formulario!H688)," ")</f>
        <v xml:space="preserve"> </v>
      </c>
      <c r="M680" s="144" t="str">
        <f>IF(Formulario!I688&lt;&gt;"",IF(Formulario!I688=" "," ",Formulario!I688)," ")</f>
        <v xml:space="preserve"> </v>
      </c>
      <c r="N680" s="145" t="str">
        <f>IF(Formulario!J688&lt;&gt;"",IF(Formulario!J688=" "," ",Formulario!J688),IF(G680=".",".","Falta Fecha"))</f>
        <v>.</v>
      </c>
      <c r="O680" s="155">
        <f>Formulario!L688</f>
        <v>0</v>
      </c>
      <c r="P680" s="146">
        <f>IF(O680=1,"09:00",Formulario!M688)</f>
        <v>0</v>
      </c>
      <c r="Q680" s="146">
        <f>IF(O680=1,"18:30",Formulario!N688)</f>
        <v>0</v>
      </c>
      <c r="R680" s="146" t="str">
        <f>IF(Formulario!O688&lt;&gt;"",IF(Formulario!O688=" ",".",Formulario!O688),".")</f>
        <v>.</v>
      </c>
      <c r="S680" s="141" t="s">
        <v>131</v>
      </c>
    </row>
    <row r="681" spans="1:19">
      <c r="A681" s="141">
        <f>Formulario!B689</f>
        <v>0</v>
      </c>
      <c r="B681" s="144" t="str">
        <f>IF(G681="."," ",Formulario!D$5)</f>
        <v xml:space="preserve"> </v>
      </c>
      <c r="C681" s="144" t="str">
        <f>IF(G681=".","",Formulario!D$6)</f>
        <v/>
      </c>
      <c r="D681" s="144" t="str">
        <f>IF(H681=".","",Formulario!D$7)</f>
        <v/>
      </c>
      <c r="E681" s="144" t="str">
        <f>IF(G681=".","",Formulario!J$5)</f>
        <v/>
      </c>
      <c r="F681" s="145" t="str">
        <f>IF(G681=".","",Formulario!J$6)</f>
        <v/>
      </c>
      <c r="G681" s="180" t="str">
        <f>IF(Formulario!C689&lt;&gt;"",IF(Formulario!C689=" ","Falta Depto",IF(H681=".","Error En Descripción",Formulario!C689)),IF(H681=".",".","Falta Datos"))</f>
        <v>.</v>
      </c>
      <c r="H681" s="144" t="str">
        <f>IF(Formulario!D689&lt;&gt;"",IF(Formulario!D689=" ",".",Formulario!D689),".")</f>
        <v>.</v>
      </c>
      <c r="I681" s="144" t="str">
        <f>IF(Formulario!E689&lt;&gt;"",IF(Formulario!E689=" "," ",Formulario!E689),IF(G681=".",".","Falta Propietario"))</f>
        <v>.</v>
      </c>
      <c r="J681" s="144" t="str">
        <f>IF(Formulario!F689&lt;&gt;"",IF(Formulario!F689=" "," ",Formulario!F689)," ")</f>
        <v xml:space="preserve"> </v>
      </c>
      <c r="K681" s="144" t="str">
        <f>IF(Formulario!G689&lt;&gt;"",IF(Formulario!G689=" "," ",Formulario!G689)," ")</f>
        <v xml:space="preserve"> </v>
      </c>
      <c r="L681" s="144" t="str">
        <f>IF(Formulario!H689&lt;&gt;"",IF(Formulario!H689=" "," ",Formulario!H689)," ")</f>
        <v xml:space="preserve"> </v>
      </c>
      <c r="M681" s="144" t="str">
        <f>IF(Formulario!I689&lt;&gt;"",IF(Formulario!I689=" "," ",Formulario!I689)," ")</f>
        <v xml:space="preserve"> </v>
      </c>
      <c r="N681" s="145" t="str">
        <f>IF(Formulario!J689&lt;&gt;"",IF(Formulario!J689=" "," ",Formulario!J689),IF(G681=".",".","Falta Fecha"))</f>
        <v>.</v>
      </c>
      <c r="O681" s="155">
        <f>Formulario!L689</f>
        <v>0</v>
      </c>
      <c r="P681" s="146">
        <f>IF(O681=1,"09:00",Formulario!M689)</f>
        <v>0</v>
      </c>
      <c r="Q681" s="146">
        <f>IF(O681=1,"18:30",Formulario!N689)</f>
        <v>0</v>
      </c>
      <c r="R681" s="146" t="str">
        <f>IF(Formulario!O689&lt;&gt;"",IF(Formulario!O689=" ",".",Formulario!O689),".")</f>
        <v>.</v>
      </c>
      <c r="S681" s="141" t="s">
        <v>131</v>
      </c>
    </row>
    <row r="682" spans="1:19">
      <c r="A682" s="141">
        <f>Formulario!B690</f>
        <v>0</v>
      </c>
      <c r="B682" s="144" t="str">
        <f>IF(G682="."," ",Formulario!D$5)</f>
        <v xml:space="preserve"> </v>
      </c>
      <c r="C682" s="144" t="str">
        <f>IF(G682=".","",Formulario!D$6)</f>
        <v/>
      </c>
      <c r="D682" s="144" t="str">
        <f>IF(H682=".","",Formulario!D$7)</f>
        <v/>
      </c>
      <c r="E682" s="144" t="str">
        <f>IF(G682=".","",Formulario!J$5)</f>
        <v/>
      </c>
      <c r="F682" s="145" t="str">
        <f>IF(G682=".","",Formulario!J$6)</f>
        <v/>
      </c>
      <c r="G682" s="180" t="str">
        <f>IF(Formulario!C690&lt;&gt;"",IF(Formulario!C690=" ","Falta Depto",IF(H682=".","Error En Descripción",Formulario!C690)),IF(H682=".",".","Falta Datos"))</f>
        <v>.</v>
      </c>
      <c r="H682" s="144" t="str">
        <f>IF(Formulario!D690&lt;&gt;"",IF(Formulario!D690=" ",".",Formulario!D690),".")</f>
        <v>.</v>
      </c>
      <c r="I682" s="144" t="str">
        <f>IF(Formulario!E690&lt;&gt;"",IF(Formulario!E690=" "," ",Formulario!E690),IF(G682=".",".","Falta Propietario"))</f>
        <v>.</v>
      </c>
      <c r="J682" s="144" t="str">
        <f>IF(Formulario!F690&lt;&gt;"",IF(Formulario!F690=" "," ",Formulario!F690)," ")</f>
        <v xml:space="preserve"> </v>
      </c>
      <c r="K682" s="144" t="str">
        <f>IF(Formulario!G690&lt;&gt;"",IF(Formulario!G690=" "," ",Formulario!G690)," ")</f>
        <v xml:space="preserve"> </v>
      </c>
      <c r="L682" s="144" t="str">
        <f>IF(Formulario!H690&lt;&gt;"",IF(Formulario!H690=" "," ",Formulario!H690)," ")</f>
        <v xml:space="preserve"> </v>
      </c>
      <c r="M682" s="144" t="str">
        <f>IF(Formulario!I690&lt;&gt;"",IF(Formulario!I690=" "," ",Formulario!I690)," ")</f>
        <v xml:space="preserve"> </v>
      </c>
      <c r="N682" s="145" t="str">
        <f>IF(Formulario!J690&lt;&gt;"",IF(Formulario!J690=" "," ",Formulario!J690),IF(G682=".",".","Falta Fecha"))</f>
        <v>.</v>
      </c>
      <c r="O682" s="155">
        <f>Formulario!L690</f>
        <v>0</v>
      </c>
      <c r="P682" s="146">
        <f>IF(O682=1,"09:00",Formulario!M690)</f>
        <v>0</v>
      </c>
      <c r="Q682" s="146">
        <f>IF(O682=1,"18:30",Formulario!N690)</f>
        <v>0</v>
      </c>
      <c r="R682" s="146" t="str">
        <f>IF(Formulario!O690&lt;&gt;"",IF(Formulario!O690=" ",".",Formulario!O690),".")</f>
        <v>.</v>
      </c>
      <c r="S682" s="141" t="s">
        <v>131</v>
      </c>
    </row>
    <row r="683" spans="1:19">
      <c r="A683" s="141">
        <f>Formulario!B691</f>
        <v>0</v>
      </c>
      <c r="B683" s="144" t="str">
        <f>IF(G683="."," ",Formulario!D$5)</f>
        <v xml:space="preserve"> </v>
      </c>
      <c r="C683" s="144" t="str">
        <f>IF(G683=".","",Formulario!D$6)</f>
        <v/>
      </c>
      <c r="D683" s="144" t="str">
        <f>IF(H683=".","",Formulario!D$7)</f>
        <v/>
      </c>
      <c r="E683" s="144" t="str">
        <f>IF(G683=".","",Formulario!J$5)</f>
        <v/>
      </c>
      <c r="F683" s="145" t="str">
        <f>IF(G683=".","",Formulario!J$6)</f>
        <v/>
      </c>
      <c r="G683" s="180" t="str">
        <f>IF(Formulario!C691&lt;&gt;"",IF(Formulario!C691=" ","Falta Depto",IF(H683=".","Error En Descripción",Formulario!C691)),IF(H683=".",".","Falta Datos"))</f>
        <v>.</v>
      </c>
      <c r="H683" s="144" t="str">
        <f>IF(Formulario!D691&lt;&gt;"",IF(Formulario!D691=" ",".",Formulario!D691),".")</f>
        <v>.</v>
      </c>
      <c r="I683" s="144" t="str">
        <f>IF(Formulario!E691&lt;&gt;"",IF(Formulario!E691=" "," ",Formulario!E691),IF(G683=".",".","Falta Propietario"))</f>
        <v>.</v>
      </c>
      <c r="J683" s="144" t="str">
        <f>IF(Formulario!F691&lt;&gt;"",IF(Formulario!F691=" "," ",Formulario!F691)," ")</f>
        <v xml:space="preserve"> </v>
      </c>
      <c r="K683" s="144" t="str">
        <f>IF(Formulario!G691&lt;&gt;"",IF(Formulario!G691=" "," ",Formulario!G691)," ")</f>
        <v xml:space="preserve"> </v>
      </c>
      <c r="L683" s="144" t="str">
        <f>IF(Formulario!H691&lt;&gt;"",IF(Formulario!H691=" "," ",Formulario!H691)," ")</f>
        <v xml:space="preserve"> </v>
      </c>
      <c r="M683" s="144" t="str">
        <f>IF(Formulario!I691&lt;&gt;"",IF(Formulario!I691=" "," ",Formulario!I691)," ")</f>
        <v xml:space="preserve"> </v>
      </c>
      <c r="N683" s="145" t="str">
        <f>IF(Formulario!J691&lt;&gt;"",IF(Formulario!J691=" "," ",Formulario!J691),IF(G683=".",".","Falta Fecha"))</f>
        <v>.</v>
      </c>
      <c r="O683" s="155">
        <f>Formulario!L691</f>
        <v>0</v>
      </c>
      <c r="P683" s="146">
        <f>IF(O683=1,"09:00",Formulario!M691)</f>
        <v>0</v>
      </c>
      <c r="Q683" s="146">
        <f>IF(O683=1,"18:30",Formulario!N691)</f>
        <v>0</v>
      </c>
      <c r="R683" s="146" t="str">
        <f>IF(Formulario!O691&lt;&gt;"",IF(Formulario!O691=" ",".",Formulario!O691),".")</f>
        <v>.</v>
      </c>
      <c r="S683" s="141" t="s">
        <v>131</v>
      </c>
    </row>
    <row r="684" spans="1:19">
      <c r="A684" s="141">
        <f>Formulario!B692</f>
        <v>0</v>
      </c>
      <c r="B684" s="144" t="str">
        <f>IF(G684="."," ",Formulario!D$5)</f>
        <v xml:space="preserve"> </v>
      </c>
      <c r="C684" s="144" t="str">
        <f>IF(G684=".","",Formulario!D$6)</f>
        <v/>
      </c>
      <c r="D684" s="144" t="str">
        <f>IF(H684=".","",Formulario!D$7)</f>
        <v/>
      </c>
      <c r="E684" s="144" t="str">
        <f>IF(G684=".","",Formulario!J$5)</f>
        <v/>
      </c>
      <c r="F684" s="145" t="str">
        <f>IF(G684=".","",Formulario!J$6)</f>
        <v/>
      </c>
      <c r="G684" s="180" t="str">
        <f>IF(Formulario!C692&lt;&gt;"",IF(Formulario!C692=" ","Falta Depto",IF(H684=".","Error En Descripción",Formulario!C692)),IF(H684=".",".","Falta Datos"))</f>
        <v>.</v>
      </c>
      <c r="H684" s="144" t="str">
        <f>IF(Formulario!D692&lt;&gt;"",IF(Formulario!D692=" ",".",Formulario!D692),".")</f>
        <v>.</v>
      </c>
      <c r="I684" s="144" t="str">
        <f>IF(Formulario!E692&lt;&gt;"",IF(Formulario!E692=" "," ",Formulario!E692),IF(G684=".",".","Falta Propietario"))</f>
        <v>.</v>
      </c>
      <c r="J684" s="144" t="str">
        <f>IF(Formulario!F692&lt;&gt;"",IF(Formulario!F692=" "," ",Formulario!F692)," ")</f>
        <v xml:space="preserve"> </v>
      </c>
      <c r="K684" s="144" t="str">
        <f>IF(Formulario!G692&lt;&gt;"",IF(Formulario!G692=" "," ",Formulario!G692)," ")</f>
        <v xml:space="preserve"> </v>
      </c>
      <c r="L684" s="144" t="str">
        <f>IF(Formulario!H692&lt;&gt;"",IF(Formulario!H692=" "," ",Formulario!H692)," ")</f>
        <v xml:space="preserve"> </v>
      </c>
      <c r="M684" s="144" t="str">
        <f>IF(Formulario!I692&lt;&gt;"",IF(Formulario!I692=" "," ",Formulario!I692)," ")</f>
        <v xml:space="preserve"> </v>
      </c>
      <c r="N684" s="145" t="str">
        <f>IF(Formulario!J692&lt;&gt;"",IF(Formulario!J692=" "," ",Formulario!J692),IF(G684=".",".","Falta Fecha"))</f>
        <v>.</v>
      </c>
      <c r="O684" s="155">
        <f>Formulario!L692</f>
        <v>0</v>
      </c>
      <c r="P684" s="146">
        <f>IF(O684=1,"09:00",Formulario!M692)</f>
        <v>0</v>
      </c>
      <c r="Q684" s="146">
        <f>IF(O684=1,"18:30",Formulario!N692)</f>
        <v>0</v>
      </c>
      <c r="R684" s="146" t="str">
        <f>IF(Formulario!O692&lt;&gt;"",IF(Formulario!O692=" ",".",Formulario!O692),".")</f>
        <v>.</v>
      </c>
      <c r="S684" s="141" t="s">
        <v>131</v>
      </c>
    </row>
    <row r="685" spans="1:19">
      <c r="A685" s="141">
        <f>Formulario!B693</f>
        <v>0</v>
      </c>
      <c r="B685" s="144" t="str">
        <f>IF(G685="."," ",Formulario!D$5)</f>
        <v xml:space="preserve"> </v>
      </c>
      <c r="C685" s="144" t="str">
        <f>IF(G685=".","",Formulario!D$6)</f>
        <v/>
      </c>
      <c r="D685" s="144" t="str">
        <f>IF(H685=".","",Formulario!D$7)</f>
        <v/>
      </c>
      <c r="E685" s="144" t="str">
        <f>IF(G685=".","",Formulario!J$5)</f>
        <v/>
      </c>
      <c r="F685" s="145" t="str">
        <f>IF(G685=".","",Formulario!J$6)</f>
        <v/>
      </c>
      <c r="G685" s="180" t="str">
        <f>IF(Formulario!C693&lt;&gt;"",IF(Formulario!C693=" ","Falta Depto",IF(H685=".","Error En Descripción",Formulario!C693)),IF(H685=".",".","Falta Datos"))</f>
        <v>.</v>
      </c>
      <c r="H685" s="144" t="str">
        <f>IF(Formulario!D693&lt;&gt;"",IF(Formulario!D693=" ",".",Formulario!D693),".")</f>
        <v>.</v>
      </c>
      <c r="I685" s="144" t="str">
        <f>IF(Formulario!E693&lt;&gt;"",IF(Formulario!E693=" "," ",Formulario!E693),IF(G685=".",".","Falta Propietario"))</f>
        <v>.</v>
      </c>
      <c r="J685" s="144" t="str">
        <f>IF(Formulario!F693&lt;&gt;"",IF(Formulario!F693=" "," ",Formulario!F693)," ")</f>
        <v xml:space="preserve"> </v>
      </c>
      <c r="K685" s="144" t="str">
        <f>IF(Formulario!G693&lt;&gt;"",IF(Formulario!G693=" "," ",Formulario!G693)," ")</f>
        <v xml:space="preserve"> </v>
      </c>
      <c r="L685" s="144" t="str">
        <f>IF(Formulario!H693&lt;&gt;"",IF(Formulario!H693=" "," ",Formulario!H693)," ")</f>
        <v xml:space="preserve"> </v>
      </c>
      <c r="M685" s="144" t="str">
        <f>IF(Formulario!I693&lt;&gt;"",IF(Formulario!I693=" "," ",Formulario!I693)," ")</f>
        <v xml:space="preserve"> </v>
      </c>
      <c r="N685" s="145" t="str">
        <f>IF(Formulario!J693&lt;&gt;"",IF(Formulario!J693=" "," ",Formulario!J693),IF(G685=".",".","Falta Fecha"))</f>
        <v>.</v>
      </c>
      <c r="O685" s="155">
        <f>Formulario!L693</f>
        <v>0</v>
      </c>
      <c r="P685" s="146">
        <f>IF(O685=1,"09:00",Formulario!M693)</f>
        <v>0</v>
      </c>
      <c r="Q685" s="146">
        <f>IF(O685=1,"18:30",Formulario!N693)</f>
        <v>0</v>
      </c>
      <c r="R685" s="146" t="str">
        <f>IF(Formulario!O693&lt;&gt;"",IF(Formulario!O693=" ",".",Formulario!O693),".")</f>
        <v>.</v>
      </c>
      <c r="S685" s="141" t="s">
        <v>131</v>
      </c>
    </row>
    <row r="686" spans="1:19">
      <c r="A686" s="141">
        <f>Formulario!B694</f>
        <v>0</v>
      </c>
      <c r="B686" s="144" t="str">
        <f>IF(G686="."," ",Formulario!D$5)</f>
        <v xml:space="preserve"> </v>
      </c>
      <c r="C686" s="144" t="str">
        <f>IF(G686=".","",Formulario!D$6)</f>
        <v/>
      </c>
      <c r="D686" s="144" t="str">
        <f>IF(H686=".","",Formulario!D$7)</f>
        <v/>
      </c>
      <c r="E686" s="144" t="str">
        <f>IF(G686=".","",Formulario!J$5)</f>
        <v/>
      </c>
      <c r="F686" s="145" t="str">
        <f>IF(G686=".","",Formulario!J$6)</f>
        <v/>
      </c>
      <c r="G686" s="180" t="str">
        <f>IF(Formulario!C694&lt;&gt;"",IF(Formulario!C694=" ","Falta Depto",IF(H686=".","Error En Descripción",Formulario!C694)),IF(H686=".",".","Falta Datos"))</f>
        <v>.</v>
      </c>
      <c r="H686" s="144" t="str">
        <f>IF(Formulario!D694&lt;&gt;"",IF(Formulario!D694=" ",".",Formulario!D694),".")</f>
        <v>.</v>
      </c>
      <c r="I686" s="144" t="str">
        <f>IF(Formulario!E694&lt;&gt;"",IF(Formulario!E694=" "," ",Formulario!E694),IF(G686=".",".","Falta Propietario"))</f>
        <v>.</v>
      </c>
      <c r="J686" s="144" t="str">
        <f>IF(Formulario!F694&lt;&gt;"",IF(Formulario!F694=" "," ",Formulario!F694)," ")</f>
        <v xml:space="preserve"> </v>
      </c>
      <c r="K686" s="144" t="str">
        <f>IF(Formulario!G694&lt;&gt;"",IF(Formulario!G694=" "," ",Formulario!G694)," ")</f>
        <v xml:space="preserve"> </v>
      </c>
      <c r="L686" s="144" t="str">
        <f>IF(Formulario!H694&lt;&gt;"",IF(Formulario!H694=" "," ",Formulario!H694)," ")</f>
        <v xml:space="preserve"> </v>
      </c>
      <c r="M686" s="144" t="str">
        <f>IF(Formulario!I694&lt;&gt;"",IF(Formulario!I694=" "," ",Formulario!I694)," ")</f>
        <v xml:space="preserve"> </v>
      </c>
      <c r="N686" s="145" t="str">
        <f>IF(Formulario!J694&lt;&gt;"",IF(Formulario!J694=" "," ",Formulario!J694),IF(G686=".",".","Falta Fecha"))</f>
        <v>.</v>
      </c>
      <c r="O686" s="155">
        <f>Formulario!L694</f>
        <v>0</v>
      </c>
      <c r="P686" s="146">
        <f>IF(O686=1,"09:00",Formulario!M694)</f>
        <v>0</v>
      </c>
      <c r="Q686" s="146">
        <f>IF(O686=1,"18:30",Formulario!N694)</f>
        <v>0</v>
      </c>
      <c r="R686" s="146" t="str">
        <f>IF(Formulario!O694&lt;&gt;"",IF(Formulario!O694=" ",".",Formulario!O694),".")</f>
        <v>.</v>
      </c>
      <c r="S686" s="141" t="s">
        <v>131</v>
      </c>
    </row>
    <row r="687" spans="1:19">
      <c r="A687" s="141">
        <f>Formulario!B695</f>
        <v>0</v>
      </c>
      <c r="B687" s="144" t="str">
        <f>IF(G687="."," ",Formulario!D$5)</f>
        <v xml:space="preserve"> </v>
      </c>
      <c r="C687" s="144" t="str">
        <f>IF(G687=".","",Formulario!D$6)</f>
        <v/>
      </c>
      <c r="D687" s="144" t="str">
        <f>IF(H687=".","",Formulario!D$7)</f>
        <v/>
      </c>
      <c r="E687" s="144" t="str">
        <f>IF(G687=".","",Formulario!J$5)</f>
        <v/>
      </c>
      <c r="F687" s="145" t="str">
        <f>IF(G687=".","",Formulario!J$6)</f>
        <v/>
      </c>
      <c r="G687" s="180" t="str">
        <f>IF(Formulario!C695&lt;&gt;"",IF(Formulario!C695=" ","Falta Depto",IF(H687=".","Error En Descripción",Formulario!C695)),IF(H687=".",".","Falta Datos"))</f>
        <v>.</v>
      </c>
      <c r="H687" s="144" t="str">
        <f>IF(Formulario!D695&lt;&gt;"",IF(Formulario!D695=" ",".",Formulario!D695),".")</f>
        <v>.</v>
      </c>
      <c r="I687" s="144" t="str">
        <f>IF(Formulario!E695&lt;&gt;"",IF(Formulario!E695=" "," ",Formulario!E695),IF(G687=".",".","Falta Propietario"))</f>
        <v>.</v>
      </c>
      <c r="J687" s="144" t="str">
        <f>IF(Formulario!F695&lt;&gt;"",IF(Formulario!F695=" "," ",Formulario!F695)," ")</f>
        <v xml:space="preserve"> </v>
      </c>
      <c r="K687" s="144" t="str">
        <f>IF(Formulario!G695&lt;&gt;"",IF(Formulario!G695=" "," ",Formulario!G695)," ")</f>
        <v xml:space="preserve"> </v>
      </c>
      <c r="L687" s="144" t="str">
        <f>IF(Formulario!H695&lt;&gt;"",IF(Formulario!H695=" "," ",Formulario!H695)," ")</f>
        <v xml:space="preserve"> </v>
      </c>
      <c r="M687" s="144" t="str">
        <f>IF(Formulario!I695&lt;&gt;"",IF(Formulario!I695=" "," ",Formulario!I695)," ")</f>
        <v xml:space="preserve"> </v>
      </c>
      <c r="N687" s="145" t="str">
        <f>IF(Formulario!J695&lt;&gt;"",IF(Formulario!J695=" "," ",Formulario!J695),IF(G687=".",".","Falta Fecha"))</f>
        <v>.</v>
      </c>
      <c r="O687" s="155">
        <f>Formulario!L695</f>
        <v>0</v>
      </c>
      <c r="P687" s="146">
        <f>IF(O687=1,"09:00",Formulario!M695)</f>
        <v>0</v>
      </c>
      <c r="Q687" s="146">
        <f>IF(O687=1,"18:30",Formulario!N695)</f>
        <v>0</v>
      </c>
      <c r="R687" s="146" t="str">
        <f>IF(Formulario!O695&lt;&gt;"",IF(Formulario!O695=" ",".",Formulario!O695),".")</f>
        <v>.</v>
      </c>
      <c r="S687" s="141" t="s">
        <v>131</v>
      </c>
    </row>
    <row r="688" spans="1:19">
      <c r="A688" s="141">
        <f>Formulario!B696</f>
        <v>0</v>
      </c>
      <c r="B688" s="144" t="str">
        <f>IF(G688="."," ",Formulario!D$5)</f>
        <v xml:space="preserve"> </v>
      </c>
      <c r="C688" s="144" t="str">
        <f>IF(G688=".","",Formulario!D$6)</f>
        <v/>
      </c>
      <c r="D688" s="144" t="str">
        <f>IF(H688=".","",Formulario!D$7)</f>
        <v/>
      </c>
      <c r="E688" s="144" t="str">
        <f>IF(G688=".","",Formulario!J$5)</f>
        <v/>
      </c>
      <c r="F688" s="145" t="str">
        <f>IF(G688=".","",Formulario!J$6)</f>
        <v/>
      </c>
      <c r="G688" s="180" t="str">
        <f>IF(Formulario!C696&lt;&gt;"",IF(Formulario!C696=" ","Falta Depto",IF(H688=".","Error En Descripción",Formulario!C696)),IF(H688=".",".","Falta Datos"))</f>
        <v>.</v>
      </c>
      <c r="H688" s="144" t="str">
        <f>IF(Formulario!D696&lt;&gt;"",IF(Formulario!D696=" ",".",Formulario!D696),".")</f>
        <v>.</v>
      </c>
      <c r="I688" s="144" t="str">
        <f>IF(Formulario!E696&lt;&gt;"",IF(Formulario!E696=" "," ",Formulario!E696),IF(G688=".",".","Falta Propietario"))</f>
        <v>.</v>
      </c>
      <c r="J688" s="144" t="str">
        <f>IF(Formulario!F696&lt;&gt;"",IF(Formulario!F696=" "," ",Formulario!F696)," ")</f>
        <v xml:space="preserve"> </v>
      </c>
      <c r="K688" s="144" t="str">
        <f>IF(Formulario!G696&lt;&gt;"",IF(Formulario!G696=" "," ",Formulario!G696)," ")</f>
        <v xml:space="preserve"> </v>
      </c>
      <c r="L688" s="144" t="str">
        <f>IF(Formulario!H696&lt;&gt;"",IF(Formulario!H696=" "," ",Formulario!H696)," ")</f>
        <v xml:space="preserve"> </v>
      </c>
      <c r="M688" s="144" t="str">
        <f>IF(Formulario!I696&lt;&gt;"",IF(Formulario!I696=" "," ",Formulario!I696)," ")</f>
        <v xml:space="preserve"> </v>
      </c>
      <c r="N688" s="145" t="str">
        <f>IF(Formulario!J696&lt;&gt;"",IF(Formulario!J696=" "," ",Formulario!J696),IF(G688=".",".","Falta Fecha"))</f>
        <v>.</v>
      </c>
      <c r="O688" s="155">
        <f>Formulario!L696</f>
        <v>0</v>
      </c>
      <c r="P688" s="146">
        <f>IF(O688=1,"09:00",Formulario!M696)</f>
        <v>0</v>
      </c>
      <c r="Q688" s="146">
        <f>IF(O688=1,"18:30",Formulario!N696)</f>
        <v>0</v>
      </c>
      <c r="R688" s="146" t="str">
        <f>IF(Formulario!O696&lt;&gt;"",IF(Formulario!O696=" ",".",Formulario!O696),".")</f>
        <v>.</v>
      </c>
      <c r="S688" s="141" t="s">
        <v>131</v>
      </c>
    </row>
    <row r="689" spans="1:19">
      <c r="A689" s="141">
        <f>Formulario!B697</f>
        <v>0</v>
      </c>
      <c r="B689" s="144" t="str">
        <f>IF(G689="."," ",Formulario!D$5)</f>
        <v xml:space="preserve"> </v>
      </c>
      <c r="C689" s="144" t="str">
        <f>IF(G689=".","",Formulario!D$6)</f>
        <v/>
      </c>
      <c r="D689" s="144" t="str">
        <f>IF(H689=".","",Formulario!D$7)</f>
        <v/>
      </c>
      <c r="E689" s="144" t="str">
        <f>IF(G689=".","",Formulario!J$5)</f>
        <v/>
      </c>
      <c r="F689" s="145" t="str">
        <f>IF(G689=".","",Formulario!J$6)</f>
        <v/>
      </c>
      <c r="G689" s="180" t="str">
        <f>IF(Formulario!C697&lt;&gt;"",IF(Formulario!C697=" ","Falta Depto",IF(H689=".","Error En Descripción",Formulario!C697)),IF(H689=".",".","Falta Datos"))</f>
        <v>.</v>
      </c>
      <c r="H689" s="144" t="str">
        <f>IF(Formulario!D697&lt;&gt;"",IF(Formulario!D697=" ",".",Formulario!D697),".")</f>
        <v>.</v>
      </c>
      <c r="I689" s="144" t="str">
        <f>IF(Formulario!E697&lt;&gt;"",IF(Formulario!E697=" "," ",Formulario!E697),IF(G689=".",".","Falta Propietario"))</f>
        <v>.</v>
      </c>
      <c r="J689" s="144" t="str">
        <f>IF(Formulario!F697&lt;&gt;"",IF(Formulario!F697=" "," ",Formulario!F697)," ")</f>
        <v xml:space="preserve"> </v>
      </c>
      <c r="K689" s="144" t="str">
        <f>IF(Formulario!G697&lt;&gt;"",IF(Formulario!G697=" "," ",Formulario!G697)," ")</f>
        <v xml:space="preserve"> </v>
      </c>
      <c r="L689" s="144" t="str">
        <f>IF(Formulario!H697&lt;&gt;"",IF(Formulario!H697=" "," ",Formulario!H697)," ")</f>
        <v xml:space="preserve"> </v>
      </c>
      <c r="M689" s="144" t="str">
        <f>IF(Formulario!I697&lt;&gt;"",IF(Formulario!I697=" "," ",Formulario!I697)," ")</f>
        <v xml:space="preserve"> </v>
      </c>
      <c r="N689" s="145" t="str">
        <f>IF(Formulario!J697&lt;&gt;"",IF(Formulario!J697=" "," ",Formulario!J697),IF(G689=".",".","Falta Fecha"))</f>
        <v>.</v>
      </c>
      <c r="O689" s="155">
        <f>Formulario!L697</f>
        <v>0</v>
      </c>
      <c r="P689" s="146">
        <f>IF(O689=1,"09:00",Formulario!M697)</f>
        <v>0</v>
      </c>
      <c r="Q689" s="146">
        <f>IF(O689=1,"18:30",Formulario!N697)</f>
        <v>0</v>
      </c>
      <c r="R689" s="146" t="str">
        <f>IF(Formulario!O697&lt;&gt;"",IF(Formulario!O697=" ",".",Formulario!O697),".")</f>
        <v>.</v>
      </c>
      <c r="S689" s="141" t="s">
        <v>131</v>
      </c>
    </row>
    <row r="690" spans="1:19">
      <c r="A690" s="141">
        <f>Formulario!B698</f>
        <v>0</v>
      </c>
      <c r="B690" s="144" t="str">
        <f>IF(G690="."," ",Formulario!D$5)</f>
        <v xml:space="preserve"> </v>
      </c>
      <c r="C690" s="144" t="str">
        <f>IF(G690=".","",Formulario!D$6)</f>
        <v/>
      </c>
      <c r="D690" s="144" t="str">
        <f>IF(H690=".","",Formulario!D$7)</f>
        <v/>
      </c>
      <c r="E690" s="144" t="str">
        <f>IF(G690=".","",Formulario!J$5)</f>
        <v/>
      </c>
      <c r="F690" s="145" t="str">
        <f>IF(G690=".","",Formulario!J$6)</f>
        <v/>
      </c>
      <c r="G690" s="180" t="str">
        <f>IF(Formulario!C698&lt;&gt;"",IF(Formulario!C698=" ","Falta Depto",IF(H690=".","Error En Descripción",Formulario!C698)),IF(H690=".",".","Falta Datos"))</f>
        <v>.</v>
      </c>
      <c r="H690" s="144" t="str">
        <f>IF(Formulario!D698&lt;&gt;"",IF(Formulario!D698=" ",".",Formulario!D698),".")</f>
        <v>.</v>
      </c>
      <c r="I690" s="144" t="str">
        <f>IF(Formulario!E698&lt;&gt;"",IF(Formulario!E698=" "," ",Formulario!E698),IF(G690=".",".","Falta Propietario"))</f>
        <v>.</v>
      </c>
      <c r="J690" s="144" t="str">
        <f>IF(Formulario!F698&lt;&gt;"",IF(Formulario!F698=" "," ",Formulario!F698)," ")</f>
        <v xml:space="preserve"> </v>
      </c>
      <c r="K690" s="144" t="str">
        <f>IF(Formulario!G698&lt;&gt;"",IF(Formulario!G698=" "," ",Formulario!G698)," ")</f>
        <v xml:space="preserve"> </v>
      </c>
      <c r="L690" s="144" t="str">
        <f>IF(Formulario!H698&lt;&gt;"",IF(Formulario!H698=" "," ",Formulario!H698)," ")</f>
        <v xml:space="preserve"> </v>
      </c>
      <c r="M690" s="144" t="str">
        <f>IF(Formulario!I698&lt;&gt;"",IF(Formulario!I698=" "," ",Formulario!I698)," ")</f>
        <v xml:space="preserve"> </v>
      </c>
      <c r="N690" s="145" t="str">
        <f>IF(Formulario!J698&lt;&gt;"",IF(Formulario!J698=" "," ",Formulario!J698),IF(G690=".",".","Falta Fecha"))</f>
        <v>.</v>
      </c>
      <c r="O690" s="155">
        <f>Formulario!L698</f>
        <v>0</v>
      </c>
      <c r="P690" s="146">
        <f>IF(O690=1,"09:00",Formulario!M698)</f>
        <v>0</v>
      </c>
      <c r="Q690" s="146">
        <f>IF(O690=1,"18:30",Formulario!N698)</f>
        <v>0</v>
      </c>
      <c r="R690" s="146" t="str">
        <f>IF(Formulario!O698&lt;&gt;"",IF(Formulario!O698=" ",".",Formulario!O698),".")</f>
        <v>.</v>
      </c>
      <c r="S690" s="141" t="s">
        <v>131</v>
      </c>
    </row>
    <row r="691" spans="1:19">
      <c r="A691" s="141">
        <f>Formulario!B699</f>
        <v>0</v>
      </c>
      <c r="B691" s="144" t="str">
        <f>IF(G691="."," ",Formulario!D$5)</f>
        <v xml:space="preserve"> </v>
      </c>
      <c r="C691" s="144" t="str">
        <f>IF(G691=".","",Formulario!D$6)</f>
        <v/>
      </c>
      <c r="D691" s="144" t="str">
        <f>IF(H691=".","",Formulario!D$7)</f>
        <v/>
      </c>
      <c r="E691" s="144" t="str">
        <f>IF(G691=".","",Formulario!J$5)</f>
        <v/>
      </c>
      <c r="F691" s="145" t="str">
        <f>IF(G691=".","",Formulario!J$6)</f>
        <v/>
      </c>
      <c r="G691" s="180" t="str">
        <f>IF(Formulario!C699&lt;&gt;"",IF(Formulario!C699=" ","Falta Depto",IF(H691=".","Error En Descripción",Formulario!C699)),IF(H691=".",".","Falta Datos"))</f>
        <v>.</v>
      </c>
      <c r="H691" s="144" t="str">
        <f>IF(Formulario!D699&lt;&gt;"",IF(Formulario!D699=" ",".",Formulario!D699),".")</f>
        <v>.</v>
      </c>
      <c r="I691" s="144" t="str">
        <f>IF(Formulario!E699&lt;&gt;"",IF(Formulario!E699=" "," ",Formulario!E699),IF(G691=".",".","Falta Propietario"))</f>
        <v>.</v>
      </c>
      <c r="J691" s="144" t="str">
        <f>IF(Formulario!F699&lt;&gt;"",IF(Formulario!F699=" "," ",Formulario!F699)," ")</f>
        <v xml:space="preserve"> </v>
      </c>
      <c r="K691" s="144" t="str">
        <f>IF(Formulario!G699&lt;&gt;"",IF(Formulario!G699=" "," ",Formulario!G699)," ")</f>
        <v xml:space="preserve"> </v>
      </c>
      <c r="L691" s="144" t="str">
        <f>IF(Formulario!H699&lt;&gt;"",IF(Formulario!H699=" "," ",Formulario!H699)," ")</f>
        <v xml:space="preserve"> </v>
      </c>
      <c r="M691" s="144" t="str">
        <f>IF(Formulario!I699&lt;&gt;"",IF(Formulario!I699=" "," ",Formulario!I699)," ")</f>
        <v xml:space="preserve"> </v>
      </c>
      <c r="N691" s="145" t="str">
        <f>IF(Formulario!J699&lt;&gt;"",IF(Formulario!J699=" "," ",Formulario!J699),IF(G691=".",".","Falta Fecha"))</f>
        <v>.</v>
      </c>
      <c r="O691" s="155">
        <f>Formulario!L699</f>
        <v>0</v>
      </c>
      <c r="P691" s="146">
        <f>IF(O691=1,"09:00",Formulario!M699)</f>
        <v>0</v>
      </c>
      <c r="Q691" s="146">
        <f>IF(O691=1,"18:30",Formulario!N699)</f>
        <v>0</v>
      </c>
      <c r="R691" s="146" t="str">
        <f>IF(Formulario!O699&lt;&gt;"",IF(Formulario!O699=" ",".",Formulario!O699),".")</f>
        <v>.</v>
      </c>
      <c r="S691" s="141" t="s">
        <v>131</v>
      </c>
    </row>
    <row r="692" spans="1:19">
      <c r="A692" s="141">
        <f>Formulario!B700</f>
        <v>0</v>
      </c>
      <c r="B692" s="144" t="str">
        <f>IF(G692="."," ",Formulario!D$5)</f>
        <v xml:space="preserve"> </v>
      </c>
      <c r="C692" s="144" t="str">
        <f>IF(G692=".","",Formulario!D$6)</f>
        <v/>
      </c>
      <c r="D692" s="144" t="str">
        <f>IF(H692=".","",Formulario!D$7)</f>
        <v/>
      </c>
      <c r="E692" s="144" t="str">
        <f>IF(G692=".","",Formulario!J$5)</f>
        <v/>
      </c>
      <c r="F692" s="145" t="str">
        <f>IF(G692=".","",Formulario!J$6)</f>
        <v/>
      </c>
      <c r="G692" s="180" t="str">
        <f>IF(Formulario!C700&lt;&gt;"",IF(Formulario!C700=" ","Falta Depto",IF(H692=".","Error En Descripción",Formulario!C700)),IF(H692=".",".","Falta Datos"))</f>
        <v>.</v>
      </c>
      <c r="H692" s="144" t="str">
        <f>IF(Formulario!D700&lt;&gt;"",IF(Formulario!D700=" ",".",Formulario!D700),".")</f>
        <v>.</v>
      </c>
      <c r="I692" s="144" t="str">
        <f>IF(Formulario!E700&lt;&gt;"",IF(Formulario!E700=" "," ",Formulario!E700),IF(G692=".",".","Falta Propietario"))</f>
        <v>.</v>
      </c>
      <c r="J692" s="144" t="str">
        <f>IF(Formulario!F700&lt;&gt;"",IF(Formulario!F700=" "," ",Formulario!F700)," ")</f>
        <v xml:space="preserve"> </v>
      </c>
      <c r="K692" s="144" t="str">
        <f>IF(Formulario!G700&lt;&gt;"",IF(Formulario!G700=" "," ",Formulario!G700)," ")</f>
        <v xml:space="preserve"> </v>
      </c>
      <c r="L692" s="144" t="str">
        <f>IF(Formulario!H700&lt;&gt;"",IF(Formulario!H700=" "," ",Formulario!H700)," ")</f>
        <v xml:space="preserve"> </v>
      </c>
      <c r="M692" s="144" t="str">
        <f>IF(Formulario!I700&lt;&gt;"",IF(Formulario!I700=" "," ",Formulario!I700)," ")</f>
        <v xml:space="preserve"> </v>
      </c>
      <c r="N692" s="145" t="str">
        <f>IF(Formulario!J700&lt;&gt;"",IF(Formulario!J700=" "," ",Formulario!J700),IF(G692=".",".","Falta Fecha"))</f>
        <v>.</v>
      </c>
      <c r="O692" s="155">
        <f>Formulario!L700</f>
        <v>0</v>
      </c>
      <c r="P692" s="146">
        <f>IF(O692=1,"09:00",Formulario!M700)</f>
        <v>0</v>
      </c>
      <c r="Q692" s="146">
        <f>IF(O692=1,"18:30",Formulario!N700)</f>
        <v>0</v>
      </c>
      <c r="R692" s="146" t="str">
        <f>IF(Formulario!O700&lt;&gt;"",IF(Formulario!O700=" ",".",Formulario!O700),".")</f>
        <v>.</v>
      </c>
      <c r="S692" s="141" t="s">
        <v>131</v>
      </c>
    </row>
    <row r="693" spans="1:19">
      <c r="A693" s="141">
        <f>Formulario!B701</f>
        <v>0</v>
      </c>
      <c r="B693" s="144" t="str">
        <f>IF(G693="."," ",Formulario!D$5)</f>
        <v xml:space="preserve"> </v>
      </c>
      <c r="C693" s="144" t="str">
        <f>IF(G693=".","",Formulario!D$6)</f>
        <v/>
      </c>
      <c r="D693" s="144" t="str">
        <f>IF(H693=".","",Formulario!D$7)</f>
        <v/>
      </c>
      <c r="E693" s="144" t="str">
        <f>IF(G693=".","",Formulario!J$5)</f>
        <v/>
      </c>
      <c r="F693" s="145" t="str">
        <f>IF(G693=".","",Formulario!J$6)</f>
        <v/>
      </c>
      <c r="G693" s="180" t="str">
        <f>IF(Formulario!C701&lt;&gt;"",IF(Formulario!C701=" ","Falta Depto",IF(H693=".","Error En Descripción",Formulario!C701)),IF(H693=".",".","Falta Datos"))</f>
        <v>.</v>
      </c>
      <c r="H693" s="144" t="str">
        <f>IF(Formulario!D701&lt;&gt;"",IF(Formulario!D701=" ",".",Formulario!D701),".")</f>
        <v>.</v>
      </c>
      <c r="I693" s="144" t="str">
        <f>IF(Formulario!E701&lt;&gt;"",IF(Formulario!E701=" "," ",Formulario!E701),IF(G693=".",".","Falta Propietario"))</f>
        <v>.</v>
      </c>
      <c r="J693" s="144" t="str">
        <f>IF(Formulario!F701&lt;&gt;"",IF(Formulario!F701=" "," ",Formulario!F701)," ")</f>
        <v xml:space="preserve"> </v>
      </c>
      <c r="K693" s="144" t="str">
        <f>IF(Formulario!G701&lt;&gt;"",IF(Formulario!G701=" "," ",Formulario!G701)," ")</f>
        <v xml:space="preserve"> </v>
      </c>
      <c r="L693" s="144" t="str">
        <f>IF(Formulario!H701&lt;&gt;"",IF(Formulario!H701=" "," ",Formulario!H701)," ")</f>
        <v xml:space="preserve"> </v>
      </c>
      <c r="M693" s="144" t="str">
        <f>IF(Formulario!I701&lt;&gt;"",IF(Formulario!I701=" "," ",Formulario!I701)," ")</f>
        <v xml:space="preserve"> </v>
      </c>
      <c r="N693" s="145" t="str">
        <f>IF(Formulario!J701&lt;&gt;"",IF(Formulario!J701=" "," ",Formulario!J701),IF(G693=".",".","Falta Fecha"))</f>
        <v>.</v>
      </c>
      <c r="O693" s="155">
        <f>Formulario!L701</f>
        <v>0</v>
      </c>
      <c r="P693" s="146">
        <f>IF(O693=1,"09:00",Formulario!M701)</f>
        <v>0</v>
      </c>
      <c r="Q693" s="146">
        <f>IF(O693=1,"18:30",Formulario!N701)</f>
        <v>0</v>
      </c>
      <c r="R693" s="146" t="str">
        <f>IF(Formulario!O701&lt;&gt;"",IF(Formulario!O701=" ",".",Formulario!O701),".")</f>
        <v>.</v>
      </c>
      <c r="S693" s="141" t="s">
        <v>131</v>
      </c>
    </row>
    <row r="694" spans="1:19">
      <c r="A694" s="141">
        <f>Formulario!B702</f>
        <v>0</v>
      </c>
      <c r="B694" s="144" t="str">
        <f>IF(G694="."," ",Formulario!D$5)</f>
        <v xml:space="preserve"> </v>
      </c>
      <c r="C694" s="144" t="str">
        <f>IF(G694=".","",Formulario!D$6)</f>
        <v/>
      </c>
      <c r="D694" s="144" t="str">
        <f>IF(H694=".","",Formulario!D$7)</f>
        <v/>
      </c>
      <c r="E694" s="144" t="str">
        <f>IF(G694=".","",Formulario!J$5)</f>
        <v/>
      </c>
      <c r="F694" s="145" t="str">
        <f>IF(G694=".","",Formulario!J$6)</f>
        <v/>
      </c>
      <c r="G694" s="180" t="str">
        <f>IF(Formulario!C702&lt;&gt;"",IF(Formulario!C702=" ","Falta Depto",IF(H694=".","Error En Descripción",Formulario!C702)),IF(H694=".",".","Falta Datos"))</f>
        <v>.</v>
      </c>
      <c r="H694" s="144" t="str">
        <f>IF(Formulario!D702&lt;&gt;"",IF(Formulario!D702=" ",".",Formulario!D702),".")</f>
        <v>.</v>
      </c>
      <c r="I694" s="144" t="str">
        <f>IF(Formulario!E702&lt;&gt;"",IF(Formulario!E702=" "," ",Formulario!E702),IF(G694=".",".","Falta Propietario"))</f>
        <v>.</v>
      </c>
      <c r="J694" s="144" t="str">
        <f>IF(Formulario!F702&lt;&gt;"",IF(Formulario!F702=" "," ",Formulario!F702)," ")</f>
        <v xml:space="preserve"> </v>
      </c>
      <c r="K694" s="144" t="str">
        <f>IF(Formulario!G702&lt;&gt;"",IF(Formulario!G702=" "," ",Formulario!G702)," ")</f>
        <v xml:space="preserve"> </v>
      </c>
      <c r="L694" s="144" t="str">
        <f>IF(Formulario!H702&lt;&gt;"",IF(Formulario!H702=" "," ",Formulario!H702)," ")</f>
        <v xml:space="preserve"> </v>
      </c>
      <c r="M694" s="144" t="str">
        <f>IF(Formulario!I702&lt;&gt;"",IF(Formulario!I702=" "," ",Formulario!I702)," ")</f>
        <v xml:space="preserve"> </v>
      </c>
      <c r="N694" s="145" t="str">
        <f>IF(Formulario!J702&lt;&gt;"",IF(Formulario!J702=" "," ",Formulario!J702),IF(G694=".",".","Falta Fecha"))</f>
        <v>.</v>
      </c>
      <c r="O694" s="155">
        <f>Formulario!L702</f>
        <v>0</v>
      </c>
      <c r="P694" s="146">
        <f>IF(O694=1,"09:00",Formulario!M702)</f>
        <v>0</v>
      </c>
      <c r="Q694" s="146">
        <f>IF(O694=1,"18:30",Formulario!N702)</f>
        <v>0</v>
      </c>
      <c r="R694" s="146" t="str">
        <f>IF(Formulario!O702&lt;&gt;"",IF(Formulario!O702=" ",".",Formulario!O702),".")</f>
        <v>.</v>
      </c>
      <c r="S694" s="141" t="s">
        <v>131</v>
      </c>
    </row>
    <row r="695" spans="1:19">
      <c r="A695" s="141">
        <f>Formulario!B703</f>
        <v>0</v>
      </c>
      <c r="B695" s="144" t="str">
        <f>IF(G695="."," ",Formulario!D$5)</f>
        <v xml:space="preserve"> </v>
      </c>
      <c r="C695" s="144" t="str">
        <f>IF(G695=".","",Formulario!D$6)</f>
        <v/>
      </c>
      <c r="D695" s="144" t="str">
        <f>IF(H695=".","",Formulario!D$7)</f>
        <v/>
      </c>
      <c r="E695" s="144" t="str">
        <f>IF(G695=".","",Formulario!J$5)</f>
        <v/>
      </c>
      <c r="F695" s="145" t="str">
        <f>IF(G695=".","",Formulario!J$6)</f>
        <v/>
      </c>
      <c r="G695" s="180" t="str">
        <f>IF(Formulario!C703&lt;&gt;"",IF(Formulario!C703=" ","Falta Depto",IF(H695=".","Error En Descripción",Formulario!C703)),IF(H695=".",".","Falta Datos"))</f>
        <v>.</v>
      </c>
      <c r="H695" s="144" t="str">
        <f>IF(Formulario!D703&lt;&gt;"",IF(Formulario!D703=" ",".",Formulario!D703),".")</f>
        <v>.</v>
      </c>
      <c r="I695" s="144" t="str">
        <f>IF(Formulario!E703&lt;&gt;"",IF(Formulario!E703=" "," ",Formulario!E703),IF(G695=".",".","Falta Propietario"))</f>
        <v>.</v>
      </c>
      <c r="J695" s="144" t="str">
        <f>IF(Formulario!F703&lt;&gt;"",IF(Formulario!F703=" "," ",Formulario!F703)," ")</f>
        <v xml:space="preserve"> </v>
      </c>
      <c r="K695" s="144" t="str">
        <f>IF(Formulario!G703&lt;&gt;"",IF(Formulario!G703=" "," ",Formulario!G703)," ")</f>
        <v xml:space="preserve"> </v>
      </c>
      <c r="L695" s="144" t="str">
        <f>IF(Formulario!H703&lt;&gt;"",IF(Formulario!H703=" "," ",Formulario!H703)," ")</f>
        <v xml:space="preserve"> </v>
      </c>
      <c r="M695" s="144" t="str">
        <f>IF(Formulario!I703&lt;&gt;"",IF(Formulario!I703=" "," ",Formulario!I703)," ")</f>
        <v xml:space="preserve"> </v>
      </c>
      <c r="N695" s="145" t="str">
        <f>IF(Formulario!J703&lt;&gt;"",IF(Formulario!J703=" "," ",Formulario!J703),IF(G695=".",".","Falta Fecha"))</f>
        <v>.</v>
      </c>
      <c r="O695" s="155">
        <f>Formulario!L703</f>
        <v>0</v>
      </c>
      <c r="P695" s="146">
        <f>IF(O695=1,"09:00",Formulario!M703)</f>
        <v>0</v>
      </c>
      <c r="Q695" s="146">
        <f>IF(O695=1,"18:30",Formulario!N703)</f>
        <v>0</v>
      </c>
      <c r="R695" s="146" t="str">
        <f>IF(Formulario!O703&lt;&gt;"",IF(Formulario!O703=" ",".",Formulario!O703),".")</f>
        <v>.</v>
      </c>
      <c r="S695" s="141" t="s">
        <v>131</v>
      </c>
    </row>
    <row r="696" spans="1:19">
      <c r="A696" s="141">
        <f>Formulario!B704</f>
        <v>0</v>
      </c>
      <c r="B696" s="144" t="str">
        <f>IF(G696="."," ",Formulario!D$5)</f>
        <v xml:space="preserve"> </v>
      </c>
      <c r="C696" s="144" t="str">
        <f>IF(G696=".","",Formulario!D$6)</f>
        <v/>
      </c>
      <c r="D696" s="144" t="str">
        <f>IF(H696=".","",Formulario!D$7)</f>
        <v/>
      </c>
      <c r="E696" s="144" t="str">
        <f>IF(G696=".","",Formulario!J$5)</f>
        <v/>
      </c>
      <c r="F696" s="145" t="str">
        <f>IF(G696=".","",Formulario!J$6)</f>
        <v/>
      </c>
      <c r="G696" s="180" t="str">
        <f>IF(Formulario!C704&lt;&gt;"",IF(Formulario!C704=" ","Falta Depto",IF(H696=".","Error En Descripción",Formulario!C704)),IF(H696=".",".","Falta Datos"))</f>
        <v>.</v>
      </c>
      <c r="H696" s="144" t="str">
        <f>IF(Formulario!D704&lt;&gt;"",IF(Formulario!D704=" ",".",Formulario!D704),".")</f>
        <v>.</v>
      </c>
      <c r="I696" s="144" t="str">
        <f>IF(Formulario!E704&lt;&gt;"",IF(Formulario!E704=" "," ",Formulario!E704),IF(G696=".",".","Falta Propietario"))</f>
        <v>.</v>
      </c>
      <c r="J696" s="144" t="str">
        <f>IF(Formulario!F704&lt;&gt;"",IF(Formulario!F704=" "," ",Formulario!F704)," ")</f>
        <v xml:space="preserve"> </v>
      </c>
      <c r="K696" s="144" t="str">
        <f>IF(Formulario!G704&lt;&gt;"",IF(Formulario!G704=" "," ",Formulario!G704)," ")</f>
        <v xml:space="preserve"> </v>
      </c>
      <c r="L696" s="144" t="str">
        <f>IF(Formulario!H704&lt;&gt;"",IF(Formulario!H704=" "," ",Formulario!H704)," ")</f>
        <v xml:space="preserve"> </v>
      </c>
      <c r="M696" s="144" t="str">
        <f>IF(Formulario!I704&lt;&gt;"",IF(Formulario!I704=" "," ",Formulario!I704)," ")</f>
        <v xml:space="preserve"> </v>
      </c>
      <c r="N696" s="145" t="str">
        <f>IF(Formulario!J704&lt;&gt;"",IF(Formulario!J704=" "," ",Formulario!J704),IF(G696=".",".","Falta Fecha"))</f>
        <v>.</v>
      </c>
      <c r="O696" s="155">
        <f>Formulario!L704</f>
        <v>0</v>
      </c>
      <c r="P696" s="146">
        <f>IF(O696=1,"09:00",Formulario!M704)</f>
        <v>0</v>
      </c>
      <c r="Q696" s="146">
        <f>IF(O696=1,"18:30",Formulario!N704)</f>
        <v>0</v>
      </c>
      <c r="R696" s="146" t="str">
        <f>IF(Formulario!O704&lt;&gt;"",IF(Formulario!O704=" ",".",Formulario!O704),".")</f>
        <v>.</v>
      </c>
      <c r="S696" s="141" t="s">
        <v>131</v>
      </c>
    </row>
    <row r="697" spans="1:19">
      <c r="A697" s="141">
        <f>Formulario!B705</f>
        <v>0</v>
      </c>
      <c r="B697" s="144" t="str">
        <f>IF(G697="."," ",Formulario!D$5)</f>
        <v xml:space="preserve"> </v>
      </c>
      <c r="C697" s="144" t="str">
        <f>IF(G697=".","",Formulario!D$6)</f>
        <v/>
      </c>
      <c r="D697" s="144" t="str">
        <f>IF(H697=".","",Formulario!D$7)</f>
        <v/>
      </c>
      <c r="E697" s="144" t="str">
        <f>IF(G697=".","",Formulario!J$5)</f>
        <v/>
      </c>
      <c r="F697" s="145" t="str">
        <f>IF(G697=".","",Formulario!J$6)</f>
        <v/>
      </c>
      <c r="G697" s="180" t="str">
        <f>IF(Formulario!C705&lt;&gt;"",IF(Formulario!C705=" ","Falta Depto",IF(H697=".","Error En Descripción",Formulario!C705)),IF(H697=".",".","Falta Datos"))</f>
        <v>.</v>
      </c>
      <c r="H697" s="144" t="str">
        <f>IF(Formulario!D705&lt;&gt;"",IF(Formulario!D705=" ",".",Formulario!D705),".")</f>
        <v>.</v>
      </c>
      <c r="I697" s="144" t="str">
        <f>IF(Formulario!E705&lt;&gt;"",IF(Formulario!E705=" "," ",Formulario!E705),IF(G697=".",".","Falta Propietario"))</f>
        <v>.</v>
      </c>
      <c r="J697" s="144" t="str">
        <f>IF(Formulario!F705&lt;&gt;"",IF(Formulario!F705=" "," ",Formulario!F705)," ")</f>
        <v xml:space="preserve"> </v>
      </c>
      <c r="K697" s="144" t="str">
        <f>IF(Formulario!G705&lt;&gt;"",IF(Formulario!G705=" "," ",Formulario!G705)," ")</f>
        <v xml:space="preserve"> </v>
      </c>
      <c r="L697" s="144" t="str">
        <f>IF(Formulario!H705&lt;&gt;"",IF(Formulario!H705=" "," ",Formulario!H705)," ")</f>
        <v xml:space="preserve"> </v>
      </c>
      <c r="M697" s="144" t="str">
        <f>IF(Formulario!I705&lt;&gt;"",IF(Formulario!I705=" "," ",Formulario!I705)," ")</f>
        <v xml:space="preserve"> </v>
      </c>
      <c r="N697" s="145" t="str">
        <f>IF(Formulario!J705&lt;&gt;"",IF(Formulario!J705=" "," ",Formulario!J705),IF(G697=".",".","Falta Fecha"))</f>
        <v>.</v>
      </c>
      <c r="O697" s="155">
        <f>Formulario!L705</f>
        <v>0</v>
      </c>
      <c r="P697" s="146">
        <f>IF(O697=1,"09:00",Formulario!M705)</f>
        <v>0</v>
      </c>
      <c r="Q697" s="146">
        <f>IF(O697=1,"18:30",Formulario!N705)</f>
        <v>0</v>
      </c>
      <c r="R697" s="146" t="str">
        <f>IF(Formulario!O705&lt;&gt;"",IF(Formulario!O705=" ",".",Formulario!O705),".")</f>
        <v>.</v>
      </c>
      <c r="S697" s="141" t="s">
        <v>131</v>
      </c>
    </row>
    <row r="698" spans="1:19">
      <c r="A698" s="141">
        <f>Formulario!B706</f>
        <v>0</v>
      </c>
      <c r="B698" s="144" t="str">
        <f>IF(G698="."," ",Formulario!D$5)</f>
        <v xml:space="preserve"> </v>
      </c>
      <c r="C698" s="144" t="str">
        <f>IF(G698=".","",Formulario!D$6)</f>
        <v/>
      </c>
      <c r="D698" s="144" t="str">
        <f>IF(H698=".","",Formulario!D$7)</f>
        <v/>
      </c>
      <c r="E698" s="144" t="str">
        <f>IF(G698=".","",Formulario!J$5)</f>
        <v/>
      </c>
      <c r="F698" s="145" t="str">
        <f>IF(G698=".","",Formulario!J$6)</f>
        <v/>
      </c>
      <c r="G698" s="180" t="str">
        <f>IF(Formulario!C706&lt;&gt;"",IF(Formulario!C706=" ","Falta Depto",IF(H698=".","Error En Descripción",Formulario!C706)),IF(H698=".",".","Falta Datos"))</f>
        <v>.</v>
      </c>
      <c r="H698" s="144" t="str">
        <f>IF(Formulario!D706&lt;&gt;"",IF(Formulario!D706=" ",".",Formulario!D706),".")</f>
        <v>.</v>
      </c>
      <c r="I698" s="144" t="str">
        <f>IF(Formulario!E706&lt;&gt;"",IF(Formulario!E706=" "," ",Formulario!E706),IF(G698=".",".","Falta Propietario"))</f>
        <v>.</v>
      </c>
      <c r="J698" s="144" t="str">
        <f>IF(Formulario!F706&lt;&gt;"",IF(Formulario!F706=" "," ",Formulario!F706)," ")</f>
        <v xml:space="preserve"> </v>
      </c>
      <c r="K698" s="144" t="str">
        <f>IF(Formulario!G706&lt;&gt;"",IF(Formulario!G706=" "," ",Formulario!G706)," ")</f>
        <v xml:space="preserve"> </v>
      </c>
      <c r="L698" s="144" t="str">
        <f>IF(Formulario!H706&lt;&gt;"",IF(Formulario!H706=" "," ",Formulario!H706)," ")</f>
        <v xml:space="preserve"> </v>
      </c>
      <c r="M698" s="144" t="str">
        <f>IF(Formulario!I706&lt;&gt;"",IF(Formulario!I706=" "," ",Formulario!I706)," ")</f>
        <v xml:space="preserve"> </v>
      </c>
      <c r="N698" s="145" t="str">
        <f>IF(Formulario!J706&lt;&gt;"",IF(Formulario!J706=" "," ",Formulario!J706),IF(G698=".",".","Falta Fecha"))</f>
        <v>.</v>
      </c>
      <c r="O698" s="155">
        <f>Formulario!L706</f>
        <v>0</v>
      </c>
      <c r="P698" s="146">
        <f>IF(O698=1,"09:00",Formulario!M706)</f>
        <v>0</v>
      </c>
      <c r="Q698" s="146">
        <f>IF(O698=1,"18:30",Formulario!N706)</f>
        <v>0</v>
      </c>
      <c r="R698" s="146" t="str">
        <f>IF(Formulario!O706&lt;&gt;"",IF(Formulario!O706=" ",".",Formulario!O706),".")</f>
        <v>.</v>
      </c>
      <c r="S698" s="141" t="s">
        <v>131</v>
      </c>
    </row>
    <row r="699" spans="1:19">
      <c r="A699" s="141">
        <f>Formulario!B707</f>
        <v>0</v>
      </c>
      <c r="B699" s="144" t="str">
        <f>IF(G699="."," ",Formulario!D$5)</f>
        <v xml:space="preserve"> </v>
      </c>
      <c r="C699" s="144" t="str">
        <f>IF(G699=".","",Formulario!D$6)</f>
        <v/>
      </c>
      <c r="D699" s="144" t="str">
        <f>IF(H699=".","",Formulario!D$7)</f>
        <v/>
      </c>
      <c r="E699" s="144" t="str">
        <f>IF(G699=".","",Formulario!J$5)</f>
        <v/>
      </c>
      <c r="F699" s="145" t="str">
        <f>IF(G699=".","",Formulario!J$6)</f>
        <v/>
      </c>
      <c r="G699" s="180" t="str">
        <f>IF(Formulario!C707&lt;&gt;"",IF(Formulario!C707=" ","Falta Depto",IF(H699=".","Error En Descripción",Formulario!C707)),IF(H699=".",".","Falta Datos"))</f>
        <v>.</v>
      </c>
      <c r="H699" s="144" t="str">
        <f>IF(Formulario!D707&lt;&gt;"",IF(Formulario!D707=" ",".",Formulario!D707),".")</f>
        <v>.</v>
      </c>
      <c r="I699" s="144" t="str">
        <f>IF(Formulario!E707&lt;&gt;"",IF(Formulario!E707=" "," ",Formulario!E707),IF(G699=".",".","Falta Propietario"))</f>
        <v>.</v>
      </c>
      <c r="J699" s="144" t="str">
        <f>IF(Formulario!F707&lt;&gt;"",IF(Formulario!F707=" "," ",Formulario!F707)," ")</f>
        <v xml:space="preserve"> </v>
      </c>
      <c r="K699" s="144" t="str">
        <f>IF(Formulario!G707&lt;&gt;"",IF(Formulario!G707=" "," ",Formulario!G707)," ")</f>
        <v xml:space="preserve"> </v>
      </c>
      <c r="L699" s="144" t="str">
        <f>IF(Formulario!H707&lt;&gt;"",IF(Formulario!H707=" "," ",Formulario!H707)," ")</f>
        <v xml:space="preserve"> </v>
      </c>
      <c r="M699" s="144" t="str">
        <f>IF(Formulario!I707&lt;&gt;"",IF(Formulario!I707=" "," ",Formulario!I707)," ")</f>
        <v xml:space="preserve"> </v>
      </c>
      <c r="N699" s="145" t="str">
        <f>IF(Formulario!J707&lt;&gt;"",IF(Formulario!J707=" "," ",Formulario!J707),IF(G699=".",".","Falta Fecha"))</f>
        <v>.</v>
      </c>
      <c r="O699" s="155">
        <f>Formulario!L707</f>
        <v>0</v>
      </c>
      <c r="P699" s="146">
        <f>IF(O699=1,"09:00",Formulario!M707)</f>
        <v>0</v>
      </c>
      <c r="Q699" s="146">
        <f>IF(O699=1,"18:30",Formulario!N707)</f>
        <v>0</v>
      </c>
      <c r="R699" s="146" t="str">
        <f>IF(Formulario!O707&lt;&gt;"",IF(Formulario!O707=" ",".",Formulario!O707),".")</f>
        <v>.</v>
      </c>
      <c r="S699" s="141" t="s">
        <v>131</v>
      </c>
    </row>
    <row r="700" spans="1:19">
      <c r="A700" s="141">
        <f>Formulario!B708</f>
        <v>0</v>
      </c>
      <c r="B700" s="144" t="str">
        <f>IF(G700="."," ",Formulario!D$5)</f>
        <v xml:space="preserve"> </v>
      </c>
      <c r="C700" s="144" t="str">
        <f>IF(G700=".","",Formulario!D$6)</f>
        <v/>
      </c>
      <c r="D700" s="144" t="str">
        <f>IF(H700=".","",Formulario!D$7)</f>
        <v/>
      </c>
      <c r="E700" s="144" t="str">
        <f>IF(G700=".","",Formulario!J$5)</f>
        <v/>
      </c>
      <c r="F700" s="145" t="str">
        <f>IF(G700=".","",Formulario!J$6)</f>
        <v/>
      </c>
      <c r="G700" s="180" t="str">
        <f>IF(Formulario!C708&lt;&gt;"",IF(Formulario!C708=" ","Falta Depto",IF(H700=".","Error En Descripción",Formulario!C708)),IF(H700=".",".","Falta Datos"))</f>
        <v>.</v>
      </c>
      <c r="H700" s="144" t="str">
        <f>IF(Formulario!D708&lt;&gt;"",IF(Formulario!D708=" ",".",Formulario!D708),".")</f>
        <v>.</v>
      </c>
      <c r="I700" s="144" t="str">
        <f>IF(Formulario!E708&lt;&gt;"",IF(Formulario!E708=" "," ",Formulario!E708),IF(G700=".",".","Falta Propietario"))</f>
        <v>.</v>
      </c>
      <c r="J700" s="144" t="str">
        <f>IF(Formulario!F708&lt;&gt;"",IF(Formulario!F708=" "," ",Formulario!F708)," ")</f>
        <v xml:space="preserve"> </v>
      </c>
      <c r="K700" s="144" t="str">
        <f>IF(Formulario!G708&lt;&gt;"",IF(Formulario!G708=" "," ",Formulario!G708)," ")</f>
        <v xml:space="preserve"> </v>
      </c>
      <c r="L700" s="144" t="str">
        <f>IF(Formulario!H708&lt;&gt;"",IF(Formulario!H708=" "," ",Formulario!H708)," ")</f>
        <v xml:space="preserve"> </v>
      </c>
      <c r="M700" s="144" t="str">
        <f>IF(Formulario!I708&lt;&gt;"",IF(Formulario!I708=" "," ",Formulario!I708)," ")</f>
        <v xml:space="preserve"> </v>
      </c>
      <c r="N700" s="145" t="str">
        <f>IF(Formulario!J708&lt;&gt;"",IF(Formulario!J708=" "," ",Formulario!J708),IF(G700=".",".","Falta Fecha"))</f>
        <v>.</v>
      </c>
      <c r="O700" s="155">
        <f>Formulario!L708</f>
        <v>0</v>
      </c>
      <c r="P700" s="146">
        <f>IF(O700=1,"09:00",Formulario!M708)</f>
        <v>0</v>
      </c>
      <c r="Q700" s="146">
        <f>IF(O700=1,"18:30",Formulario!N708)</f>
        <v>0</v>
      </c>
      <c r="R700" s="146" t="str">
        <f>IF(Formulario!O708&lt;&gt;"",IF(Formulario!O708=" ",".",Formulario!O708),".")</f>
        <v>.</v>
      </c>
      <c r="S700" s="141" t="s">
        <v>131</v>
      </c>
    </row>
    <row r="701" spans="1:19">
      <c r="A701" s="141">
        <f>Formulario!B709</f>
        <v>0</v>
      </c>
      <c r="B701" s="144" t="str">
        <f>IF(G701="."," ",Formulario!D$5)</f>
        <v xml:space="preserve"> </v>
      </c>
      <c r="C701" s="144" t="str">
        <f>IF(G701=".","",Formulario!D$6)</f>
        <v/>
      </c>
      <c r="D701" s="144" t="str">
        <f>IF(H701=".","",Formulario!D$7)</f>
        <v/>
      </c>
      <c r="E701" s="144" t="str">
        <f>IF(G701=".","",Formulario!J$5)</f>
        <v/>
      </c>
      <c r="F701" s="145" t="str">
        <f>IF(G701=".","",Formulario!J$6)</f>
        <v/>
      </c>
      <c r="G701" s="180" t="str">
        <f>IF(Formulario!C709&lt;&gt;"",IF(Formulario!C709=" ","Falta Depto",IF(H701=".","Error En Descripción",Formulario!C709)),IF(H701=".",".","Falta Datos"))</f>
        <v>.</v>
      </c>
      <c r="H701" s="144" t="str">
        <f>IF(Formulario!D709&lt;&gt;"",IF(Formulario!D709=" ",".",Formulario!D709),".")</f>
        <v>.</v>
      </c>
      <c r="I701" s="144" t="str">
        <f>IF(Formulario!E709&lt;&gt;"",IF(Formulario!E709=" "," ",Formulario!E709),IF(G701=".",".","Falta Propietario"))</f>
        <v>.</v>
      </c>
      <c r="J701" s="144" t="str">
        <f>IF(Formulario!F709&lt;&gt;"",IF(Formulario!F709=" "," ",Formulario!F709)," ")</f>
        <v xml:space="preserve"> </v>
      </c>
      <c r="K701" s="144" t="str">
        <f>IF(Formulario!G709&lt;&gt;"",IF(Formulario!G709=" "," ",Formulario!G709)," ")</f>
        <v xml:space="preserve"> </v>
      </c>
      <c r="L701" s="144" t="str">
        <f>IF(Formulario!H709&lt;&gt;"",IF(Formulario!H709=" "," ",Formulario!H709)," ")</f>
        <v xml:space="preserve"> </v>
      </c>
      <c r="M701" s="144" t="str">
        <f>IF(Formulario!I709&lt;&gt;"",IF(Formulario!I709=" "," ",Formulario!I709)," ")</f>
        <v xml:space="preserve"> </v>
      </c>
      <c r="N701" s="145" t="str">
        <f>IF(Formulario!J709&lt;&gt;"",IF(Formulario!J709=" "," ",Formulario!J709),IF(G701=".",".","Falta Fecha"))</f>
        <v>.</v>
      </c>
      <c r="O701" s="155">
        <f>Formulario!L709</f>
        <v>0</v>
      </c>
      <c r="P701" s="146">
        <f>IF(O701=1,"09:00",Formulario!M709)</f>
        <v>0</v>
      </c>
      <c r="Q701" s="146">
        <f>IF(O701=1,"18:30",Formulario!N709)</f>
        <v>0</v>
      </c>
      <c r="R701" s="146" t="str">
        <f>IF(Formulario!O709&lt;&gt;"",IF(Formulario!O709=" ",".",Formulario!O709),".")</f>
        <v>.</v>
      </c>
      <c r="S701" s="141" t="s">
        <v>131</v>
      </c>
    </row>
    <row r="702" spans="1:19">
      <c r="A702" s="141">
        <f>Formulario!B710</f>
        <v>0</v>
      </c>
      <c r="B702" s="144" t="str">
        <f>IF(G702="."," ",Formulario!D$5)</f>
        <v xml:space="preserve"> </v>
      </c>
      <c r="C702" s="144" t="str">
        <f>IF(G702=".","",Formulario!D$6)</f>
        <v/>
      </c>
      <c r="D702" s="144" t="str">
        <f>IF(H702=".","",Formulario!D$7)</f>
        <v/>
      </c>
      <c r="E702" s="144" t="str">
        <f>IF(G702=".","",Formulario!J$5)</f>
        <v/>
      </c>
      <c r="F702" s="145" t="str">
        <f>IF(G702=".","",Formulario!J$6)</f>
        <v/>
      </c>
      <c r="G702" s="180" t="str">
        <f>IF(Formulario!C710&lt;&gt;"",IF(Formulario!C710=" ","Falta Depto",IF(H702=".","Error En Descripción",Formulario!C710)),IF(H702=".",".","Falta Datos"))</f>
        <v>.</v>
      </c>
      <c r="H702" s="144" t="str">
        <f>IF(Formulario!D710&lt;&gt;"",IF(Formulario!D710=" ",".",Formulario!D710),".")</f>
        <v>.</v>
      </c>
      <c r="I702" s="144" t="str">
        <f>IF(Formulario!E710&lt;&gt;"",IF(Formulario!E710=" "," ",Formulario!E710),IF(G702=".",".","Falta Propietario"))</f>
        <v>.</v>
      </c>
      <c r="J702" s="144" t="str">
        <f>IF(Formulario!F710&lt;&gt;"",IF(Formulario!F710=" "," ",Formulario!F710)," ")</f>
        <v xml:space="preserve"> </v>
      </c>
      <c r="K702" s="144" t="str">
        <f>IF(Formulario!G710&lt;&gt;"",IF(Formulario!G710=" "," ",Formulario!G710)," ")</f>
        <v xml:space="preserve"> </v>
      </c>
      <c r="L702" s="144" t="str">
        <f>IF(Formulario!H710&lt;&gt;"",IF(Formulario!H710=" "," ",Formulario!H710)," ")</f>
        <v xml:space="preserve"> </v>
      </c>
      <c r="M702" s="144" t="str">
        <f>IF(Formulario!I710&lt;&gt;"",IF(Formulario!I710=" "," ",Formulario!I710)," ")</f>
        <v xml:space="preserve"> </v>
      </c>
      <c r="N702" s="145" t="str">
        <f>IF(Formulario!J710&lt;&gt;"",IF(Formulario!J710=" "," ",Formulario!J710),IF(G702=".",".","Falta Fecha"))</f>
        <v>.</v>
      </c>
      <c r="O702" s="155">
        <f>Formulario!L710</f>
        <v>0</v>
      </c>
      <c r="P702" s="146">
        <f>IF(O702=1,"09:00",Formulario!M710)</f>
        <v>0</v>
      </c>
      <c r="Q702" s="146">
        <f>IF(O702=1,"18:30",Formulario!N710)</f>
        <v>0</v>
      </c>
      <c r="R702" s="146" t="str">
        <f>IF(Formulario!O710&lt;&gt;"",IF(Formulario!O710=" ",".",Formulario!O710),".")</f>
        <v>.</v>
      </c>
      <c r="S702" s="141" t="s">
        <v>131</v>
      </c>
    </row>
    <row r="703" spans="1:19">
      <c r="A703" s="141">
        <f>Formulario!B711</f>
        <v>0</v>
      </c>
      <c r="B703" s="144" t="str">
        <f>IF(G703="."," ",Formulario!D$5)</f>
        <v xml:space="preserve"> </v>
      </c>
      <c r="C703" s="144" t="str">
        <f>IF(G703=".","",Formulario!D$6)</f>
        <v/>
      </c>
      <c r="D703" s="144" t="str">
        <f>IF(H703=".","",Formulario!D$7)</f>
        <v/>
      </c>
      <c r="E703" s="144" t="str">
        <f>IF(G703=".","",Formulario!J$5)</f>
        <v/>
      </c>
      <c r="F703" s="145" t="str">
        <f>IF(G703=".","",Formulario!J$6)</f>
        <v/>
      </c>
      <c r="G703" s="180" t="str">
        <f>IF(Formulario!C711&lt;&gt;"",IF(Formulario!C711=" ","Falta Depto",IF(H703=".","Error En Descripción",Formulario!C711)),IF(H703=".",".","Falta Datos"))</f>
        <v>.</v>
      </c>
      <c r="H703" s="144" t="str">
        <f>IF(Formulario!D711&lt;&gt;"",IF(Formulario!D711=" ",".",Formulario!D711),".")</f>
        <v>.</v>
      </c>
      <c r="I703" s="144" t="str">
        <f>IF(Formulario!E711&lt;&gt;"",IF(Formulario!E711=" "," ",Formulario!E711),IF(G703=".",".","Falta Propietario"))</f>
        <v>.</v>
      </c>
      <c r="J703" s="144" t="str">
        <f>IF(Formulario!F711&lt;&gt;"",IF(Formulario!F711=" "," ",Formulario!F711)," ")</f>
        <v xml:space="preserve"> </v>
      </c>
      <c r="K703" s="144" t="str">
        <f>IF(Formulario!G711&lt;&gt;"",IF(Formulario!G711=" "," ",Formulario!G711)," ")</f>
        <v xml:space="preserve"> </v>
      </c>
      <c r="L703" s="144" t="str">
        <f>IF(Formulario!H711&lt;&gt;"",IF(Formulario!H711=" "," ",Formulario!H711)," ")</f>
        <v xml:space="preserve"> </v>
      </c>
      <c r="M703" s="144" t="str">
        <f>IF(Formulario!I711&lt;&gt;"",IF(Formulario!I711=" "," ",Formulario!I711)," ")</f>
        <v xml:space="preserve"> </v>
      </c>
      <c r="N703" s="145" t="str">
        <f>IF(Formulario!J711&lt;&gt;"",IF(Formulario!J711=" "," ",Formulario!J711),IF(G703=".",".","Falta Fecha"))</f>
        <v>.</v>
      </c>
      <c r="O703" s="155">
        <f>Formulario!L711</f>
        <v>0</v>
      </c>
      <c r="P703" s="146">
        <f>IF(O703=1,"09:00",Formulario!M711)</f>
        <v>0</v>
      </c>
      <c r="Q703" s="146">
        <f>IF(O703=1,"18:30",Formulario!N711)</f>
        <v>0</v>
      </c>
      <c r="R703" s="146" t="str">
        <f>IF(Formulario!O711&lt;&gt;"",IF(Formulario!O711=" ",".",Formulario!O711),".")</f>
        <v>.</v>
      </c>
      <c r="S703" s="141" t="s">
        <v>131</v>
      </c>
    </row>
    <row r="704" spans="1:19">
      <c r="A704" s="141">
        <f>Formulario!B712</f>
        <v>0</v>
      </c>
      <c r="B704" s="144" t="str">
        <f>IF(G704="."," ",Formulario!D$5)</f>
        <v xml:space="preserve"> </v>
      </c>
      <c r="C704" s="144" t="str">
        <f>IF(G704=".","",Formulario!D$6)</f>
        <v/>
      </c>
      <c r="D704" s="144" t="str">
        <f>IF(H704=".","",Formulario!D$7)</f>
        <v/>
      </c>
      <c r="E704" s="144" t="str">
        <f>IF(G704=".","",Formulario!J$5)</f>
        <v/>
      </c>
      <c r="F704" s="145" t="str">
        <f>IF(G704=".","",Formulario!J$6)</f>
        <v/>
      </c>
      <c r="G704" s="180" t="str">
        <f>IF(Formulario!C712&lt;&gt;"",IF(Formulario!C712=" ","Falta Depto",IF(H704=".","Error En Descripción",Formulario!C712)),IF(H704=".",".","Falta Datos"))</f>
        <v>.</v>
      </c>
      <c r="H704" s="144" t="str">
        <f>IF(Formulario!D712&lt;&gt;"",IF(Formulario!D712=" ",".",Formulario!D712),".")</f>
        <v>.</v>
      </c>
      <c r="I704" s="144" t="str">
        <f>IF(Formulario!E712&lt;&gt;"",IF(Formulario!E712=" "," ",Formulario!E712),IF(G704=".",".","Falta Propietario"))</f>
        <v>.</v>
      </c>
      <c r="J704" s="144" t="str">
        <f>IF(Formulario!F712&lt;&gt;"",IF(Formulario!F712=" "," ",Formulario!F712)," ")</f>
        <v xml:space="preserve"> </v>
      </c>
      <c r="K704" s="144" t="str">
        <f>IF(Formulario!G712&lt;&gt;"",IF(Formulario!G712=" "," ",Formulario!G712)," ")</f>
        <v xml:space="preserve"> </v>
      </c>
      <c r="L704" s="144" t="str">
        <f>IF(Formulario!H712&lt;&gt;"",IF(Formulario!H712=" "," ",Formulario!H712)," ")</f>
        <v xml:space="preserve"> </v>
      </c>
      <c r="M704" s="144" t="str">
        <f>IF(Formulario!I712&lt;&gt;"",IF(Formulario!I712=" "," ",Formulario!I712)," ")</f>
        <v xml:space="preserve"> </v>
      </c>
      <c r="N704" s="145" t="str">
        <f>IF(Formulario!J712&lt;&gt;"",IF(Formulario!J712=" "," ",Formulario!J712),IF(G704=".",".","Falta Fecha"))</f>
        <v>.</v>
      </c>
      <c r="O704" s="155">
        <f>Formulario!L712</f>
        <v>0</v>
      </c>
      <c r="P704" s="146">
        <f>IF(O704=1,"09:00",Formulario!M712)</f>
        <v>0</v>
      </c>
      <c r="Q704" s="146">
        <f>IF(O704=1,"18:30",Formulario!N712)</f>
        <v>0</v>
      </c>
      <c r="R704" s="146" t="str">
        <f>IF(Formulario!O712&lt;&gt;"",IF(Formulario!O712=" ",".",Formulario!O712),".")</f>
        <v>.</v>
      </c>
      <c r="S704" s="141" t="s">
        <v>131</v>
      </c>
    </row>
    <row r="705" spans="1:19">
      <c r="A705" s="141">
        <f>Formulario!B713</f>
        <v>0</v>
      </c>
      <c r="B705" s="144" t="str">
        <f>IF(G705="."," ",Formulario!D$5)</f>
        <v xml:space="preserve"> </v>
      </c>
      <c r="C705" s="144" t="str">
        <f>IF(G705=".","",Formulario!D$6)</f>
        <v/>
      </c>
      <c r="D705" s="144" t="str">
        <f>IF(H705=".","",Formulario!D$7)</f>
        <v/>
      </c>
      <c r="E705" s="144" t="str">
        <f>IF(G705=".","",Formulario!J$5)</f>
        <v/>
      </c>
      <c r="F705" s="145" t="str">
        <f>IF(G705=".","",Formulario!J$6)</f>
        <v/>
      </c>
      <c r="G705" s="180" t="str">
        <f>IF(Formulario!C713&lt;&gt;"",IF(Formulario!C713=" ","Falta Depto",IF(H705=".","Error En Descripción",Formulario!C713)),IF(H705=".",".","Falta Datos"))</f>
        <v>.</v>
      </c>
      <c r="H705" s="144" t="str">
        <f>IF(Formulario!D713&lt;&gt;"",IF(Formulario!D713=" ",".",Formulario!D713),".")</f>
        <v>.</v>
      </c>
      <c r="I705" s="144" t="str">
        <f>IF(Formulario!E713&lt;&gt;"",IF(Formulario!E713=" "," ",Formulario!E713),IF(G705=".",".","Falta Propietario"))</f>
        <v>.</v>
      </c>
      <c r="J705" s="144" t="str">
        <f>IF(Formulario!F713&lt;&gt;"",IF(Formulario!F713=" "," ",Formulario!F713)," ")</f>
        <v xml:space="preserve"> </v>
      </c>
      <c r="K705" s="144" t="str">
        <f>IF(Formulario!G713&lt;&gt;"",IF(Formulario!G713=" "," ",Formulario!G713)," ")</f>
        <v xml:space="preserve"> </v>
      </c>
      <c r="L705" s="144" t="str">
        <f>IF(Formulario!H713&lt;&gt;"",IF(Formulario!H713=" "," ",Formulario!H713)," ")</f>
        <v xml:space="preserve"> </v>
      </c>
      <c r="M705" s="144" t="str">
        <f>IF(Formulario!I713&lt;&gt;"",IF(Formulario!I713=" "," ",Formulario!I713)," ")</f>
        <v xml:space="preserve"> </v>
      </c>
      <c r="N705" s="145" t="str">
        <f>IF(Formulario!J713&lt;&gt;"",IF(Formulario!J713=" "," ",Formulario!J713),IF(G705=".",".","Falta Fecha"))</f>
        <v>.</v>
      </c>
      <c r="O705" s="155">
        <f>Formulario!L713</f>
        <v>0</v>
      </c>
      <c r="P705" s="146">
        <f>IF(O705=1,"09:00",Formulario!M713)</f>
        <v>0</v>
      </c>
      <c r="Q705" s="146">
        <f>IF(O705=1,"18:30",Formulario!N713)</f>
        <v>0</v>
      </c>
      <c r="R705" s="146" t="str">
        <f>IF(Formulario!O713&lt;&gt;"",IF(Formulario!O713=" ",".",Formulario!O713),".")</f>
        <v>.</v>
      </c>
      <c r="S705" s="141" t="s">
        <v>131</v>
      </c>
    </row>
    <row r="706" spans="1:19">
      <c r="A706" s="141">
        <f>Formulario!B714</f>
        <v>0</v>
      </c>
      <c r="B706" s="144" t="str">
        <f>IF(G706="."," ",Formulario!D$5)</f>
        <v xml:space="preserve"> </v>
      </c>
      <c r="C706" s="144" t="str">
        <f>IF(G706=".","",Formulario!D$6)</f>
        <v/>
      </c>
      <c r="D706" s="144" t="str">
        <f>IF(H706=".","",Formulario!D$7)</f>
        <v/>
      </c>
      <c r="E706" s="144" t="str">
        <f>IF(G706=".","",Formulario!J$5)</f>
        <v/>
      </c>
      <c r="F706" s="145" t="str">
        <f>IF(G706=".","",Formulario!J$6)</f>
        <v/>
      </c>
      <c r="G706" s="180" t="str">
        <f>IF(Formulario!C714&lt;&gt;"",IF(Formulario!C714=" ","Falta Depto",IF(H706=".","Error En Descripción",Formulario!C714)),IF(H706=".",".","Falta Datos"))</f>
        <v>.</v>
      </c>
      <c r="H706" s="144" t="str">
        <f>IF(Formulario!D714&lt;&gt;"",IF(Formulario!D714=" ",".",Formulario!D714),".")</f>
        <v>.</v>
      </c>
      <c r="I706" s="144" t="str">
        <f>IF(Formulario!E714&lt;&gt;"",IF(Formulario!E714=" "," ",Formulario!E714),IF(G706=".",".","Falta Propietario"))</f>
        <v>.</v>
      </c>
      <c r="J706" s="144" t="str">
        <f>IF(Formulario!F714&lt;&gt;"",IF(Formulario!F714=" "," ",Formulario!F714)," ")</f>
        <v xml:space="preserve"> </v>
      </c>
      <c r="K706" s="144" t="str">
        <f>IF(Formulario!G714&lt;&gt;"",IF(Formulario!G714=" "," ",Formulario!G714)," ")</f>
        <v xml:space="preserve"> </v>
      </c>
      <c r="L706" s="144" t="str">
        <f>IF(Formulario!H714&lt;&gt;"",IF(Formulario!H714=" "," ",Formulario!H714)," ")</f>
        <v xml:space="preserve"> </v>
      </c>
      <c r="M706" s="144" t="str">
        <f>IF(Formulario!I714&lt;&gt;"",IF(Formulario!I714=" "," ",Formulario!I714)," ")</f>
        <v xml:space="preserve"> </v>
      </c>
      <c r="N706" s="145" t="str">
        <f>IF(Formulario!J714&lt;&gt;"",IF(Formulario!J714=" "," ",Formulario!J714),IF(G706=".",".","Falta Fecha"))</f>
        <v>.</v>
      </c>
      <c r="O706" s="155">
        <f>Formulario!L714</f>
        <v>0</v>
      </c>
      <c r="P706" s="146">
        <f>IF(O706=1,"09:00",Formulario!M714)</f>
        <v>0</v>
      </c>
      <c r="Q706" s="146">
        <f>IF(O706=1,"18:30",Formulario!N714)</f>
        <v>0</v>
      </c>
      <c r="R706" s="146" t="str">
        <f>IF(Formulario!O714&lt;&gt;"",IF(Formulario!O714=" ",".",Formulario!O714),".")</f>
        <v>.</v>
      </c>
      <c r="S706" s="141" t="s">
        <v>131</v>
      </c>
    </row>
    <row r="707" spans="1:19">
      <c r="A707" s="141">
        <f>Formulario!B715</f>
        <v>0</v>
      </c>
      <c r="B707" s="144" t="str">
        <f>IF(G707="."," ",Formulario!D$5)</f>
        <v xml:space="preserve"> </v>
      </c>
      <c r="C707" s="144" t="str">
        <f>IF(G707=".","",Formulario!D$6)</f>
        <v/>
      </c>
      <c r="D707" s="144" t="str">
        <f>IF(H707=".","",Formulario!D$7)</f>
        <v/>
      </c>
      <c r="E707" s="144" t="str">
        <f>IF(G707=".","",Formulario!J$5)</f>
        <v/>
      </c>
      <c r="F707" s="145" t="str">
        <f>IF(G707=".","",Formulario!J$6)</f>
        <v/>
      </c>
      <c r="G707" s="180" t="str">
        <f>IF(Formulario!C715&lt;&gt;"",IF(Formulario!C715=" ","Falta Depto",IF(H707=".","Error En Descripción",Formulario!C715)),IF(H707=".",".","Falta Datos"))</f>
        <v>.</v>
      </c>
      <c r="H707" s="144" t="str">
        <f>IF(Formulario!D715&lt;&gt;"",IF(Formulario!D715=" ",".",Formulario!D715),".")</f>
        <v>.</v>
      </c>
      <c r="I707" s="144" t="str">
        <f>IF(Formulario!E715&lt;&gt;"",IF(Formulario!E715=" "," ",Formulario!E715),IF(G707=".",".","Falta Propietario"))</f>
        <v>.</v>
      </c>
      <c r="J707" s="144" t="str">
        <f>IF(Formulario!F715&lt;&gt;"",IF(Formulario!F715=" "," ",Formulario!F715)," ")</f>
        <v xml:space="preserve"> </v>
      </c>
      <c r="K707" s="144" t="str">
        <f>IF(Formulario!G715&lt;&gt;"",IF(Formulario!G715=" "," ",Formulario!G715)," ")</f>
        <v xml:space="preserve"> </v>
      </c>
      <c r="L707" s="144" t="str">
        <f>IF(Formulario!H715&lt;&gt;"",IF(Formulario!H715=" "," ",Formulario!H715)," ")</f>
        <v xml:space="preserve"> </v>
      </c>
      <c r="M707" s="144" t="str">
        <f>IF(Formulario!I715&lt;&gt;"",IF(Formulario!I715=" "," ",Formulario!I715)," ")</f>
        <v xml:space="preserve"> </v>
      </c>
      <c r="N707" s="145" t="str">
        <f>IF(Formulario!J715&lt;&gt;"",IF(Formulario!J715=" "," ",Formulario!J715),IF(G707=".",".","Falta Fecha"))</f>
        <v>.</v>
      </c>
      <c r="O707" s="155">
        <f>Formulario!L715</f>
        <v>0</v>
      </c>
      <c r="P707" s="146">
        <f>IF(O707=1,"09:00",Formulario!M715)</f>
        <v>0</v>
      </c>
      <c r="Q707" s="146">
        <f>IF(O707=1,"18:30",Formulario!N715)</f>
        <v>0</v>
      </c>
      <c r="R707" s="146" t="str">
        <f>IF(Formulario!O715&lt;&gt;"",IF(Formulario!O715=" ",".",Formulario!O715),".")</f>
        <v>.</v>
      </c>
      <c r="S707" s="141" t="s">
        <v>131</v>
      </c>
    </row>
    <row r="708" spans="1:19">
      <c r="A708" s="141">
        <f>Formulario!B716</f>
        <v>0</v>
      </c>
      <c r="B708" s="144" t="str">
        <f>IF(G708="."," ",Formulario!D$5)</f>
        <v xml:space="preserve"> </v>
      </c>
      <c r="C708" s="144" t="str">
        <f>IF(G708=".","",Formulario!D$6)</f>
        <v/>
      </c>
      <c r="D708" s="144" t="str">
        <f>IF(H708=".","",Formulario!D$7)</f>
        <v/>
      </c>
      <c r="E708" s="144" t="str">
        <f>IF(G708=".","",Formulario!J$5)</f>
        <v/>
      </c>
      <c r="F708" s="145" t="str">
        <f>IF(G708=".","",Formulario!J$6)</f>
        <v/>
      </c>
      <c r="G708" s="180" t="str">
        <f>IF(Formulario!C716&lt;&gt;"",IF(Formulario!C716=" ","Falta Depto",IF(H708=".","Error En Descripción",Formulario!C716)),IF(H708=".",".","Falta Datos"))</f>
        <v>.</v>
      </c>
      <c r="H708" s="144" t="str">
        <f>IF(Formulario!D716&lt;&gt;"",IF(Formulario!D716=" ",".",Formulario!D716),".")</f>
        <v>.</v>
      </c>
      <c r="I708" s="144" t="str">
        <f>IF(Formulario!E716&lt;&gt;"",IF(Formulario!E716=" "," ",Formulario!E716),IF(G708=".",".","Falta Propietario"))</f>
        <v>.</v>
      </c>
      <c r="J708" s="144" t="str">
        <f>IF(Formulario!F716&lt;&gt;"",IF(Formulario!F716=" "," ",Formulario!F716)," ")</f>
        <v xml:space="preserve"> </v>
      </c>
      <c r="K708" s="144" t="str">
        <f>IF(Formulario!G716&lt;&gt;"",IF(Formulario!G716=" "," ",Formulario!G716)," ")</f>
        <v xml:space="preserve"> </v>
      </c>
      <c r="L708" s="144" t="str">
        <f>IF(Formulario!H716&lt;&gt;"",IF(Formulario!H716=" "," ",Formulario!H716)," ")</f>
        <v xml:space="preserve"> </v>
      </c>
      <c r="M708" s="144" t="str">
        <f>IF(Formulario!I716&lt;&gt;"",IF(Formulario!I716=" "," ",Formulario!I716)," ")</f>
        <v xml:space="preserve"> </v>
      </c>
      <c r="N708" s="145" t="str">
        <f>IF(Formulario!J716&lt;&gt;"",IF(Formulario!J716=" "," ",Formulario!J716),IF(G708=".",".","Falta Fecha"))</f>
        <v>.</v>
      </c>
      <c r="O708" s="155">
        <f>Formulario!L716</f>
        <v>0</v>
      </c>
      <c r="P708" s="146">
        <f>IF(O708=1,"09:00",Formulario!M716)</f>
        <v>0</v>
      </c>
      <c r="Q708" s="146">
        <f>IF(O708=1,"18:30",Formulario!N716)</f>
        <v>0</v>
      </c>
      <c r="R708" s="146" t="str">
        <f>IF(Formulario!O716&lt;&gt;"",IF(Formulario!O716=" ",".",Formulario!O716),".")</f>
        <v>.</v>
      </c>
      <c r="S708" s="141" t="s">
        <v>131</v>
      </c>
    </row>
    <row r="709" spans="1:19">
      <c r="A709" s="141">
        <f>Formulario!B717</f>
        <v>0</v>
      </c>
      <c r="B709" s="144" t="str">
        <f>IF(G709="."," ",Formulario!D$5)</f>
        <v xml:space="preserve"> </v>
      </c>
      <c r="C709" s="144" t="str">
        <f>IF(G709=".","",Formulario!D$6)</f>
        <v/>
      </c>
      <c r="D709" s="144" t="str">
        <f>IF(H709=".","",Formulario!D$7)</f>
        <v/>
      </c>
      <c r="E709" s="144" t="str">
        <f>IF(G709=".","",Formulario!J$5)</f>
        <v/>
      </c>
      <c r="F709" s="145" t="str">
        <f>IF(G709=".","",Formulario!J$6)</f>
        <v/>
      </c>
      <c r="G709" s="180" t="str">
        <f>IF(Formulario!C717&lt;&gt;"",IF(Formulario!C717=" ","Falta Depto",IF(H709=".","Error En Descripción",Formulario!C717)),IF(H709=".",".","Falta Datos"))</f>
        <v>.</v>
      </c>
      <c r="H709" s="144" t="str">
        <f>IF(Formulario!D717&lt;&gt;"",IF(Formulario!D717=" ",".",Formulario!D717),".")</f>
        <v>.</v>
      </c>
      <c r="I709" s="144" t="str">
        <f>IF(Formulario!E717&lt;&gt;"",IF(Formulario!E717=" "," ",Formulario!E717),IF(G709=".",".","Falta Propietario"))</f>
        <v>.</v>
      </c>
      <c r="J709" s="144" t="str">
        <f>IF(Formulario!F717&lt;&gt;"",IF(Formulario!F717=" "," ",Formulario!F717)," ")</f>
        <v xml:space="preserve"> </v>
      </c>
      <c r="K709" s="144" t="str">
        <f>IF(Formulario!G717&lt;&gt;"",IF(Formulario!G717=" "," ",Formulario!G717)," ")</f>
        <v xml:space="preserve"> </v>
      </c>
      <c r="L709" s="144" t="str">
        <f>IF(Formulario!H717&lt;&gt;"",IF(Formulario!H717=" "," ",Formulario!H717)," ")</f>
        <v xml:space="preserve"> </v>
      </c>
      <c r="M709" s="144" t="str">
        <f>IF(Formulario!I717&lt;&gt;"",IF(Formulario!I717=" "," ",Formulario!I717)," ")</f>
        <v xml:space="preserve"> </v>
      </c>
      <c r="N709" s="145" t="str">
        <f>IF(Formulario!J717&lt;&gt;"",IF(Formulario!J717=" "," ",Formulario!J717),IF(G709=".",".","Falta Fecha"))</f>
        <v>.</v>
      </c>
      <c r="O709" s="155">
        <f>Formulario!L717</f>
        <v>0</v>
      </c>
      <c r="P709" s="146">
        <f>IF(O709=1,"09:00",Formulario!M717)</f>
        <v>0</v>
      </c>
      <c r="Q709" s="146">
        <f>IF(O709=1,"18:30",Formulario!N717)</f>
        <v>0</v>
      </c>
      <c r="R709" s="146" t="str">
        <f>IF(Formulario!O717&lt;&gt;"",IF(Formulario!O717=" ",".",Formulario!O717),".")</f>
        <v>.</v>
      </c>
      <c r="S709" s="141" t="s">
        <v>131</v>
      </c>
    </row>
    <row r="710" spans="1:19">
      <c r="A710" s="141">
        <f>Formulario!B718</f>
        <v>0</v>
      </c>
      <c r="B710" s="144" t="str">
        <f>IF(G710="."," ",Formulario!D$5)</f>
        <v xml:space="preserve"> </v>
      </c>
      <c r="C710" s="144" t="str">
        <f>IF(G710=".","",Formulario!D$6)</f>
        <v/>
      </c>
      <c r="D710" s="144" t="str">
        <f>IF(H710=".","",Formulario!D$7)</f>
        <v/>
      </c>
      <c r="E710" s="144" t="str">
        <f>IF(G710=".","",Formulario!J$5)</f>
        <v/>
      </c>
      <c r="F710" s="145" t="str">
        <f>IF(G710=".","",Formulario!J$6)</f>
        <v/>
      </c>
      <c r="G710" s="180" t="str">
        <f>IF(Formulario!C718&lt;&gt;"",IF(Formulario!C718=" ","Falta Depto",IF(H710=".","Error En Descripción",Formulario!C718)),IF(H710=".",".","Falta Datos"))</f>
        <v>.</v>
      </c>
      <c r="H710" s="144" t="str">
        <f>IF(Formulario!D718&lt;&gt;"",IF(Formulario!D718=" ",".",Formulario!D718),".")</f>
        <v>.</v>
      </c>
      <c r="I710" s="144" t="str">
        <f>IF(Formulario!E718&lt;&gt;"",IF(Formulario!E718=" "," ",Formulario!E718),IF(G710=".",".","Falta Propietario"))</f>
        <v>.</v>
      </c>
      <c r="J710" s="144" t="str">
        <f>IF(Formulario!F718&lt;&gt;"",IF(Formulario!F718=" "," ",Formulario!F718)," ")</f>
        <v xml:space="preserve"> </v>
      </c>
      <c r="K710" s="144" t="str">
        <f>IF(Formulario!G718&lt;&gt;"",IF(Formulario!G718=" "," ",Formulario!G718)," ")</f>
        <v xml:space="preserve"> </v>
      </c>
      <c r="L710" s="144" t="str">
        <f>IF(Formulario!H718&lt;&gt;"",IF(Formulario!H718=" "," ",Formulario!H718)," ")</f>
        <v xml:space="preserve"> </v>
      </c>
      <c r="M710" s="144" t="str">
        <f>IF(Formulario!I718&lt;&gt;"",IF(Formulario!I718=" "," ",Formulario!I718)," ")</f>
        <v xml:space="preserve"> </v>
      </c>
      <c r="N710" s="145" t="str">
        <f>IF(Formulario!J718&lt;&gt;"",IF(Formulario!J718=" "," ",Formulario!J718),IF(G710=".",".","Falta Fecha"))</f>
        <v>.</v>
      </c>
      <c r="O710" s="155">
        <f>Formulario!L718</f>
        <v>0</v>
      </c>
      <c r="P710" s="146">
        <f>IF(O710=1,"09:00",Formulario!M718)</f>
        <v>0</v>
      </c>
      <c r="Q710" s="146">
        <f>IF(O710=1,"18:30",Formulario!N718)</f>
        <v>0</v>
      </c>
      <c r="R710" s="146" t="str">
        <f>IF(Formulario!O718&lt;&gt;"",IF(Formulario!O718=" ",".",Formulario!O718),".")</f>
        <v>.</v>
      </c>
      <c r="S710" s="141" t="s">
        <v>131</v>
      </c>
    </row>
    <row r="711" spans="1:19">
      <c r="A711" s="141">
        <f>Formulario!B719</f>
        <v>0</v>
      </c>
      <c r="B711" s="144" t="str">
        <f>IF(G711="."," ",Formulario!D$5)</f>
        <v xml:space="preserve"> </v>
      </c>
      <c r="C711" s="144" t="str">
        <f>IF(G711=".","",Formulario!D$6)</f>
        <v/>
      </c>
      <c r="D711" s="144" t="str">
        <f>IF(H711=".","",Formulario!D$7)</f>
        <v/>
      </c>
      <c r="E711" s="144" t="str">
        <f>IF(G711=".","",Formulario!J$5)</f>
        <v/>
      </c>
      <c r="F711" s="145" t="str">
        <f>IF(G711=".","",Formulario!J$6)</f>
        <v/>
      </c>
      <c r="G711" s="180" t="str">
        <f>IF(Formulario!C719&lt;&gt;"",IF(Formulario!C719=" ","Falta Depto",IF(H711=".","Error En Descripción",Formulario!C719)),IF(H711=".",".","Falta Datos"))</f>
        <v>.</v>
      </c>
      <c r="H711" s="144" t="str">
        <f>IF(Formulario!D719&lt;&gt;"",IF(Formulario!D719=" ",".",Formulario!D719),".")</f>
        <v>.</v>
      </c>
      <c r="I711" s="144" t="str">
        <f>IF(Formulario!E719&lt;&gt;"",IF(Formulario!E719=" "," ",Formulario!E719),IF(G711=".",".","Falta Propietario"))</f>
        <v>.</v>
      </c>
      <c r="J711" s="144" t="str">
        <f>IF(Formulario!F719&lt;&gt;"",IF(Formulario!F719=" "," ",Formulario!F719)," ")</f>
        <v xml:space="preserve"> </v>
      </c>
      <c r="K711" s="144" t="str">
        <f>IF(Formulario!G719&lt;&gt;"",IF(Formulario!G719=" "," ",Formulario!G719)," ")</f>
        <v xml:space="preserve"> </v>
      </c>
      <c r="L711" s="144" t="str">
        <f>IF(Formulario!H719&lt;&gt;"",IF(Formulario!H719=" "," ",Formulario!H719)," ")</f>
        <v xml:space="preserve"> </v>
      </c>
      <c r="M711" s="144" t="str">
        <f>IF(Formulario!I719&lt;&gt;"",IF(Formulario!I719=" "," ",Formulario!I719)," ")</f>
        <v xml:space="preserve"> </v>
      </c>
      <c r="N711" s="145" t="str">
        <f>IF(Formulario!J719&lt;&gt;"",IF(Formulario!J719=" "," ",Formulario!J719),IF(G711=".",".","Falta Fecha"))</f>
        <v>.</v>
      </c>
      <c r="O711" s="155">
        <f>Formulario!L719</f>
        <v>0</v>
      </c>
      <c r="P711" s="146">
        <f>IF(O711=1,"09:00",Formulario!M719)</f>
        <v>0</v>
      </c>
      <c r="Q711" s="146">
        <f>IF(O711=1,"18:30",Formulario!N719)</f>
        <v>0</v>
      </c>
      <c r="R711" s="146" t="str">
        <f>IF(Formulario!O719&lt;&gt;"",IF(Formulario!O719=" ",".",Formulario!O719),".")</f>
        <v>.</v>
      </c>
      <c r="S711" s="141" t="s">
        <v>131</v>
      </c>
    </row>
    <row r="712" spans="1:19">
      <c r="A712" s="141">
        <f>Formulario!B720</f>
        <v>0</v>
      </c>
      <c r="B712" s="144" t="str">
        <f>IF(G712="."," ",Formulario!D$5)</f>
        <v xml:space="preserve"> </v>
      </c>
      <c r="C712" s="144" t="str">
        <f>IF(G712=".","",Formulario!D$6)</f>
        <v/>
      </c>
      <c r="D712" s="144" t="str">
        <f>IF(H712=".","",Formulario!D$7)</f>
        <v/>
      </c>
      <c r="E712" s="144" t="str">
        <f>IF(G712=".","",Formulario!J$5)</f>
        <v/>
      </c>
      <c r="F712" s="145" t="str">
        <f>IF(G712=".","",Formulario!J$6)</f>
        <v/>
      </c>
      <c r="G712" s="180" t="str">
        <f>IF(Formulario!C720&lt;&gt;"",IF(Formulario!C720=" ","Falta Depto",IF(H712=".","Error En Descripción",Formulario!C720)),IF(H712=".",".","Falta Datos"))</f>
        <v>.</v>
      </c>
      <c r="H712" s="144" t="str">
        <f>IF(Formulario!D720&lt;&gt;"",IF(Formulario!D720=" ",".",Formulario!D720),".")</f>
        <v>.</v>
      </c>
      <c r="I712" s="144" t="str">
        <f>IF(Formulario!E720&lt;&gt;"",IF(Formulario!E720=" "," ",Formulario!E720),IF(G712=".",".","Falta Propietario"))</f>
        <v>.</v>
      </c>
      <c r="J712" s="144" t="str">
        <f>IF(Formulario!F720&lt;&gt;"",IF(Formulario!F720=" "," ",Formulario!F720)," ")</f>
        <v xml:space="preserve"> </v>
      </c>
      <c r="K712" s="144" t="str">
        <f>IF(Formulario!G720&lt;&gt;"",IF(Formulario!G720=" "," ",Formulario!G720)," ")</f>
        <v xml:space="preserve"> </v>
      </c>
      <c r="L712" s="144" t="str">
        <f>IF(Formulario!H720&lt;&gt;"",IF(Formulario!H720=" "," ",Formulario!H720)," ")</f>
        <v xml:space="preserve"> </v>
      </c>
      <c r="M712" s="144" t="str">
        <f>IF(Formulario!I720&lt;&gt;"",IF(Formulario!I720=" "," ",Formulario!I720)," ")</f>
        <v xml:space="preserve"> </v>
      </c>
      <c r="N712" s="145" t="str">
        <f>IF(Formulario!J720&lt;&gt;"",IF(Formulario!J720=" "," ",Formulario!J720),IF(G712=".",".","Falta Fecha"))</f>
        <v>.</v>
      </c>
      <c r="O712" s="155">
        <f>Formulario!L720</f>
        <v>0</v>
      </c>
      <c r="P712" s="146">
        <f>IF(O712=1,"09:00",Formulario!M720)</f>
        <v>0</v>
      </c>
      <c r="Q712" s="146">
        <f>IF(O712=1,"18:30",Formulario!N720)</f>
        <v>0</v>
      </c>
      <c r="R712" s="146" t="str">
        <f>IF(Formulario!O720&lt;&gt;"",IF(Formulario!O720=" ",".",Formulario!O720),".")</f>
        <v>.</v>
      </c>
      <c r="S712" s="141" t="s">
        <v>131</v>
      </c>
    </row>
    <row r="713" spans="1:19">
      <c r="A713" s="141">
        <f>Formulario!B721</f>
        <v>0</v>
      </c>
      <c r="B713" s="144" t="str">
        <f>IF(G713="."," ",Formulario!D$5)</f>
        <v xml:space="preserve"> </v>
      </c>
      <c r="C713" s="144" t="str">
        <f>IF(G713=".","",Formulario!D$6)</f>
        <v/>
      </c>
      <c r="D713" s="144" t="str">
        <f>IF(H713=".","",Formulario!D$7)</f>
        <v/>
      </c>
      <c r="E713" s="144" t="str">
        <f>IF(G713=".","",Formulario!J$5)</f>
        <v/>
      </c>
      <c r="F713" s="145" t="str">
        <f>IF(G713=".","",Formulario!J$6)</f>
        <v/>
      </c>
      <c r="G713" s="180" t="str">
        <f>IF(Formulario!C721&lt;&gt;"",IF(Formulario!C721=" ","Falta Depto",IF(H713=".","Error En Descripción",Formulario!C721)),IF(H713=".",".","Falta Datos"))</f>
        <v>.</v>
      </c>
      <c r="H713" s="144" t="str">
        <f>IF(Formulario!D721&lt;&gt;"",IF(Formulario!D721=" ",".",Formulario!D721),".")</f>
        <v>.</v>
      </c>
      <c r="I713" s="144" t="str">
        <f>IF(Formulario!E721&lt;&gt;"",IF(Formulario!E721=" "," ",Formulario!E721),IF(G713=".",".","Falta Propietario"))</f>
        <v>.</v>
      </c>
      <c r="J713" s="144" t="str">
        <f>IF(Formulario!F721&lt;&gt;"",IF(Formulario!F721=" "," ",Formulario!F721)," ")</f>
        <v xml:space="preserve"> </v>
      </c>
      <c r="K713" s="144" t="str">
        <f>IF(Formulario!G721&lt;&gt;"",IF(Formulario!G721=" "," ",Formulario!G721)," ")</f>
        <v xml:space="preserve"> </v>
      </c>
      <c r="L713" s="144" t="str">
        <f>IF(Formulario!H721&lt;&gt;"",IF(Formulario!H721=" "," ",Formulario!H721)," ")</f>
        <v xml:space="preserve"> </v>
      </c>
      <c r="M713" s="144" t="str">
        <f>IF(Formulario!I721&lt;&gt;"",IF(Formulario!I721=" "," ",Formulario!I721)," ")</f>
        <v xml:space="preserve"> </v>
      </c>
      <c r="N713" s="145" t="str">
        <f>IF(Formulario!J721&lt;&gt;"",IF(Formulario!J721=" "," ",Formulario!J721),IF(G713=".",".","Falta Fecha"))</f>
        <v>.</v>
      </c>
      <c r="O713" s="155">
        <f>Formulario!L721</f>
        <v>0</v>
      </c>
      <c r="P713" s="146">
        <f>IF(O713=1,"09:00",Formulario!M721)</f>
        <v>0</v>
      </c>
      <c r="Q713" s="146">
        <f>IF(O713=1,"18:30",Formulario!N721)</f>
        <v>0</v>
      </c>
      <c r="R713" s="146" t="str">
        <f>IF(Formulario!O721&lt;&gt;"",IF(Formulario!O721=" ",".",Formulario!O721),".")</f>
        <v>.</v>
      </c>
      <c r="S713" s="141" t="s">
        <v>131</v>
      </c>
    </row>
    <row r="714" spans="1:19">
      <c r="A714" s="141">
        <f>Formulario!B722</f>
        <v>0</v>
      </c>
      <c r="B714" s="144" t="str">
        <f>IF(G714="."," ",Formulario!D$5)</f>
        <v xml:space="preserve"> </v>
      </c>
      <c r="C714" s="144" t="str">
        <f>IF(G714=".","",Formulario!D$6)</f>
        <v/>
      </c>
      <c r="D714" s="144" t="str">
        <f>IF(H714=".","",Formulario!D$7)</f>
        <v/>
      </c>
      <c r="E714" s="144" t="str">
        <f>IF(G714=".","",Formulario!J$5)</f>
        <v/>
      </c>
      <c r="F714" s="145" t="str">
        <f>IF(G714=".","",Formulario!J$6)</f>
        <v/>
      </c>
      <c r="G714" s="180" t="str">
        <f>IF(Formulario!C722&lt;&gt;"",IF(Formulario!C722=" ","Falta Depto",IF(H714=".","Error En Descripción",Formulario!C722)),IF(H714=".",".","Falta Datos"))</f>
        <v>.</v>
      </c>
      <c r="H714" s="144" t="str">
        <f>IF(Formulario!D722&lt;&gt;"",IF(Formulario!D722=" ",".",Formulario!D722),".")</f>
        <v>.</v>
      </c>
      <c r="I714" s="144" t="str">
        <f>IF(Formulario!E722&lt;&gt;"",IF(Formulario!E722=" "," ",Formulario!E722),IF(G714=".",".","Falta Propietario"))</f>
        <v>.</v>
      </c>
      <c r="J714" s="144" t="str">
        <f>IF(Formulario!F722&lt;&gt;"",IF(Formulario!F722=" "," ",Formulario!F722)," ")</f>
        <v xml:space="preserve"> </v>
      </c>
      <c r="K714" s="144" t="str">
        <f>IF(Formulario!G722&lt;&gt;"",IF(Formulario!G722=" "," ",Formulario!G722)," ")</f>
        <v xml:space="preserve"> </v>
      </c>
      <c r="L714" s="144" t="str">
        <f>IF(Formulario!H722&lt;&gt;"",IF(Formulario!H722=" "," ",Formulario!H722)," ")</f>
        <v xml:space="preserve"> </v>
      </c>
      <c r="M714" s="144" t="str">
        <f>IF(Formulario!I722&lt;&gt;"",IF(Formulario!I722=" "," ",Formulario!I722)," ")</f>
        <v xml:space="preserve"> </v>
      </c>
      <c r="N714" s="145" t="str">
        <f>IF(Formulario!J722&lt;&gt;"",IF(Formulario!J722=" "," ",Formulario!J722),IF(G714=".",".","Falta Fecha"))</f>
        <v>.</v>
      </c>
      <c r="O714" s="155">
        <f>Formulario!L722</f>
        <v>0</v>
      </c>
      <c r="P714" s="146">
        <f>IF(O714=1,"09:00",Formulario!M722)</f>
        <v>0</v>
      </c>
      <c r="Q714" s="146">
        <f>IF(O714=1,"18:30",Formulario!N722)</f>
        <v>0</v>
      </c>
      <c r="R714" s="146" t="str">
        <f>IF(Formulario!O722&lt;&gt;"",IF(Formulario!O722=" ",".",Formulario!O722),".")</f>
        <v>.</v>
      </c>
      <c r="S714" s="141" t="s">
        <v>131</v>
      </c>
    </row>
    <row r="715" spans="1:19">
      <c r="A715" s="141">
        <f>Formulario!B723</f>
        <v>0</v>
      </c>
      <c r="B715" s="144" t="str">
        <f>IF(G715="."," ",Formulario!D$5)</f>
        <v xml:space="preserve"> </v>
      </c>
      <c r="C715" s="144" t="str">
        <f>IF(G715=".","",Formulario!D$6)</f>
        <v/>
      </c>
      <c r="D715" s="144" t="str">
        <f>IF(H715=".","",Formulario!D$7)</f>
        <v/>
      </c>
      <c r="E715" s="144" t="str">
        <f>IF(G715=".","",Formulario!J$5)</f>
        <v/>
      </c>
      <c r="F715" s="145" t="str">
        <f>IF(G715=".","",Formulario!J$6)</f>
        <v/>
      </c>
      <c r="G715" s="180" t="str">
        <f>IF(Formulario!C723&lt;&gt;"",IF(Formulario!C723=" ","Falta Depto",IF(H715=".","Error En Descripción",Formulario!C723)),IF(H715=".",".","Falta Datos"))</f>
        <v>.</v>
      </c>
      <c r="H715" s="144" t="str">
        <f>IF(Formulario!D723&lt;&gt;"",IF(Formulario!D723=" ",".",Formulario!D723),".")</f>
        <v>.</v>
      </c>
      <c r="I715" s="144" t="str">
        <f>IF(Formulario!E723&lt;&gt;"",IF(Formulario!E723=" "," ",Formulario!E723),IF(G715=".",".","Falta Propietario"))</f>
        <v>.</v>
      </c>
      <c r="J715" s="144" t="str">
        <f>IF(Formulario!F723&lt;&gt;"",IF(Formulario!F723=" "," ",Formulario!F723)," ")</f>
        <v xml:space="preserve"> </v>
      </c>
      <c r="K715" s="144" t="str">
        <f>IF(Formulario!G723&lt;&gt;"",IF(Formulario!G723=" "," ",Formulario!G723)," ")</f>
        <v xml:space="preserve"> </v>
      </c>
      <c r="L715" s="144" t="str">
        <f>IF(Formulario!H723&lt;&gt;"",IF(Formulario!H723=" "," ",Formulario!H723)," ")</f>
        <v xml:space="preserve"> </v>
      </c>
      <c r="M715" s="144" t="str">
        <f>IF(Formulario!I723&lt;&gt;"",IF(Formulario!I723=" "," ",Formulario!I723)," ")</f>
        <v xml:space="preserve"> </v>
      </c>
      <c r="N715" s="145" t="str">
        <f>IF(Formulario!J723&lt;&gt;"",IF(Formulario!J723=" "," ",Formulario!J723),IF(G715=".",".","Falta Fecha"))</f>
        <v>.</v>
      </c>
      <c r="O715" s="155">
        <f>Formulario!L723</f>
        <v>0</v>
      </c>
      <c r="P715" s="146">
        <f>IF(O715=1,"09:00",Formulario!M723)</f>
        <v>0</v>
      </c>
      <c r="Q715" s="146">
        <f>IF(O715=1,"18:30",Formulario!N723)</f>
        <v>0</v>
      </c>
      <c r="R715" s="146" t="str">
        <f>IF(Formulario!O723&lt;&gt;"",IF(Formulario!O723=" ",".",Formulario!O723),".")</f>
        <v>.</v>
      </c>
      <c r="S715" s="141" t="s">
        <v>131</v>
      </c>
    </row>
    <row r="716" spans="1:19">
      <c r="A716" s="141">
        <f>Formulario!B724</f>
        <v>0</v>
      </c>
      <c r="B716" s="144" t="str">
        <f>IF(G716="."," ",Formulario!D$5)</f>
        <v xml:space="preserve"> </v>
      </c>
      <c r="C716" s="144" t="str">
        <f>IF(G716=".","",Formulario!D$6)</f>
        <v/>
      </c>
      <c r="D716" s="144" t="str">
        <f>IF(H716=".","",Formulario!D$7)</f>
        <v/>
      </c>
      <c r="E716" s="144" t="str">
        <f>IF(G716=".","",Formulario!J$5)</f>
        <v/>
      </c>
      <c r="F716" s="145" t="str">
        <f>IF(G716=".","",Formulario!J$6)</f>
        <v/>
      </c>
      <c r="G716" s="180" t="str">
        <f>IF(Formulario!C724&lt;&gt;"",IF(Formulario!C724=" ","Falta Depto",IF(H716=".","Error En Descripción",Formulario!C724)),IF(H716=".",".","Falta Datos"))</f>
        <v>.</v>
      </c>
      <c r="H716" s="144" t="str">
        <f>IF(Formulario!D724&lt;&gt;"",IF(Formulario!D724=" ",".",Formulario!D724),".")</f>
        <v>.</v>
      </c>
      <c r="I716" s="144" t="str">
        <f>IF(Formulario!E724&lt;&gt;"",IF(Formulario!E724=" "," ",Formulario!E724),IF(G716=".",".","Falta Propietario"))</f>
        <v>.</v>
      </c>
      <c r="J716" s="144" t="str">
        <f>IF(Formulario!F724&lt;&gt;"",IF(Formulario!F724=" "," ",Formulario!F724)," ")</f>
        <v xml:space="preserve"> </v>
      </c>
      <c r="K716" s="144" t="str">
        <f>IF(Formulario!G724&lt;&gt;"",IF(Formulario!G724=" "," ",Formulario!G724)," ")</f>
        <v xml:space="preserve"> </v>
      </c>
      <c r="L716" s="144" t="str">
        <f>IF(Formulario!H724&lt;&gt;"",IF(Formulario!H724=" "," ",Formulario!H724)," ")</f>
        <v xml:space="preserve"> </v>
      </c>
      <c r="M716" s="144" t="str">
        <f>IF(Formulario!I724&lt;&gt;"",IF(Formulario!I724=" "," ",Formulario!I724)," ")</f>
        <v xml:space="preserve"> </v>
      </c>
      <c r="N716" s="145" t="str">
        <f>IF(Formulario!J724&lt;&gt;"",IF(Formulario!J724=" "," ",Formulario!J724),IF(G716=".",".","Falta Fecha"))</f>
        <v>.</v>
      </c>
      <c r="O716" s="155">
        <f>Formulario!L724</f>
        <v>0</v>
      </c>
      <c r="P716" s="146">
        <f>IF(O716=1,"09:00",Formulario!M724)</f>
        <v>0</v>
      </c>
      <c r="Q716" s="146">
        <f>IF(O716=1,"18:30",Formulario!N724)</f>
        <v>0</v>
      </c>
      <c r="R716" s="146" t="str">
        <f>IF(Formulario!O724&lt;&gt;"",IF(Formulario!O724=" ",".",Formulario!O724),".")</f>
        <v>.</v>
      </c>
      <c r="S716" s="141" t="s">
        <v>131</v>
      </c>
    </row>
    <row r="717" spans="1:19">
      <c r="A717" s="141">
        <f>Formulario!B725</f>
        <v>0</v>
      </c>
      <c r="B717" s="144" t="str">
        <f>IF(G717="."," ",Formulario!D$5)</f>
        <v xml:space="preserve"> </v>
      </c>
      <c r="C717" s="144" t="str">
        <f>IF(G717=".","",Formulario!D$6)</f>
        <v/>
      </c>
      <c r="D717" s="144" t="str">
        <f>IF(H717=".","",Formulario!D$7)</f>
        <v/>
      </c>
      <c r="E717" s="144" t="str">
        <f>IF(G717=".","",Formulario!J$5)</f>
        <v/>
      </c>
      <c r="F717" s="145" t="str">
        <f>IF(G717=".","",Formulario!J$6)</f>
        <v/>
      </c>
      <c r="G717" s="180" t="str">
        <f>IF(Formulario!C725&lt;&gt;"",IF(Formulario!C725=" ","Falta Depto",IF(H717=".","Error En Descripción",Formulario!C725)),IF(H717=".",".","Falta Datos"))</f>
        <v>.</v>
      </c>
      <c r="H717" s="144" t="str">
        <f>IF(Formulario!D725&lt;&gt;"",IF(Formulario!D725=" ",".",Formulario!D725),".")</f>
        <v>.</v>
      </c>
      <c r="I717" s="144" t="str">
        <f>IF(Formulario!E725&lt;&gt;"",IF(Formulario!E725=" "," ",Formulario!E725),IF(G717=".",".","Falta Propietario"))</f>
        <v>.</v>
      </c>
      <c r="J717" s="144" t="str">
        <f>IF(Formulario!F725&lt;&gt;"",IF(Formulario!F725=" "," ",Formulario!F725)," ")</f>
        <v xml:space="preserve"> </v>
      </c>
      <c r="K717" s="144" t="str">
        <f>IF(Formulario!G725&lt;&gt;"",IF(Formulario!G725=" "," ",Formulario!G725)," ")</f>
        <v xml:space="preserve"> </v>
      </c>
      <c r="L717" s="144" t="str">
        <f>IF(Formulario!H725&lt;&gt;"",IF(Formulario!H725=" "," ",Formulario!H725)," ")</f>
        <v xml:space="preserve"> </v>
      </c>
      <c r="M717" s="144" t="str">
        <f>IF(Formulario!I725&lt;&gt;"",IF(Formulario!I725=" "," ",Formulario!I725)," ")</f>
        <v xml:space="preserve"> </v>
      </c>
      <c r="N717" s="145" t="str">
        <f>IF(Formulario!J725&lt;&gt;"",IF(Formulario!J725=" "," ",Formulario!J725),IF(G717=".",".","Falta Fecha"))</f>
        <v>.</v>
      </c>
      <c r="O717" s="155">
        <f>Formulario!L725</f>
        <v>0</v>
      </c>
      <c r="P717" s="146">
        <f>IF(O717=1,"09:00",Formulario!M725)</f>
        <v>0</v>
      </c>
      <c r="Q717" s="146">
        <f>IF(O717=1,"18:30",Formulario!N725)</f>
        <v>0</v>
      </c>
      <c r="R717" s="146" t="str">
        <f>IF(Formulario!O725&lt;&gt;"",IF(Formulario!O725=" ",".",Formulario!O725),".")</f>
        <v>.</v>
      </c>
      <c r="S717" s="141" t="s">
        <v>131</v>
      </c>
    </row>
    <row r="718" spans="1:19">
      <c r="A718" s="141">
        <f>Formulario!B726</f>
        <v>0</v>
      </c>
      <c r="B718" s="144" t="str">
        <f>IF(G718="."," ",Formulario!D$5)</f>
        <v xml:space="preserve"> </v>
      </c>
      <c r="C718" s="144" t="str">
        <f>IF(G718=".","",Formulario!D$6)</f>
        <v/>
      </c>
      <c r="D718" s="144" t="str">
        <f>IF(H718=".","",Formulario!D$7)</f>
        <v/>
      </c>
      <c r="E718" s="144" t="str">
        <f>IF(G718=".","",Formulario!J$5)</f>
        <v/>
      </c>
      <c r="F718" s="145" t="str">
        <f>IF(G718=".","",Formulario!J$6)</f>
        <v/>
      </c>
      <c r="G718" s="180" t="str">
        <f>IF(Formulario!C726&lt;&gt;"",IF(Formulario!C726=" ","Falta Depto",IF(H718=".","Error En Descripción",Formulario!C726)),IF(H718=".",".","Falta Datos"))</f>
        <v>.</v>
      </c>
      <c r="H718" s="144" t="str">
        <f>IF(Formulario!D726&lt;&gt;"",IF(Formulario!D726=" ",".",Formulario!D726),".")</f>
        <v>.</v>
      </c>
      <c r="I718" s="144" t="str">
        <f>IF(Formulario!E726&lt;&gt;"",IF(Formulario!E726=" "," ",Formulario!E726),IF(G718=".",".","Falta Propietario"))</f>
        <v>.</v>
      </c>
      <c r="J718" s="144" t="str">
        <f>IF(Formulario!F726&lt;&gt;"",IF(Formulario!F726=" "," ",Formulario!F726)," ")</f>
        <v xml:space="preserve"> </v>
      </c>
      <c r="K718" s="144" t="str">
        <f>IF(Formulario!G726&lt;&gt;"",IF(Formulario!G726=" "," ",Formulario!G726)," ")</f>
        <v xml:space="preserve"> </v>
      </c>
      <c r="L718" s="144" t="str">
        <f>IF(Formulario!H726&lt;&gt;"",IF(Formulario!H726=" "," ",Formulario!H726)," ")</f>
        <v xml:space="preserve"> </v>
      </c>
      <c r="M718" s="144" t="str">
        <f>IF(Formulario!I726&lt;&gt;"",IF(Formulario!I726=" "," ",Formulario!I726)," ")</f>
        <v xml:space="preserve"> </v>
      </c>
      <c r="N718" s="145" t="str">
        <f>IF(Formulario!J726&lt;&gt;"",IF(Formulario!J726=" "," ",Formulario!J726),IF(G718=".",".","Falta Fecha"))</f>
        <v>.</v>
      </c>
      <c r="O718" s="155">
        <f>Formulario!L726</f>
        <v>0</v>
      </c>
      <c r="P718" s="146">
        <f>IF(O718=1,"09:00",Formulario!M726)</f>
        <v>0</v>
      </c>
      <c r="Q718" s="146">
        <f>IF(O718=1,"18:30",Formulario!N726)</f>
        <v>0</v>
      </c>
      <c r="R718" s="146" t="str">
        <f>IF(Formulario!O726&lt;&gt;"",IF(Formulario!O726=" ",".",Formulario!O726),".")</f>
        <v>.</v>
      </c>
      <c r="S718" s="141" t="s">
        <v>131</v>
      </c>
    </row>
    <row r="719" spans="1:19">
      <c r="A719" s="141">
        <f>Formulario!B727</f>
        <v>0</v>
      </c>
      <c r="B719" s="144" t="str">
        <f>IF(G719="."," ",Formulario!D$5)</f>
        <v xml:space="preserve"> </v>
      </c>
      <c r="C719" s="144" t="str">
        <f>IF(G719=".","",Formulario!D$6)</f>
        <v/>
      </c>
      <c r="D719" s="144" t="str">
        <f>IF(H719=".","",Formulario!D$7)</f>
        <v/>
      </c>
      <c r="E719" s="144" t="str">
        <f>IF(G719=".","",Formulario!J$5)</f>
        <v/>
      </c>
      <c r="F719" s="145" t="str">
        <f>IF(G719=".","",Formulario!J$6)</f>
        <v/>
      </c>
      <c r="G719" s="180" t="str">
        <f>IF(Formulario!C727&lt;&gt;"",IF(Formulario!C727=" ","Falta Depto",IF(H719=".","Error En Descripción",Formulario!C727)),IF(H719=".",".","Falta Datos"))</f>
        <v>.</v>
      </c>
      <c r="H719" s="144" t="str">
        <f>IF(Formulario!D727&lt;&gt;"",IF(Formulario!D727=" ",".",Formulario!D727),".")</f>
        <v>.</v>
      </c>
      <c r="I719" s="144" t="str">
        <f>IF(Formulario!E727&lt;&gt;"",IF(Formulario!E727=" "," ",Formulario!E727),IF(G719=".",".","Falta Propietario"))</f>
        <v>.</v>
      </c>
      <c r="J719" s="144" t="str">
        <f>IF(Formulario!F727&lt;&gt;"",IF(Formulario!F727=" "," ",Formulario!F727)," ")</f>
        <v xml:space="preserve"> </v>
      </c>
      <c r="K719" s="144" t="str">
        <f>IF(Formulario!G727&lt;&gt;"",IF(Formulario!G727=" "," ",Formulario!G727)," ")</f>
        <v xml:space="preserve"> </v>
      </c>
      <c r="L719" s="144" t="str">
        <f>IF(Formulario!H727&lt;&gt;"",IF(Formulario!H727=" "," ",Formulario!H727)," ")</f>
        <v xml:space="preserve"> </v>
      </c>
      <c r="M719" s="144" t="str">
        <f>IF(Formulario!I727&lt;&gt;"",IF(Formulario!I727=" "," ",Formulario!I727)," ")</f>
        <v xml:space="preserve"> </v>
      </c>
      <c r="N719" s="145" t="str">
        <f>IF(Formulario!J727&lt;&gt;"",IF(Formulario!J727=" "," ",Formulario!J727),IF(G719=".",".","Falta Fecha"))</f>
        <v>.</v>
      </c>
      <c r="O719" s="155">
        <f>Formulario!L727</f>
        <v>0</v>
      </c>
      <c r="P719" s="146">
        <f>IF(O719=1,"09:00",Formulario!M727)</f>
        <v>0</v>
      </c>
      <c r="Q719" s="146">
        <f>IF(O719=1,"18:30",Formulario!N727)</f>
        <v>0</v>
      </c>
      <c r="R719" s="146" t="str">
        <f>IF(Formulario!O727&lt;&gt;"",IF(Formulario!O727=" ",".",Formulario!O727),".")</f>
        <v>.</v>
      </c>
      <c r="S719" s="141" t="s">
        <v>131</v>
      </c>
    </row>
    <row r="720" spans="1:19">
      <c r="A720" s="141">
        <f>Formulario!B728</f>
        <v>0</v>
      </c>
      <c r="B720" s="144" t="str">
        <f>IF(G720="."," ",Formulario!D$5)</f>
        <v xml:space="preserve"> </v>
      </c>
      <c r="C720" s="144" t="str">
        <f>IF(G720=".","",Formulario!D$6)</f>
        <v/>
      </c>
      <c r="D720" s="144" t="str">
        <f>IF(H720=".","",Formulario!D$7)</f>
        <v/>
      </c>
      <c r="E720" s="144" t="str">
        <f>IF(G720=".","",Formulario!J$5)</f>
        <v/>
      </c>
      <c r="F720" s="145" t="str">
        <f>IF(G720=".","",Formulario!J$6)</f>
        <v/>
      </c>
      <c r="G720" s="180" t="str">
        <f>IF(Formulario!C728&lt;&gt;"",IF(Formulario!C728=" ","Falta Depto",IF(H720=".","Error En Descripción",Formulario!C728)),IF(H720=".",".","Falta Datos"))</f>
        <v>.</v>
      </c>
      <c r="H720" s="144" t="str">
        <f>IF(Formulario!D728&lt;&gt;"",IF(Formulario!D728=" ",".",Formulario!D728),".")</f>
        <v>.</v>
      </c>
      <c r="I720" s="144" t="str">
        <f>IF(Formulario!E728&lt;&gt;"",IF(Formulario!E728=" "," ",Formulario!E728),IF(G720=".",".","Falta Propietario"))</f>
        <v>.</v>
      </c>
      <c r="J720" s="144" t="str">
        <f>IF(Formulario!F728&lt;&gt;"",IF(Formulario!F728=" "," ",Formulario!F728)," ")</f>
        <v xml:space="preserve"> </v>
      </c>
      <c r="K720" s="144" t="str">
        <f>IF(Formulario!G728&lt;&gt;"",IF(Formulario!G728=" "," ",Formulario!G728)," ")</f>
        <v xml:space="preserve"> </v>
      </c>
      <c r="L720" s="144" t="str">
        <f>IF(Formulario!H728&lt;&gt;"",IF(Formulario!H728=" "," ",Formulario!H728)," ")</f>
        <v xml:space="preserve"> </v>
      </c>
      <c r="M720" s="144" t="str">
        <f>IF(Formulario!I728&lt;&gt;"",IF(Formulario!I728=" "," ",Formulario!I728)," ")</f>
        <v xml:space="preserve"> </v>
      </c>
      <c r="N720" s="145" t="str">
        <f>IF(Formulario!J728&lt;&gt;"",IF(Formulario!J728=" "," ",Formulario!J728),IF(G720=".",".","Falta Fecha"))</f>
        <v>.</v>
      </c>
      <c r="O720" s="155">
        <f>Formulario!L728</f>
        <v>0</v>
      </c>
      <c r="P720" s="146">
        <f>IF(O720=1,"09:00",Formulario!M728)</f>
        <v>0</v>
      </c>
      <c r="Q720" s="146">
        <f>IF(O720=1,"18:30",Formulario!N728)</f>
        <v>0</v>
      </c>
      <c r="R720" s="146" t="str">
        <f>IF(Formulario!O728&lt;&gt;"",IF(Formulario!O728=" ",".",Formulario!O728),".")</f>
        <v>.</v>
      </c>
      <c r="S720" s="141" t="s">
        <v>131</v>
      </c>
    </row>
    <row r="721" spans="1:19">
      <c r="A721" s="141">
        <f>Formulario!B729</f>
        <v>0</v>
      </c>
      <c r="B721" s="144" t="str">
        <f>IF(G721="."," ",Formulario!D$5)</f>
        <v xml:space="preserve"> </v>
      </c>
      <c r="C721" s="144" t="str">
        <f>IF(G721=".","",Formulario!D$6)</f>
        <v/>
      </c>
      <c r="D721" s="144" t="str">
        <f>IF(H721=".","",Formulario!D$7)</f>
        <v/>
      </c>
      <c r="E721" s="144" t="str">
        <f>IF(G721=".","",Formulario!J$5)</f>
        <v/>
      </c>
      <c r="F721" s="145" t="str">
        <f>IF(G721=".","",Formulario!J$6)</f>
        <v/>
      </c>
      <c r="G721" s="180" t="str">
        <f>IF(Formulario!C729&lt;&gt;"",IF(Formulario!C729=" ","Falta Depto",IF(H721=".","Error En Descripción",Formulario!C729)),IF(H721=".",".","Falta Datos"))</f>
        <v>.</v>
      </c>
      <c r="H721" s="144" t="str">
        <f>IF(Formulario!D729&lt;&gt;"",IF(Formulario!D729=" ",".",Formulario!D729),".")</f>
        <v>.</v>
      </c>
      <c r="I721" s="144" t="str">
        <f>IF(Formulario!E729&lt;&gt;"",IF(Formulario!E729=" "," ",Formulario!E729),IF(G721=".",".","Falta Propietario"))</f>
        <v>.</v>
      </c>
      <c r="J721" s="144" t="str">
        <f>IF(Formulario!F729&lt;&gt;"",IF(Formulario!F729=" "," ",Formulario!F729)," ")</f>
        <v xml:space="preserve"> </v>
      </c>
      <c r="K721" s="144" t="str">
        <f>IF(Formulario!G729&lt;&gt;"",IF(Formulario!G729=" "," ",Formulario!G729)," ")</f>
        <v xml:space="preserve"> </v>
      </c>
      <c r="L721" s="144" t="str">
        <f>IF(Formulario!H729&lt;&gt;"",IF(Formulario!H729=" "," ",Formulario!H729)," ")</f>
        <v xml:space="preserve"> </v>
      </c>
      <c r="M721" s="144" t="str">
        <f>IF(Formulario!I729&lt;&gt;"",IF(Formulario!I729=" "," ",Formulario!I729)," ")</f>
        <v xml:space="preserve"> </v>
      </c>
      <c r="N721" s="145" t="str">
        <f>IF(Formulario!J729&lt;&gt;"",IF(Formulario!J729=" "," ",Formulario!J729),IF(G721=".",".","Falta Fecha"))</f>
        <v>.</v>
      </c>
      <c r="O721" s="155">
        <f>Formulario!L729</f>
        <v>0</v>
      </c>
      <c r="P721" s="146">
        <f>IF(O721=1,"09:00",Formulario!M729)</f>
        <v>0</v>
      </c>
      <c r="Q721" s="146">
        <f>IF(O721=1,"18:30",Formulario!N729)</f>
        <v>0</v>
      </c>
      <c r="R721" s="146" t="str">
        <f>IF(Formulario!O729&lt;&gt;"",IF(Formulario!O729=" ",".",Formulario!O729),".")</f>
        <v>.</v>
      </c>
      <c r="S721" s="141" t="s">
        <v>131</v>
      </c>
    </row>
    <row r="722" spans="1:19">
      <c r="A722" s="141">
        <f>Formulario!B730</f>
        <v>0</v>
      </c>
      <c r="B722" s="144" t="str">
        <f>IF(G722="."," ",Formulario!D$5)</f>
        <v xml:space="preserve"> </v>
      </c>
      <c r="C722" s="144" t="str">
        <f>IF(G722=".","",Formulario!D$6)</f>
        <v/>
      </c>
      <c r="D722" s="144" t="str">
        <f>IF(H722=".","",Formulario!D$7)</f>
        <v/>
      </c>
      <c r="E722" s="144" t="str">
        <f>IF(G722=".","",Formulario!J$5)</f>
        <v/>
      </c>
      <c r="F722" s="145" t="str">
        <f>IF(G722=".","",Formulario!J$6)</f>
        <v/>
      </c>
      <c r="G722" s="180" t="str">
        <f>IF(Formulario!C730&lt;&gt;"",IF(Formulario!C730=" ","Falta Depto",IF(H722=".","Error En Descripción",Formulario!C730)),IF(H722=".",".","Falta Datos"))</f>
        <v>.</v>
      </c>
      <c r="H722" s="144" t="str">
        <f>IF(Formulario!D730&lt;&gt;"",IF(Formulario!D730=" ",".",Formulario!D730),".")</f>
        <v>.</v>
      </c>
      <c r="I722" s="144" t="str">
        <f>IF(Formulario!E730&lt;&gt;"",IF(Formulario!E730=" "," ",Formulario!E730),IF(G722=".",".","Falta Propietario"))</f>
        <v>.</v>
      </c>
      <c r="J722" s="144" t="str">
        <f>IF(Formulario!F730&lt;&gt;"",IF(Formulario!F730=" "," ",Formulario!F730)," ")</f>
        <v xml:space="preserve"> </v>
      </c>
      <c r="K722" s="144" t="str">
        <f>IF(Formulario!G730&lt;&gt;"",IF(Formulario!G730=" "," ",Formulario!G730)," ")</f>
        <v xml:space="preserve"> </v>
      </c>
      <c r="L722" s="144" t="str">
        <f>IF(Formulario!H730&lt;&gt;"",IF(Formulario!H730=" "," ",Formulario!H730)," ")</f>
        <v xml:space="preserve"> </v>
      </c>
      <c r="M722" s="144" t="str">
        <f>IF(Formulario!I730&lt;&gt;"",IF(Formulario!I730=" "," ",Formulario!I730)," ")</f>
        <v xml:space="preserve"> </v>
      </c>
      <c r="N722" s="145" t="str">
        <f>IF(Formulario!J730&lt;&gt;"",IF(Formulario!J730=" "," ",Formulario!J730),IF(G722=".",".","Falta Fecha"))</f>
        <v>.</v>
      </c>
      <c r="O722" s="155">
        <f>Formulario!L730</f>
        <v>0</v>
      </c>
      <c r="P722" s="146">
        <f>IF(O722=1,"09:00",Formulario!M730)</f>
        <v>0</v>
      </c>
      <c r="Q722" s="146">
        <f>IF(O722=1,"18:30",Formulario!N730)</f>
        <v>0</v>
      </c>
      <c r="R722" s="146" t="str">
        <f>IF(Formulario!O730&lt;&gt;"",IF(Formulario!O730=" ",".",Formulario!O730),".")</f>
        <v>.</v>
      </c>
      <c r="S722" s="141" t="s">
        <v>131</v>
      </c>
    </row>
    <row r="723" spans="1:19">
      <c r="A723" s="141">
        <f>Formulario!B731</f>
        <v>0</v>
      </c>
      <c r="B723" s="144" t="str">
        <f>IF(G723="."," ",Formulario!D$5)</f>
        <v xml:space="preserve"> </v>
      </c>
      <c r="C723" s="144" t="str">
        <f>IF(G723=".","",Formulario!D$6)</f>
        <v/>
      </c>
      <c r="D723" s="144" t="str">
        <f>IF(H723=".","",Formulario!D$7)</f>
        <v/>
      </c>
      <c r="E723" s="144" t="str">
        <f>IF(G723=".","",Formulario!J$5)</f>
        <v/>
      </c>
      <c r="F723" s="145" t="str">
        <f>IF(G723=".","",Formulario!J$6)</f>
        <v/>
      </c>
      <c r="G723" s="180" t="str">
        <f>IF(Formulario!C731&lt;&gt;"",IF(Formulario!C731=" ","Falta Depto",IF(H723=".","Error En Descripción",Formulario!C731)),IF(H723=".",".","Falta Datos"))</f>
        <v>.</v>
      </c>
      <c r="H723" s="144" t="str">
        <f>IF(Formulario!D731&lt;&gt;"",IF(Formulario!D731=" ",".",Formulario!D731),".")</f>
        <v>.</v>
      </c>
      <c r="I723" s="144" t="str">
        <f>IF(Formulario!E731&lt;&gt;"",IF(Formulario!E731=" "," ",Formulario!E731),IF(G723=".",".","Falta Propietario"))</f>
        <v>.</v>
      </c>
      <c r="J723" s="144" t="str">
        <f>IF(Formulario!F731&lt;&gt;"",IF(Formulario!F731=" "," ",Formulario!F731)," ")</f>
        <v xml:space="preserve"> </v>
      </c>
      <c r="K723" s="144" t="str">
        <f>IF(Formulario!G731&lt;&gt;"",IF(Formulario!G731=" "," ",Formulario!G731)," ")</f>
        <v xml:space="preserve"> </v>
      </c>
      <c r="L723" s="144" t="str">
        <f>IF(Formulario!H731&lt;&gt;"",IF(Formulario!H731=" "," ",Formulario!H731)," ")</f>
        <v xml:space="preserve"> </v>
      </c>
      <c r="M723" s="144" t="str">
        <f>IF(Formulario!I731&lt;&gt;"",IF(Formulario!I731=" "," ",Formulario!I731)," ")</f>
        <v xml:space="preserve"> </v>
      </c>
      <c r="N723" s="145" t="str">
        <f>IF(Formulario!J731&lt;&gt;"",IF(Formulario!J731=" "," ",Formulario!J731),IF(G723=".",".","Falta Fecha"))</f>
        <v>.</v>
      </c>
      <c r="O723" s="155">
        <f>Formulario!L731</f>
        <v>0</v>
      </c>
      <c r="P723" s="146">
        <f>IF(O723=1,"09:00",Formulario!M731)</f>
        <v>0</v>
      </c>
      <c r="Q723" s="146">
        <f>IF(O723=1,"18:30",Formulario!N731)</f>
        <v>0</v>
      </c>
      <c r="R723" s="146" t="str">
        <f>IF(Formulario!O731&lt;&gt;"",IF(Formulario!O731=" ",".",Formulario!O731),".")</f>
        <v>.</v>
      </c>
      <c r="S723" s="141" t="s">
        <v>131</v>
      </c>
    </row>
    <row r="724" spans="1:19">
      <c r="A724" s="141">
        <f>Formulario!B732</f>
        <v>0</v>
      </c>
      <c r="B724" s="144" t="str">
        <f>IF(G724="."," ",Formulario!D$5)</f>
        <v xml:space="preserve"> </v>
      </c>
      <c r="C724" s="144" t="str">
        <f>IF(G724=".","",Formulario!D$6)</f>
        <v/>
      </c>
      <c r="D724" s="144" t="str">
        <f>IF(H724=".","",Formulario!D$7)</f>
        <v/>
      </c>
      <c r="E724" s="144" t="str">
        <f>IF(G724=".","",Formulario!J$5)</f>
        <v/>
      </c>
      <c r="F724" s="145" t="str">
        <f>IF(G724=".","",Formulario!J$6)</f>
        <v/>
      </c>
      <c r="G724" s="180" t="str">
        <f>IF(Formulario!C732&lt;&gt;"",IF(Formulario!C732=" ","Falta Depto",IF(H724=".","Error En Descripción",Formulario!C732)),IF(H724=".",".","Falta Datos"))</f>
        <v>.</v>
      </c>
      <c r="H724" s="144" t="str">
        <f>IF(Formulario!D732&lt;&gt;"",IF(Formulario!D732=" ",".",Formulario!D732),".")</f>
        <v>.</v>
      </c>
      <c r="I724" s="144" t="str">
        <f>IF(Formulario!E732&lt;&gt;"",IF(Formulario!E732=" "," ",Formulario!E732),IF(G724=".",".","Falta Propietario"))</f>
        <v>.</v>
      </c>
      <c r="J724" s="144" t="str">
        <f>IF(Formulario!F732&lt;&gt;"",IF(Formulario!F732=" "," ",Formulario!F732)," ")</f>
        <v xml:space="preserve"> </v>
      </c>
      <c r="K724" s="144" t="str">
        <f>IF(Formulario!G732&lt;&gt;"",IF(Formulario!G732=" "," ",Formulario!G732)," ")</f>
        <v xml:space="preserve"> </v>
      </c>
      <c r="L724" s="144" t="str">
        <f>IF(Formulario!H732&lt;&gt;"",IF(Formulario!H732=" "," ",Formulario!H732)," ")</f>
        <v xml:space="preserve"> </v>
      </c>
      <c r="M724" s="144" t="str">
        <f>IF(Formulario!I732&lt;&gt;"",IF(Formulario!I732=" "," ",Formulario!I732)," ")</f>
        <v xml:space="preserve"> </v>
      </c>
      <c r="N724" s="145" t="str">
        <f>IF(Formulario!J732&lt;&gt;"",IF(Formulario!J732=" "," ",Formulario!J732),IF(G724=".",".","Falta Fecha"))</f>
        <v>.</v>
      </c>
      <c r="O724" s="155">
        <f>Formulario!L732</f>
        <v>0</v>
      </c>
      <c r="P724" s="146">
        <f>IF(O724=1,"09:00",Formulario!M732)</f>
        <v>0</v>
      </c>
      <c r="Q724" s="146">
        <f>IF(O724=1,"18:30",Formulario!N732)</f>
        <v>0</v>
      </c>
      <c r="R724" s="146" t="str">
        <f>IF(Formulario!O732&lt;&gt;"",IF(Formulario!O732=" ",".",Formulario!O732),".")</f>
        <v>.</v>
      </c>
      <c r="S724" s="141" t="s">
        <v>131</v>
      </c>
    </row>
    <row r="725" spans="1:19">
      <c r="A725" s="141">
        <f>Formulario!B733</f>
        <v>0</v>
      </c>
      <c r="B725" s="144" t="str">
        <f>IF(G725="."," ",Formulario!D$5)</f>
        <v xml:space="preserve"> </v>
      </c>
      <c r="C725" s="144" t="str">
        <f>IF(G725=".","",Formulario!D$6)</f>
        <v/>
      </c>
      <c r="D725" s="144" t="str">
        <f>IF(H725=".","",Formulario!D$7)</f>
        <v/>
      </c>
      <c r="E725" s="144" t="str">
        <f>IF(G725=".","",Formulario!J$5)</f>
        <v/>
      </c>
      <c r="F725" s="145" t="str">
        <f>IF(G725=".","",Formulario!J$6)</f>
        <v/>
      </c>
      <c r="G725" s="180" t="str">
        <f>IF(Formulario!C733&lt;&gt;"",IF(Formulario!C733=" ","Falta Depto",IF(H725=".","Error En Descripción",Formulario!C733)),IF(H725=".",".","Falta Datos"))</f>
        <v>.</v>
      </c>
      <c r="H725" s="144" t="str">
        <f>IF(Formulario!D733&lt;&gt;"",IF(Formulario!D733=" ",".",Formulario!D733),".")</f>
        <v>.</v>
      </c>
      <c r="I725" s="144" t="str">
        <f>IF(Formulario!E733&lt;&gt;"",IF(Formulario!E733=" "," ",Formulario!E733),IF(G725=".",".","Falta Propietario"))</f>
        <v>.</v>
      </c>
      <c r="J725" s="144" t="str">
        <f>IF(Formulario!F733&lt;&gt;"",IF(Formulario!F733=" "," ",Formulario!F733)," ")</f>
        <v xml:space="preserve"> </v>
      </c>
      <c r="K725" s="144" t="str">
        <f>IF(Formulario!G733&lt;&gt;"",IF(Formulario!G733=" "," ",Formulario!G733)," ")</f>
        <v xml:space="preserve"> </v>
      </c>
      <c r="L725" s="144" t="str">
        <f>IF(Formulario!H733&lt;&gt;"",IF(Formulario!H733=" "," ",Formulario!H733)," ")</f>
        <v xml:space="preserve"> </v>
      </c>
      <c r="M725" s="144" t="str">
        <f>IF(Formulario!I733&lt;&gt;"",IF(Formulario!I733=" "," ",Formulario!I733)," ")</f>
        <v xml:space="preserve"> </v>
      </c>
      <c r="N725" s="145" t="str">
        <f>IF(Formulario!J733&lt;&gt;"",IF(Formulario!J733=" "," ",Formulario!J733),IF(G725=".",".","Falta Fecha"))</f>
        <v>.</v>
      </c>
      <c r="O725" s="155">
        <f>Formulario!L733</f>
        <v>0</v>
      </c>
      <c r="P725" s="146">
        <f>IF(O725=1,"09:00",Formulario!M733)</f>
        <v>0</v>
      </c>
      <c r="Q725" s="146">
        <f>IF(O725=1,"18:30",Formulario!N733)</f>
        <v>0</v>
      </c>
      <c r="R725" s="146" t="str">
        <f>IF(Formulario!O733&lt;&gt;"",IF(Formulario!O733=" ",".",Formulario!O733),".")</f>
        <v>.</v>
      </c>
      <c r="S725" s="141" t="s">
        <v>131</v>
      </c>
    </row>
    <row r="726" spans="1:19">
      <c r="A726" s="141">
        <f>Formulario!B734</f>
        <v>0</v>
      </c>
      <c r="B726" s="144" t="str">
        <f>IF(G726="."," ",Formulario!D$5)</f>
        <v xml:space="preserve"> </v>
      </c>
      <c r="C726" s="144" t="str">
        <f>IF(G726=".","",Formulario!D$6)</f>
        <v/>
      </c>
      <c r="D726" s="144" t="str">
        <f>IF(H726=".","",Formulario!D$7)</f>
        <v/>
      </c>
      <c r="E726" s="144" t="str">
        <f>IF(G726=".","",Formulario!J$5)</f>
        <v/>
      </c>
      <c r="F726" s="145" t="str">
        <f>IF(G726=".","",Formulario!J$6)</f>
        <v/>
      </c>
      <c r="G726" s="180" t="str">
        <f>IF(Formulario!C734&lt;&gt;"",IF(Formulario!C734=" ","Falta Depto",IF(H726=".","Error En Descripción",Formulario!C734)),IF(H726=".",".","Falta Datos"))</f>
        <v>.</v>
      </c>
      <c r="H726" s="144" t="str">
        <f>IF(Formulario!D734&lt;&gt;"",IF(Formulario!D734=" ",".",Formulario!D734),".")</f>
        <v>.</v>
      </c>
      <c r="I726" s="144" t="str">
        <f>IF(Formulario!E734&lt;&gt;"",IF(Formulario!E734=" "," ",Formulario!E734),IF(G726=".",".","Falta Propietario"))</f>
        <v>.</v>
      </c>
      <c r="J726" s="144" t="str">
        <f>IF(Formulario!F734&lt;&gt;"",IF(Formulario!F734=" "," ",Formulario!F734)," ")</f>
        <v xml:space="preserve"> </v>
      </c>
      <c r="K726" s="144" t="str">
        <f>IF(Formulario!G734&lt;&gt;"",IF(Formulario!G734=" "," ",Formulario!G734)," ")</f>
        <v xml:space="preserve"> </v>
      </c>
      <c r="L726" s="144" t="str">
        <f>IF(Formulario!H734&lt;&gt;"",IF(Formulario!H734=" "," ",Formulario!H734)," ")</f>
        <v xml:space="preserve"> </v>
      </c>
      <c r="M726" s="144" t="str">
        <f>IF(Formulario!I734&lt;&gt;"",IF(Formulario!I734=" "," ",Formulario!I734)," ")</f>
        <v xml:space="preserve"> </v>
      </c>
      <c r="N726" s="145" t="str">
        <f>IF(Formulario!J734&lt;&gt;"",IF(Formulario!J734=" "," ",Formulario!J734),IF(G726=".",".","Falta Fecha"))</f>
        <v>.</v>
      </c>
      <c r="O726" s="155">
        <f>Formulario!L734</f>
        <v>0</v>
      </c>
      <c r="P726" s="146">
        <f>IF(O726=1,"09:00",Formulario!M734)</f>
        <v>0</v>
      </c>
      <c r="Q726" s="146">
        <f>IF(O726=1,"18:30",Formulario!N734)</f>
        <v>0</v>
      </c>
      <c r="R726" s="146" t="str">
        <f>IF(Formulario!O734&lt;&gt;"",IF(Formulario!O734=" ",".",Formulario!O734),".")</f>
        <v>.</v>
      </c>
      <c r="S726" s="141" t="s">
        <v>131</v>
      </c>
    </row>
    <row r="727" spans="1:19">
      <c r="A727" s="141">
        <f>Formulario!B735</f>
        <v>0</v>
      </c>
      <c r="B727" s="144" t="str">
        <f>IF(G727="."," ",Formulario!D$5)</f>
        <v xml:space="preserve"> </v>
      </c>
      <c r="C727" s="144" t="str">
        <f>IF(G727=".","",Formulario!D$6)</f>
        <v/>
      </c>
      <c r="D727" s="144" t="str">
        <f>IF(H727=".","",Formulario!D$7)</f>
        <v/>
      </c>
      <c r="E727" s="144" t="str">
        <f>IF(G727=".","",Formulario!J$5)</f>
        <v/>
      </c>
      <c r="F727" s="145" t="str">
        <f>IF(G727=".","",Formulario!J$6)</f>
        <v/>
      </c>
      <c r="G727" s="180" t="str">
        <f>IF(Formulario!C735&lt;&gt;"",IF(Formulario!C735=" ","Falta Depto",IF(H727=".","Error En Descripción",Formulario!C735)),IF(H727=".",".","Falta Datos"))</f>
        <v>.</v>
      </c>
      <c r="H727" s="144" t="str">
        <f>IF(Formulario!D735&lt;&gt;"",IF(Formulario!D735=" ",".",Formulario!D735),".")</f>
        <v>.</v>
      </c>
      <c r="I727" s="144" t="str">
        <f>IF(Formulario!E735&lt;&gt;"",IF(Formulario!E735=" "," ",Formulario!E735),IF(G727=".",".","Falta Propietario"))</f>
        <v>.</v>
      </c>
      <c r="J727" s="144" t="str">
        <f>IF(Formulario!F735&lt;&gt;"",IF(Formulario!F735=" "," ",Formulario!F735)," ")</f>
        <v xml:space="preserve"> </v>
      </c>
      <c r="K727" s="144" t="str">
        <f>IF(Formulario!G735&lt;&gt;"",IF(Formulario!G735=" "," ",Formulario!G735)," ")</f>
        <v xml:space="preserve"> </v>
      </c>
      <c r="L727" s="144" t="str">
        <f>IF(Formulario!H735&lt;&gt;"",IF(Formulario!H735=" "," ",Formulario!H735)," ")</f>
        <v xml:space="preserve"> </v>
      </c>
      <c r="M727" s="144" t="str">
        <f>IF(Formulario!I735&lt;&gt;"",IF(Formulario!I735=" "," ",Formulario!I735)," ")</f>
        <v xml:space="preserve"> </v>
      </c>
      <c r="N727" s="145" t="str">
        <f>IF(Formulario!J735&lt;&gt;"",IF(Formulario!J735=" "," ",Formulario!J735),IF(G727=".",".","Falta Fecha"))</f>
        <v>.</v>
      </c>
      <c r="O727" s="155">
        <f>Formulario!L735</f>
        <v>0</v>
      </c>
      <c r="P727" s="146">
        <f>IF(O727=1,"09:00",Formulario!M735)</f>
        <v>0</v>
      </c>
      <c r="Q727" s="146">
        <f>IF(O727=1,"18:30",Formulario!N735)</f>
        <v>0</v>
      </c>
      <c r="R727" s="146" t="str">
        <f>IF(Formulario!O735&lt;&gt;"",IF(Formulario!O735=" ",".",Formulario!O735),".")</f>
        <v>.</v>
      </c>
      <c r="S727" s="141" t="s">
        <v>131</v>
      </c>
    </row>
    <row r="728" spans="1:19">
      <c r="A728" s="141">
        <f>Formulario!B736</f>
        <v>0</v>
      </c>
      <c r="B728" s="144" t="str">
        <f>IF(G728="."," ",Formulario!D$5)</f>
        <v xml:space="preserve"> </v>
      </c>
      <c r="C728" s="144" t="str">
        <f>IF(G728=".","",Formulario!D$6)</f>
        <v/>
      </c>
      <c r="D728" s="144" t="str">
        <f>IF(H728=".","",Formulario!D$7)</f>
        <v/>
      </c>
      <c r="E728" s="144" t="str">
        <f>IF(G728=".","",Formulario!J$5)</f>
        <v/>
      </c>
      <c r="F728" s="145" t="str">
        <f>IF(G728=".","",Formulario!J$6)</f>
        <v/>
      </c>
      <c r="G728" s="180" t="str">
        <f>IF(Formulario!C736&lt;&gt;"",IF(Formulario!C736=" ","Falta Depto",IF(H728=".","Error En Descripción",Formulario!C736)),IF(H728=".",".","Falta Datos"))</f>
        <v>.</v>
      </c>
      <c r="H728" s="144" t="str">
        <f>IF(Formulario!D736&lt;&gt;"",IF(Formulario!D736=" ",".",Formulario!D736),".")</f>
        <v>.</v>
      </c>
      <c r="I728" s="144" t="str">
        <f>IF(Formulario!E736&lt;&gt;"",IF(Formulario!E736=" "," ",Formulario!E736),IF(G728=".",".","Falta Propietario"))</f>
        <v>.</v>
      </c>
      <c r="J728" s="144" t="str">
        <f>IF(Formulario!F736&lt;&gt;"",IF(Formulario!F736=" "," ",Formulario!F736)," ")</f>
        <v xml:space="preserve"> </v>
      </c>
      <c r="K728" s="144" t="str">
        <f>IF(Formulario!G736&lt;&gt;"",IF(Formulario!G736=" "," ",Formulario!G736)," ")</f>
        <v xml:space="preserve"> </v>
      </c>
      <c r="L728" s="144" t="str">
        <f>IF(Formulario!H736&lt;&gt;"",IF(Formulario!H736=" "," ",Formulario!H736)," ")</f>
        <v xml:space="preserve"> </v>
      </c>
      <c r="M728" s="144" t="str">
        <f>IF(Formulario!I736&lt;&gt;"",IF(Formulario!I736=" "," ",Formulario!I736)," ")</f>
        <v xml:space="preserve"> </v>
      </c>
      <c r="N728" s="145" t="str">
        <f>IF(Formulario!J736&lt;&gt;"",IF(Formulario!J736=" "," ",Formulario!J736),IF(G728=".",".","Falta Fecha"))</f>
        <v>.</v>
      </c>
      <c r="O728" s="155">
        <f>Formulario!L736</f>
        <v>0</v>
      </c>
      <c r="P728" s="146">
        <f>IF(O728=1,"09:00",Formulario!M736)</f>
        <v>0</v>
      </c>
      <c r="Q728" s="146">
        <f>IF(O728=1,"18:30",Formulario!N736)</f>
        <v>0</v>
      </c>
      <c r="R728" s="146" t="str">
        <f>IF(Formulario!O736&lt;&gt;"",IF(Formulario!O736=" ",".",Formulario!O736),".")</f>
        <v>.</v>
      </c>
      <c r="S728" s="141" t="s">
        <v>131</v>
      </c>
    </row>
    <row r="729" spans="1:19">
      <c r="A729" s="141">
        <f>Formulario!B737</f>
        <v>0</v>
      </c>
      <c r="B729" s="144" t="str">
        <f>IF(G729="."," ",Formulario!D$5)</f>
        <v xml:space="preserve"> </v>
      </c>
      <c r="C729" s="144" t="str">
        <f>IF(G729=".","",Formulario!D$6)</f>
        <v/>
      </c>
      <c r="D729" s="144" t="str">
        <f>IF(H729=".","",Formulario!D$7)</f>
        <v/>
      </c>
      <c r="E729" s="144" t="str">
        <f>IF(G729=".","",Formulario!J$5)</f>
        <v/>
      </c>
      <c r="F729" s="145" t="str">
        <f>IF(G729=".","",Formulario!J$6)</f>
        <v/>
      </c>
      <c r="G729" s="180" t="str">
        <f>IF(Formulario!C737&lt;&gt;"",IF(Formulario!C737=" ","Falta Depto",IF(H729=".","Error En Descripción",Formulario!C737)),IF(H729=".",".","Falta Datos"))</f>
        <v>.</v>
      </c>
      <c r="H729" s="144" t="str">
        <f>IF(Formulario!D737&lt;&gt;"",IF(Formulario!D737=" ",".",Formulario!D737),".")</f>
        <v>.</v>
      </c>
      <c r="I729" s="144" t="str">
        <f>IF(Formulario!E737&lt;&gt;"",IF(Formulario!E737=" "," ",Formulario!E737),IF(G729=".",".","Falta Propietario"))</f>
        <v>.</v>
      </c>
      <c r="J729" s="144" t="str">
        <f>IF(Formulario!F737&lt;&gt;"",IF(Formulario!F737=" "," ",Formulario!F737)," ")</f>
        <v xml:space="preserve"> </v>
      </c>
      <c r="K729" s="144" t="str">
        <f>IF(Formulario!G737&lt;&gt;"",IF(Formulario!G737=" "," ",Formulario!G737)," ")</f>
        <v xml:space="preserve"> </v>
      </c>
      <c r="L729" s="144" t="str">
        <f>IF(Formulario!H737&lt;&gt;"",IF(Formulario!H737=" "," ",Formulario!H737)," ")</f>
        <v xml:space="preserve"> </v>
      </c>
      <c r="M729" s="144" t="str">
        <f>IF(Formulario!I737&lt;&gt;"",IF(Formulario!I737=" "," ",Formulario!I737)," ")</f>
        <v xml:space="preserve"> </v>
      </c>
      <c r="N729" s="145" t="str">
        <f>IF(Formulario!J737&lt;&gt;"",IF(Formulario!J737=" "," ",Formulario!J737),IF(G729=".",".","Falta Fecha"))</f>
        <v>.</v>
      </c>
      <c r="O729" s="155">
        <f>Formulario!L737</f>
        <v>0</v>
      </c>
      <c r="P729" s="146">
        <f>IF(O729=1,"09:00",Formulario!M737)</f>
        <v>0</v>
      </c>
      <c r="Q729" s="146">
        <f>IF(O729=1,"18:30",Formulario!N737)</f>
        <v>0</v>
      </c>
      <c r="R729" s="146" t="str">
        <f>IF(Formulario!O737&lt;&gt;"",IF(Formulario!O737=" ",".",Formulario!O737),".")</f>
        <v>.</v>
      </c>
      <c r="S729" s="141" t="s">
        <v>131</v>
      </c>
    </row>
    <row r="730" spans="1:19">
      <c r="A730" s="141">
        <f>Formulario!B738</f>
        <v>0</v>
      </c>
      <c r="B730" s="144" t="str">
        <f>IF(G730="."," ",Formulario!D$5)</f>
        <v xml:space="preserve"> </v>
      </c>
      <c r="C730" s="144" t="str">
        <f>IF(G730=".","",Formulario!D$6)</f>
        <v/>
      </c>
      <c r="D730" s="144" t="str">
        <f>IF(H730=".","",Formulario!D$7)</f>
        <v/>
      </c>
      <c r="E730" s="144" t="str">
        <f>IF(G730=".","",Formulario!J$5)</f>
        <v/>
      </c>
      <c r="F730" s="145" t="str">
        <f>IF(G730=".","",Formulario!J$6)</f>
        <v/>
      </c>
      <c r="G730" s="180" t="str">
        <f>IF(Formulario!C738&lt;&gt;"",IF(Formulario!C738=" ","Falta Depto",IF(H730=".","Error En Descripción",Formulario!C738)),IF(H730=".",".","Falta Datos"))</f>
        <v>.</v>
      </c>
      <c r="H730" s="144" t="str">
        <f>IF(Formulario!D738&lt;&gt;"",IF(Formulario!D738=" ",".",Formulario!D738),".")</f>
        <v>.</v>
      </c>
      <c r="I730" s="144" t="str">
        <f>IF(Formulario!E738&lt;&gt;"",IF(Formulario!E738=" "," ",Formulario!E738),IF(G730=".",".","Falta Propietario"))</f>
        <v>.</v>
      </c>
      <c r="J730" s="144" t="str">
        <f>IF(Formulario!F738&lt;&gt;"",IF(Formulario!F738=" "," ",Formulario!F738)," ")</f>
        <v xml:space="preserve"> </v>
      </c>
      <c r="K730" s="144" t="str">
        <f>IF(Formulario!G738&lt;&gt;"",IF(Formulario!G738=" "," ",Formulario!G738)," ")</f>
        <v xml:space="preserve"> </v>
      </c>
      <c r="L730" s="144" t="str">
        <f>IF(Formulario!H738&lt;&gt;"",IF(Formulario!H738=" "," ",Formulario!H738)," ")</f>
        <v xml:space="preserve"> </v>
      </c>
      <c r="M730" s="144" t="str">
        <f>IF(Formulario!I738&lt;&gt;"",IF(Formulario!I738=" "," ",Formulario!I738)," ")</f>
        <v xml:space="preserve"> </v>
      </c>
      <c r="N730" s="145" t="str">
        <f>IF(Formulario!J738&lt;&gt;"",IF(Formulario!J738=" "," ",Formulario!J738),IF(G730=".",".","Falta Fecha"))</f>
        <v>.</v>
      </c>
      <c r="O730" s="155">
        <f>Formulario!L738</f>
        <v>0</v>
      </c>
      <c r="P730" s="146">
        <f>IF(O730=1,"09:00",Formulario!M738)</f>
        <v>0</v>
      </c>
      <c r="Q730" s="146">
        <f>IF(O730=1,"18:30",Formulario!N738)</f>
        <v>0</v>
      </c>
      <c r="R730" s="146" t="str">
        <f>IF(Formulario!O738&lt;&gt;"",IF(Formulario!O738=" ",".",Formulario!O738),".")</f>
        <v>.</v>
      </c>
      <c r="S730" s="141" t="s">
        <v>131</v>
      </c>
    </row>
    <row r="731" spans="1:19">
      <c r="A731" s="141">
        <f>Formulario!B739</f>
        <v>0</v>
      </c>
      <c r="B731" s="144" t="str">
        <f>IF(G731="."," ",Formulario!D$5)</f>
        <v xml:space="preserve"> </v>
      </c>
      <c r="C731" s="144" t="str">
        <f>IF(G731=".","",Formulario!D$6)</f>
        <v/>
      </c>
      <c r="D731" s="144" t="str">
        <f>IF(H731=".","",Formulario!D$7)</f>
        <v/>
      </c>
      <c r="E731" s="144" t="str">
        <f>IF(G731=".","",Formulario!J$5)</f>
        <v/>
      </c>
      <c r="F731" s="145" t="str">
        <f>IF(G731=".","",Formulario!J$6)</f>
        <v/>
      </c>
      <c r="G731" s="180" t="str">
        <f>IF(Formulario!C739&lt;&gt;"",IF(Formulario!C739=" ","Falta Depto",IF(H731=".","Error En Descripción",Formulario!C739)),IF(H731=".",".","Falta Datos"))</f>
        <v>.</v>
      </c>
      <c r="H731" s="144" t="str">
        <f>IF(Formulario!D739&lt;&gt;"",IF(Formulario!D739=" ",".",Formulario!D739),".")</f>
        <v>.</v>
      </c>
      <c r="I731" s="144" t="str">
        <f>IF(Formulario!E739&lt;&gt;"",IF(Formulario!E739=" "," ",Formulario!E739),IF(G731=".",".","Falta Propietario"))</f>
        <v>.</v>
      </c>
      <c r="J731" s="144" t="str">
        <f>IF(Formulario!F739&lt;&gt;"",IF(Formulario!F739=" "," ",Formulario!F739)," ")</f>
        <v xml:space="preserve"> </v>
      </c>
      <c r="K731" s="144" t="str">
        <f>IF(Formulario!G739&lt;&gt;"",IF(Formulario!G739=" "," ",Formulario!G739)," ")</f>
        <v xml:space="preserve"> </v>
      </c>
      <c r="L731" s="144" t="str">
        <f>IF(Formulario!H739&lt;&gt;"",IF(Formulario!H739=" "," ",Formulario!H739)," ")</f>
        <v xml:space="preserve"> </v>
      </c>
      <c r="M731" s="144" t="str">
        <f>IF(Formulario!I739&lt;&gt;"",IF(Formulario!I739=" "," ",Formulario!I739)," ")</f>
        <v xml:space="preserve"> </v>
      </c>
      <c r="N731" s="145" t="str">
        <f>IF(Formulario!J739&lt;&gt;"",IF(Formulario!J739=" "," ",Formulario!J739),IF(G731=".",".","Falta Fecha"))</f>
        <v>.</v>
      </c>
      <c r="O731" s="155">
        <f>Formulario!L739</f>
        <v>0</v>
      </c>
      <c r="P731" s="146">
        <f>IF(O731=1,"09:00",Formulario!M739)</f>
        <v>0</v>
      </c>
      <c r="Q731" s="146">
        <f>IF(O731=1,"18:30",Formulario!N739)</f>
        <v>0</v>
      </c>
      <c r="R731" s="146" t="str">
        <f>IF(Formulario!O739&lt;&gt;"",IF(Formulario!O739=" ",".",Formulario!O739),".")</f>
        <v>.</v>
      </c>
      <c r="S731" s="141" t="s">
        <v>131</v>
      </c>
    </row>
    <row r="732" spans="1:19">
      <c r="A732" s="141">
        <f>Formulario!B740</f>
        <v>0</v>
      </c>
      <c r="B732" s="144" t="str">
        <f>IF(G732="."," ",Formulario!D$5)</f>
        <v xml:space="preserve"> </v>
      </c>
      <c r="C732" s="144" t="str">
        <f>IF(G732=".","",Formulario!D$6)</f>
        <v/>
      </c>
      <c r="D732" s="144" t="str">
        <f>IF(H732=".","",Formulario!D$7)</f>
        <v/>
      </c>
      <c r="E732" s="144" t="str">
        <f>IF(G732=".","",Formulario!J$5)</f>
        <v/>
      </c>
      <c r="F732" s="145" t="str">
        <f>IF(G732=".","",Formulario!J$6)</f>
        <v/>
      </c>
      <c r="G732" s="180" t="str">
        <f>IF(Formulario!C740&lt;&gt;"",IF(Formulario!C740=" ","Falta Depto",IF(H732=".","Error En Descripción",Formulario!C740)),IF(H732=".",".","Falta Datos"))</f>
        <v>.</v>
      </c>
      <c r="H732" s="144" t="str">
        <f>IF(Formulario!D740&lt;&gt;"",IF(Formulario!D740=" ",".",Formulario!D740),".")</f>
        <v>.</v>
      </c>
      <c r="I732" s="144" t="str">
        <f>IF(Formulario!E740&lt;&gt;"",IF(Formulario!E740=" "," ",Formulario!E740),IF(G732=".",".","Falta Propietario"))</f>
        <v>.</v>
      </c>
      <c r="J732" s="144" t="str">
        <f>IF(Formulario!F740&lt;&gt;"",IF(Formulario!F740=" "," ",Formulario!F740)," ")</f>
        <v xml:space="preserve"> </v>
      </c>
      <c r="K732" s="144" t="str">
        <f>IF(Formulario!G740&lt;&gt;"",IF(Formulario!G740=" "," ",Formulario!G740)," ")</f>
        <v xml:space="preserve"> </v>
      </c>
      <c r="L732" s="144" t="str">
        <f>IF(Formulario!H740&lt;&gt;"",IF(Formulario!H740=" "," ",Formulario!H740)," ")</f>
        <v xml:space="preserve"> </v>
      </c>
      <c r="M732" s="144" t="str">
        <f>IF(Formulario!I740&lt;&gt;"",IF(Formulario!I740=" "," ",Formulario!I740)," ")</f>
        <v xml:space="preserve"> </v>
      </c>
      <c r="N732" s="145" t="str">
        <f>IF(Formulario!J740&lt;&gt;"",IF(Formulario!J740=" "," ",Formulario!J740),IF(G732=".",".","Falta Fecha"))</f>
        <v>.</v>
      </c>
      <c r="O732" s="155">
        <f>Formulario!L740</f>
        <v>0</v>
      </c>
      <c r="P732" s="146">
        <f>IF(O732=1,"09:00",Formulario!M740)</f>
        <v>0</v>
      </c>
      <c r="Q732" s="146">
        <f>IF(O732=1,"18:30",Formulario!N740)</f>
        <v>0</v>
      </c>
      <c r="R732" s="146" t="str">
        <f>IF(Formulario!O740&lt;&gt;"",IF(Formulario!O740=" ",".",Formulario!O740),".")</f>
        <v>.</v>
      </c>
      <c r="S732" s="141" t="s">
        <v>131</v>
      </c>
    </row>
    <row r="733" spans="1:19">
      <c r="A733" s="141">
        <f>Formulario!B741</f>
        <v>0</v>
      </c>
      <c r="B733" s="144" t="str">
        <f>IF(G733="."," ",Formulario!D$5)</f>
        <v xml:space="preserve"> </v>
      </c>
      <c r="C733" s="144" t="str">
        <f>IF(G733=".","",Formulario!D$6)</f>
        <v/>
      </c>
      <c r="D733" s="144" t="str">
        <f>IF(H733=".","",Formulario!D$7)</f>
        <v/>
      </c>
      <c r="E733" s="144" t="str">
        <f>IF(G733=".","",Formulario!J$5)</f>
        <v/>
      </c>
      <c r="F733" s="145" t="str">
        <f>IF(G733=".","",Formulario!J$6)</f>
        <v/>
      </c>
      <c r="G733" s="180" t="str">
        <f>IF(Formulario!C741&lt;&gt;"",IF(Formulario!C741=" ","Falta Depto",IF(H733=".","Error En Descripción",Formulario!C741)),IF(H733=".",".","Falta Datos"))</f>
        <v>.</v>
      </c>
      <c r="H733" s="144" t="str">
        <f>IF(Formulario!D741&lt;&gt;"",IF(Formulario!D741=" ",".",Formulario!D741),".")</f>
        <v>.</v>
      </c>
      <c r="I733" s="144" t="str">
        <f>IF(Formulario!E741&lt;&gt;"",IF(Formulario!E741=" "," ",Formulario!E741),IF(G733=".",".","Falta Propietario"))</f>
        <v>.</v>
      </c>
      <c r="J733" s="144" t="str">
        <f>IF(Formulario!F741&lt;&gt;"",IF(Formulario!F741=" "," ",Formulario!F741)," ")</f>
        <v xml:space="preserve"> </v>
      </c>
      <c r="K733" s="144" t="str">
        <f>IF(Formulario!G741&lt;&gt;"",IF(Formulario!G741=" "," ",Formulario!G741)," ")</f>
        <v xml:space="preserve"> </v>
      </c>
      <c r="L733" s="144" t="str">
        <f>IF(Formulario!H741&lt;&gt;"",IF(Formulario!H741=" "," ",Formulario!H741)," ")</f>
        <v xml:space="preserve"> </v>
      </c>
      <c r="M733" s="144" t="str">
        <f>IF(Formulario!I741&lt;&gt;"",IF(Formulario!I741=" "," ",Formulario!I741)," ")</f>
        <v xml:space="preserve"> </v>
      </c>
      <c r="N733" s="145" t="str">
        <f>IF(Formulario!J741&lt;&gt;"",IF(Formulario!J741=" "," ",Formulario!J741),IF(G733=".",".","Falta Fecha"))</f>
        <v>.</v>
      </c>
      <c r="O733" s="155">
        <f>Formulario!L741</f>
        <v>0</v>
      </c>
      <c r="P733" s="146">
        <f>IF(O733=1,"09:00",Formulario!M741)</f>
        <v>0</v>
      </c>
      <c r="Q733" s="146">
        <f>IF(O733=1,"18:30",Formulario!N741)</f>
        <v>0</v>
      </c>
      <c r="R733" s="146" t="str">
        <f>IF(Formulario!O741&lt;&gt;"",IF(Formulario!O741=" ",".",Formulario!O741),".")</f>
        <v>.</v>
      </c>
      <c r="S733" s="141" t="s">
        <v>131</v>
      </c>
    </row>
    <row r="734" spans="1:19">
      <c r="A734" s="141">
        <f>Formulario!B742</f>
        <v>0</v>
      </c>
      <c r="B734" s="144" t="str">
        <f>IF(G734="."," ",Formulario!D$5)</f>
        <v xml:space="preserve"> </v>
      </c>
      <c r="C734" s="144" t="str">
        <f>IF(G734=".","",Formulario!D$6)</f>
        <v/>
      </c>
      <c r="D734" s="144" t="str">
        <f>IF(H734=".","",Formulario!D$7)</f>
        <v/>
      </c>
      <c r="E734" s="144" t="str">
        <f>IF(G734=".","",Formulario!J$5)</f>
        <v/>
      </c>
      <c r="F734" s="145" t="str">
        <f>IF(G734=".","",Formulario!J$6)</f>
        <v/>
      </c>
      <c r="G734" s="180" t="str">
        <f>IF(Formulario!C742&lt;&gt;"",IF(Formulario!C742=" ","Falta Depto",IF(H734=".","Error En Descripción",Formulario!C742)),IF(H734=".",".","Falta Datos"))</f>
        <v>.</v>
      </c>
      <c r="H734" s="144" t="str">
        <f>IF(Formulario!D742&lt;&gt;"",IF(Formulario!D742=" ",".",Formulario!D742),".")</f>
        <v>.</v>
      </c>
      <c r="I734" s="144" t="str">
        <f>IF(Formulario!E742&lt;&gt;"",IF(Formulario!E742=" "," ",Formulario!E742),IF(G734=".",".","Falta Propietario"))</f>
        <v>.</v>
      </c>
      <c r="J734" s="144" t="str">
        <f>IF(Formulario!F742&lt;&gt;"",IF(Formulario!F742=" "," ",Formulario!F742)," ")</f>
        <v xml:space="preserve"> </v>
      </c>
      <c r="K734" s="144" t="str">
        <f>IF(Formulario!G742&lt;&gt;"",IF(Formulario!G742=" "," ",Formulario!G742)," ")</f>
        <v xml:space="preserve"> </v>
      </c>
      <c r="L734" s="144" t="str">
        <f>IF(Formulario!H742&lt;&gt;"",IF(Formulario!H742=" "," ",Formulario!H742)," ")</f>
        <v xml:space="preserve"> </v>
      </c>
      <c r="M734" s="144" t="str">
        <f>IF(Formulario!I742&lt;&gt;"",IF(Formulario!I742=" "," ",Formulario!I742)," ")</f>
        <v xml:space="preserve"> </v>
      </c>
      <c r="N734" s="145" t="str">
        <f>IF(Formulario!J742&lt;&gt;"",IF(Formulario!J742=" "," ",Formulario!J742),IF(G734=".",".","Falta Fecha"))</f>
        <v>.</v>
      </c>
      <c r="O734" s="155">
        <f>Formulario!L742</f>
        <v>0</v>
      </c>
      <c r="P734" s="146">
        <f>IF(O734=1,"09:00",Formulario!M742)</f>
        <v>0</v>
      </c>
      <c r="Q734" s="146">
        <f>IF(O734=1,"18:30",Formulario!N742)</f>
        <v>0</v>
      </c>
      <c r="R734" s="146" t="str">
        <f>IF(Formulario!O742&lt;&gt;"",IF(Formulario!O742=" ",".",Formulario!O742),".")</f>
        <v>.</v>
      </c>
      <c r="S734" s="141" t="s">
        <v>131</v>
      </c>
    </row>
    <row r="735" spans="1:19">
      <c r="A735" s="141">
        <f>Formulario!B743</f>
        <v>0</v>
      </c>
      <c r="B735" s="144" t="str">
        <f>IF(G735="."," ",Formulario!D$5)</f>
        <v xml:space="preserve"> </v>
      </c>
      <c r="C735" s="144" t="str">
        <f>IF(G735=".","",Formulario!D$6)</f>
        <v/>
      </c>
      <c r="D735" s="144" t="str">
        <f>IF(H735=".","",Formulario!D$7)</f>
        <v/>
      </c>
      <c r="E735" s="144" t="str">
        <f>IF(G735=".","",Formulario!J$5)</f>
        <v/>
      </c>
      <c r="F735" s="145" t="str">
        <f>IF(G735=".","",Formulario!J$6)</f>
        <v/>
      </c>
      <c r="G735" s="180" t="str">
        <f>IF(Formulario!C743&lt;&gt;"",IF(Formulario!C743=" ","Falta Depto",IF(H735=".","Error En Descripción",Formulario!C743)),IF(H735=".",".","Falta Datos"))</f>
        <v>.</v>
      </c>
      <c r="H735" s="144" t="str">
        <f>IF(Formulario!D743&lt;&gt;"",IF(Formulario!D743=" ",".",Formulario!D743),".")</f>
        <v>.</v>
      </c>
      <c r="I735" s="144" t="str">
        <f>IF(Formulario!E743&lt;&gt;"",IF(Formulario!E743=" "," ",Formulario!E743),IF(G735=".",".","Falta Propietario"))</f>
        <v>.</v>
      </c>
      <c r="J735" s="144" t="str">
        <f>IF(Formulario!F743&lt;&gt;"",IF(Formulario!F743=" "," ",Formulario!F743)," ")</f>
        <v xml:space="preserve"> </v>
      </c>
      <c r="K735" s="144" t="str">
        <f>IF(Formulario!G743&lt;&gt;"",IF(Formulario!G743=" "," ",Formulario!G743)," ")</f>
        <v xml:space="preserve"> </v>
      </c>
      <c r="L735" s="144" t="str">
        <f>IF(Formulario!H743&lt;&gt;"",IF(Formulario!H743=" "," ",Formulario!H743)," ")</f>
        <v xml:space="preserve"> </v>
      </c>
      <c r="M735" s="144" t="str">
        <f>IF(Formulario!I743&lt;&gt;"",IF(Formulario!I743=" "," ",Formulario!I743)," ")</f>
        <v xml:space="preserve"> </v>
      </c>
      <c r="N735" s="145" t="str">
        <f>IF(Formulario!J743&lt;&gt;"",IF(Formulario!J743=" "," ",Formulario!J743),IF(G735=".",".","Falta Fecha"))</f>
        <v>.</v>
      </c>
      <c r="O735" s="155">
        <f>Formulario!L743</f>
        <v>0</v>
      </c>
      <c r="P735" s="146">
        <f>IF(O735=1,"09:00",Formulario!M743)</f>
        <v>0</v>
      </c>
      <c r="Q735" s="146">
        <f>IF(O735=1,"18:30",Formulario!N743)</f>
        <v>0</v>
      </c>
      <c r="R735" s="146" t="str">
        <f>IF(Formulario!O743&lt;&gt;"",IF(Formulario!O743=" ",".",Formulario!O743),".")</f>
        <v>.</v>
      </c>
      <c r="S735" s="141" t="s">
        <v>131</v>
      </c>
    </row>
    <row r="736" spans="1:19">
      <c r="A736" s="141">
        <f>Formulario!B744</f>
        <v>0</v>
      </c>
      <c r="B736" s="144" t="str">
        <f>IF(G736="."," ",Formulario!D$5)</f>
        <v xml:space="preserve"> </v>
      </c>
      <c r="C736" s="144" t="str">
        <f>IF(G736=".","",Formulario!D$6)</f>
        <v/>
      </c>
      <c r="D736" s="144" t="str">
        <f>IF(H736=".","",Formulario!D$7)</f>
        <v/>
      </c>
      <c r="E736" s="144" t="str">
        <f>IF(G736=".","",Formulario!J$5)</f>
        <v/>
      </c>
      <c r="F736" s="145" t="str">
        <f>IF(G736=".","",Formulario!J$6)</f>
        <v/>
      </c>
      <c r="G736" s="180" t="str">
        <f>IF(Formulario!C744&lt;&gt;"",IF(Formulario!C744=" ","Falta Depto",IF(H736=".","Error En Descripción",Formulario!C744)),IF(H736=".",".","Falta Datos"))</f>
        <v>.</v>
      </c>
      <c r="H736" s="144" t="str">
        <f>IF(Formulario!D744&lt;&gt;"",IF(Formulario!D744=" ",".",Formulario!D744),".")</f>
        <v>.</v>
      </c>
      <c r="I736" s="144" t="str">
        <f>IF(Formulario!E744&lt;&gt;"",IF(Formulario!E744=" "," ",Formulario!E744),IF(G736=".",".","Falta Propietario"))</f>
        <v>.</v>
      </c>
      <c r="J736" s="144" t="str">
        <f>IF(Formulario!F744&lt;&gt;"",IF(Formulario!F744=" "," ",Formulario!F744)," ")</f>
        <v xml:space="preserve"> </v>
      </c>
      <c r="K736" s="144" t="str">
        <f>IF(Formulario!G744&lt;&gt;"",IF(Formulario!G744=" "," ",Formulario!G744)," ")</f>
        <v xml:space="preserve"> </v>
      </c>
      <c r="L736" s="144" t="str">
        <f>IF(Formulario!H744&lt;&gt;"",IF(Formulario!H744=" "," ",Formulario!H744)," ")</f>
        <v xml:space="preserve"> </v>
      </c>
      <c r="M736" s="144" t="str">
        <f>IF(Formulario!I744&lt;&gt;"",IF(Formulario!I744=" "," ",Formulario!I744)," ")</f>
        <v xml:space="preserve"> </v>
      </c>
      <c r="N736" s="145" t="str">
        <f>IF(Formulario!J744&lt;&gt;"",IF(Formulario!J744=" "," ",Formulario!J744),IF(G736=".",".","Falta Fecha"))</f>
        <v>.</v>
      </c>
      <c r="O736" s="155">
        <f>Formulario!L744</f>
        <v>0</v>
      </c>
      <c r="P736" s="146">
        <f>IF(O736=1,"09:00",Formulario!M744)</f>
        <v>0</v>
      </c>
      <c r="Q736" s="146">
        <f>IF(O736=1,"18:30",Formulario!N744)</f>
        <v>0</v>
      </c>
      <c r="R736" s="146" t="str">
        <f>IF(Formulario!O744&lt;&gt;"",IF(Formulario!O744=" ",".",Formulario!O744),".")</f>
        <v>.</v>
      </c>
      <c r="S736" s="141" t="s">
        <v>131</v>
      </c>
    </row>
    <row r="737" spans="1:19">
      <c r="A737" s="141">
        <f>Formulario!B745</f>
        <v>0</v>
      </c>
      <c r="B737" s="144" t="str">
        <f>IF(G737="."," ",Formulario!D$5)</f>
        <v xml:space="preserve"> </v>
      </c>
      <c r="C737" s="144" t="str">
        <f>IF(G737=".","",Formulario!D$6)</f>
        <v/>
      </c>
      <c r="D737" s="144" t="str">
        <f>IF(H737=".","",Formulario!D$7)</f>
        <v/>
      </c>
      <c r="E737" s="144" t="str">
        <f>IF(G737=".","",Formulario!J$5)</f>
        <v/>
      </c>
      <c r="F737" s="145" t="str">
        <f>IF(G737=".","",Formulario!J$6)</f>
        <v/>
      </c>
      <c r="G737" s="180" t="str">
        <f>IF(Formulario!C745&lt;&gt;"",IF(Formulario!C745=" ","Falta Depto",IF(H737=".","Error En Descripción",Formulario!C745)),IF(H737=".",".","Falta Datos"))</f>
        <v>.</v>
      </c>
      <c r="H737" s="144" t="str">
        <f>IF(Formulario!D745&lt;&gt;"",IF(Formulario!D745=" ",".",Formulario!D745),".")</f>
        <v>.</v>
      </c>
      <c r="I737" s="144" t="str">
        <f>IF(Formulario!E745&lt;&gt;"",IF(Formulario!E745=" "," ",Formulario!E745),IF(G737=".",".","Falta Propietario"))</f>
        <v>.</v>
      </c>
      <c r="J737" s="144" t="str">
        <f>IF(Formulario!F745&lt;&gt;"",IF(Formulario!F745=" "," ",Formulario!F745)," ")</f>
        <v xml:space="preserve"> </v>
      </c>
      <c r="K737" s="144" t="str">
        <f>IF(Formulario!G745&lt;&gt;"",IF(Formulario!G745=" "," ",Formulario!G745)," ")</f>
        <v xml:space="preserve"> </v>
      </c>
      <c r="L737" s="144" t="str">
        <f>IF(Formulario!H745&lt;&gt;"",IF(Formulario!H745=" "," ",Formulario!H745)," ")</f>
        <v xml:space="preserve"> </v>
      </c>
      <c r="M737" s="144" t="str">
        <f>IF(Formulario!I745&lt;&gt;"",IF(Formulario!I745=" "," ",Formulario!I745)," ")</f>
        <v xml:space="preserve"> </v>
      </c>
      <c r="N737" s="145" t="str">
        <f>IF(Formulario!J745&lt;&gt;"",IF(Formulario!J745=" "," ",Formulario!J745),IF(G737=".",".","Falta Fecha"))</f>
        <v>.</v>
      </c>
      <c r="O737" s="155">
        <f>Formulario!L745</f>
        <v>0</v>
      </c>
      <c r="P737" s="146">
        <f>IF(O737=1,"09:00",Formulario!M745)</f>
        <v>0</v>
      </c>
      <c r="Q737" s="146">
        <f>IF(O737=1,"18:30",Formulario!N745)</f>
        <v>0</v>
      </c>
      <c r="R737" s="146" t="str">
        <f>IF(Formulario!O745&lt;&gt;"",IF(Formulario!O745=" ",".",Formulario!O745),".")</f>
        <v>.</v>
      </c>
      <c r="S737" s="141" t="s">
        <v>131</v>
      </c>
    </row>
    <row r="738" spans="1:19">
      <c r="A738" s="141">
        <f>Formulario!B746</f>
        <v>0</v>
      </c>
      <c r="B738" s="144" t="str">
        <f>IF(G738="."," ",Formulario!D$5)</f>
        <v xml:space="preserve"> </v>
      </c>
      <c r="C738" s="144" t="str">
        <f>IF(G738=".","",Formulario!D$6)</f>
        <v/>
      </c>
      <c r="D738" s="144" t="str">
        <f>IF(H738=".","",Formulario!D$7)</f>
        <v/>
      </c>
      <c r="E738" s="144" t="str">
        <f>IF(G738=".","",Formulario!J$5)</f>
        <v/>
      </c>
      <c r="F738" s="145" t="str">
        <f>IF(G738=".","",Formulario!J$6)</f>
        <v/>
      </c>
      <c r="G738" s="180" t="str">
        <f>IF(Formulario!C746&lt;&gt;"",IF(Formulario!C746=" ","Falta Depto",IF(H738=".","Error En Descripción",Formulario!C746)),IF(H738=".",".","Falta Datos"))</f>
        <v>.</v>
      </c>
      <c r="H738" s="144" t="str">
        <f>IF(Formulario!D746&lt;&gt;"",IF(Formulario!D746=" ",".",Formulario!D746),".")</f>
        <v>.</v>
      </c>
      <c r="I738" s="144" t="str">
        <f>IF(Formulario!E746&lt;&gt;"",IF(Formulario!E746=" "," ",Formulario!E746),IF(G738=".",".","Falta Propietario"))</f>
        <v>.</v>
      </c>
      <c r="J738" s="144" t="str">
        <f>IF(Formulario!F746&lt;&gt;"",IF(Formulario!F746=" "," ",Formulario!F746)," ")</f>
        <v xml:space="preserve"> </v>
      </c>
      <c r="K738" s="144" t="str">
        <f>IF(Formulario!G746&lt;&gt;"",IF(Formulario!G746=" "," ",Formulario!G746)," ")</f>
        <v xml:space="preserve"> </v>
      </c>
      <c r="L738" s="144" t="str">
        <f>IF(Formulario!H746&lt;&gt;"",IF(Formulario!H746=" "," ",Formulario!H746)," ")</f>
        <v xml:space="preserve"> </v>
      </c>
      <c r="M738" s="144" t="str">
        <f>IF(Formulario!I746&lt;&gt;"",IF(Formulario!I746=" "," ",Formulario!I746)," ")</f>
        <v xml:space="preserve"> </v>
      </c>
      <c r="N738" s="145" t="str">
        <f>IF(Formulario!J746&lt;&gt;"",IF(Formulario!J746=" "," ",Formulario!J746),IF(G738=".",".","Falta Fecha"))</f>
        <v>.</v>
      </c>
      <c r="O738" s="155">
        <f>Formulario!L746</f>
        <v>0</v>
      </c>
      <c r="P738" s="146">
        <f>IF(O738=1,"09:00",Formulario!M746)</f>
        <v>0</v>
      </c>
      <c r="Q738" s="146">
        <f>IF(O738=1,"18:30",Formulario!N746)</f>
        <v>0</v>
      </c>
      <c r="R738" s="146" t="str">
        <f>IF(Formulario!O746&lt;&gt;"",IF(Formulario!O746=" ",".",Formulario!O746),".")</f>
        <v>.</v>
      </c>
      <c r="S738" s="141" t="s">
        <v>131</v>
      </c>
    </row>
    <row r="739" spans="1:19">
      <c r="A739" s="141">
        <f>Formulario!B747</f>
        <v>0</v>
      </c>
      <c r="B739" s="144" t="str">
        <f>IF(G739="."," ",Formulario!D$5)</f>
        <v xml:space="preserve"> </v>
      </c>
      <c r="C739" s="144" t="str">
        <f>IF(G739=".","",Formulario!D$6)</f>
        <v/>
      </c>
      <c r="D739" s="144" t="str">
        <f>IF(H739=".","",Formulario!D$7)</f>
        <v/>
      </c>
      <c r="E739" s="144" t="str">
        <f>IF(G739=".","",Formulario!J$5)</f>
        <v/>
      </c>
      <c r="F739" s="145" t="str">
        <f>IF(G739=".","",Formulario!J$6)</f>
        <v/>
      </c>
      <c r="G739" s="180" t="str">
        <f>IF(Formulario!C747&lt;&gt;"",IF(Formulario!C747=" ","Falta Depto",IF(H739=".","Error En Descripción",Formulario!C747)),IF(H739=".",".","Falta Datos"))</f>
        <v>.</v>
      </c>
      <c r="H739" s="144" t="str">
        <f>IF(Formulario!D747&lt;&gt;"",IF(Formulario!D747=" ",".",Formulario!D747),".")</f>
        <v>.</v>
      </c>
      <c r="I739" s="144" t="str">
        <f>IF(Formulario!E747&lt;&gt;"",IF(Formulario!E747=" "," ",Formulario!E747),IF(G739=".",".","Falta Propietario"))</f>
        <v>.</v>
      </c>
      <c r="J739" s="144" t="str">
        <f>IF(Formulario!F747&lt;&gt;"",IF(Formulario!F747=" "," ",Formulario!F747)," ")</f>
        <v xml:space="preserve"> </v>
      </c>
      <c r="K739" s="144" t="str">
        <f>IF(Formulario!G747&lt;&gt;"",IF(Formulario!G747=" "," ",Formulario!G747)," ")</f>
        <v xml:space="preserve"> </v>
      </c>
      <c r="L739" s="144" t="str">
        <f>IF(Formulario!H747&lt;&gt;"",IF(Formulario!H747=" "," ",Formulario!H747)," ")</f>
        <v xml:space="preserve"> </v>
      </c>
      <c r="M739" s="144" t="str">
        <f>IF(Formulario!I747&lt;&gt;"",IF(Formulario!I747=" "," ",Formulario!I747)," ")</f>
        <v xml:space="preserve"> </v>
      </c>
      <c r="N739" s="145" t="str">
        <f>IF(Formulario!J747&lt;&gt;"",IF(Formulario!J747=" "," ",Formulario!J747),IF(G739=".",".","Falta Fecha"))</f>
        <v>.</v>
      </c>
      <c r="O739" s="155">
        <f>Formulario!L747</f>
        <v>0</v>
      </c>
      <c r="P739" s="146">
        <f>IF(O739=1,"09:00",Formulario!M747)</f>
        <v>0</v>
      </c>
      <c r="Q739" s="146">
        <f>IF(O739=1,"18:30",Formulario!N747)</f>
        <v>0</v>
      </c>
      <c r="R739" s="146" t="str">
        <f>IF(Formulario!O747&lt;&gt;"",IF(Formulario!O747=" ",".",Formulario!O747),".")</f>
        <v>.</v>
      </c>
      <c r="S739" s="141" t="s">
        <v>131</v>
      </c>
    </row>
    <row r="740" spans="1:19">
      <c r="A740" s="141">
        <f>Formulario!B748</f>
        <v>0</v>
      </c>
      <c r="B740" s="144" t="str">
        <f>IF(G740="."," ",Formulario!D$5)</f>
        <v xml:space="preserve"> </v>
      </c>
      <c r="C740" s="144" t="str">
        <f>IF(G740=".","",Formulario!D$6)</f>
        <v/>
      </c>
      <c r="D740" s="144" t="str">
        <f>IF(H740=".","",Formulario!D$7)</f>
        <v/>
      </c>
      <c r="E740" s="144" t="str">
        <f>IF(G740=".","",Formulario!J$5)</f>
        <v/>
      </c>
      <c r="F740" s="145" t="str">
        <f>IF(G740=".","",Formulario!J$6)</f>
        <v/>
      </c>
      <c r="G740" s="180" t="str">
        <f>IF(Formulario!C748&lt;&gt;"",IF(Formulario!C748=" ","Falta Depto",IF(H740=".","Error En Descripción",Formulario!C748)),IF(H740=".",".","Falta Datos"))</f>
        <v>.</v>
      </c>
      <c r="H740" s="144" t="str">
        <f>IF(Formulario!D748&lt;&gt;"",IF(Formulario!D748=" ",".",Formulario!D748),".")</f>
        <v>.</v>
      </c>
      <c r="I740" s="144" t="str">
        <f>IF(Formulario!E748&lt;&gt;"",IF(Formulario!E748=" "," ",Formulario!E748),IF(G740=".",".","Falta Propietario"))</f>
        <v>.</v>
      </c>
      <c r="J740" s="144" t="str">
        <f>IF(Formulario!F748&lt;&gt;"",IF(Formulario!F748=" "," ",Formulario!F748)," ")</f>
        <v xml:space="preserve"> </v>
      </c>
      <c r="K740" s="144" t="str">
        <f>IF(Formulario!G748&lt;&gt;"",IF(Formulario!G748=" "," ",Formulario!G748)," ")</f>
        <v xml:space="preserve"> </v>
      </c>
      <c r="L740" s="144" t="str">
        <f>IF(Formulario!H748&lt;&gt;"",IF(Formulario!H748=" "," ",Formulario!H748)," ")</f>
        <v xml:space="preserve"> </v>
      </c>
      <c r="M740" s="144" t="str">
        <f>IF(Formulario!I748&lt;&gt;"",IF(Formulario!I748=" "," ",Formulario!I748)," ")</f>
        <v xml:space="preserve"> </v>
      </c>
      <c r="N740" s="145" t="str">
        <f>IF(Formulario!J748&lt;&gt;"",IF(Formulario!J748=" "," ",Formulario!J748),IF(G740=".",".","Falta Fecha"))</f>
        <v>.</v>
      </c>
      <c r="O740" s="155">
        <f>Formulario!L748</f>
        <v>0</v>
      </c>
      <c r="P740" s="146">
        <f>IF(O740=1,"09:00",Formulario!M748)</f>
        <v>0</v>
      </c>
      <c r="Q740" s="146">
        <f>IF(O740=1,"18:30",Formulario!N748)</f>
        <v>0</v>
      </c>
      <c r="R740" s="146" t="str">
        <f>IF(Formulario!O748&lt;&gt;"",IF(Formulario!O748=" ",".",Formulario!O748),".")</f>
        <v>.</v>
      </c>
      <c r="S740" s="141" t="s">
        <v>131</v>
      </c>
    </row>
    <row r="741" spans="1:19">
      <c r="A741" s="141">
        <f>Formulario!B749</f>
        <v>0</v>
      </c>
      <c r="B741" s="144" t="str">
        <f>IF(G741="."," ",Formulario!D$5)</f>
        <v xml:space="preserve"> </v>
      </c>
      <c r="C741" s="144" t="str">
        <f>IF(G741=".","",Formulario!D$6)</f>
        <v/>
      </c>
      <c r="D741" s="144" t="str">
        <f>IF(H741=".","",Formulario!D$7)</f>
        <v/>
      </c>
      <c r="E741" s="144" t="str">
        <f>IF(G741=".","",Formulario!J$5)</f>
        <v/>
      </c>
      <c r="F741" s="145" t="str">
        <f>IF(G741=".","",Formulario!J$6)</f>
        <v/>
      </c>
      <c r="G741" s="180" t="str">
        <f>IF(Formulario!C749&lt;&gt;"",IF(Formulario!C749=" ","Falta Depto",IF(H741=".","Error En Descripción",Formulario!C749)),IF(H741=".",".","Falta Datos"))</f>
        <v>.</v>
      </c>
      <c r="H741" s="144" t="str">
        <f>IF(Formulario!D749&lt;&gt;"",IF(Formulario!D749=" ",".",Formulario!D749),".")</f>
        <v>.</v>
      </c>
      <c r="I741" s="144" t="str">
        <f>IF(Formulario!E749&lt;&gt;"",IF(Formulario!E749=" "," ",Formulario!E749),IF(G741=".",".","Falta Propietario"))</f>
        <v>.</v>
      </c>
      <c r="J741" s="144" t="str">
        <f>IF(Formulario!F749&lt;&gt;"",IF(Formulario!F749=" "," ",Formulario!F749)," ")</f>
        <v xml:space="preserve"> </v>
      </c>
      <c r="K741" s="144" t="str">
        <f>IF(Formulario!G749&lt;&gt;"",IF(Formulario!G749=" "," ",Formulario!G749)," ")</f>
        <v xml:space="preserve"> </v>
      </c>
      <c r="L741" s="144" t="str">
        <f>IF(Formulario!H749&lt;&gt;"",IF(Formulario!H749=" "," ",Formulario!H749)," ")</f>
        <v xml:space="preserve"> </v>
      </c>
      <c r="M741" s="144" t="str">
        <f>IF(Formulario!I749&lt;&gt;"",IF(Formulario!I749=" "," ",Formulario!I749)," ")</f>
        <v xml:space="preserve"> </v>
      </c>
      <c r="N741" s="145" t="str">
        <f>IF(Formulario!J749&lt;&gt;"",IF(Formulario!J749=" "," ",Formulario!J749),IF(G741=".",".","Falta Fecha"))</f>
        <v>.</v>
      </c>
      <c r="O741" s="155">
        <f>Formulario!L749</f>
        <v>0</v>
      </c>
      <c r="P741" s="146">
        <f>IF(O741=1,"09:00",Formulario!M749)</f>
        <v>0</v>
      </c>
      <c r="Q741" s="146">
        <f>IF(O741=1,"18:30",Formulario!N749)</f>
        <v>0</v>
      </c>
      <c r="R741" s="146" t="str">
        <f>IF(Formulario!O749&lt;&gt;"",IF(Formulario!O749=" ",".",Formulario!O749),".")</f>
        <v>.</v>
      </c>
      <c r="S741" s="141" t="s">
        <v>131</v>
      </c>
    </row>
    <row r="742" spans="1:19">
      <c r="A742" s="141">
        <f>Formulario!B750</f>
        <v>0</v>
      </c>
      <c r="B742" s="144" t="str">
        <f>IF(G742="."," ",Formulario!D$5)</f>
        <v xml:space="preserve"> </v>
      </c>
      <c r="C742" s="144" t="str">
        <f>IF(G742=".","",Formulario!D$6)</f>
        <v/>
      </c>
      <c r="D742" s="144" t="str">
        <f>IF(H742=".","",Formulario!D$7)</f>
        <v/>
      </c>
      <c r="E742" s="144" t="str">
        <f>IF(G742=".","",Formulario!J$5)</f>
        <v/>
      </c>
      <c r="F742" s="145" t="str">
        <f>IF(G742=".","",Formulario!J$6)</f>
        <v/>
      </c>
      <c r="G742" s="180" t="str">
        <f>IF(Formulario!C750&lt;&gt;"",IF(Formulario!C750=" ","Falta Depto",IF(H742=".","Error En Descripción",Formulario!C750)),IF(H742=".",".","Falta Datos"))</f>
        <v>.</v>
      </c>
      <c r="H742" s="144" t="str">
        <f>IF(Formulario!D750&lt;&gt;"",IF(Formulario!D750=" ",".",Formulario!D750),".")</f>
        <v>.</v>
      </c>
      <c r="I742" s="144" t="str">
        <f>IF(Formulario!E750&lt;&gt;"",IF(Formulario!E750=" "," ",Formulario!E750),IF(G742=".",".","Falta Propietario"))</f>
        <v>.</v>
      </c>
      <c r="J742" s="144" t="str">
        <f>IF(Formulario!F750&lt;&gt;"",IF(Formulario!F750=" "," ",Formulario!F750)," ")</f>
        <v xml:space="preserve"> </v>
      </c>
      <c r="K742" s="144" t="str">
        <f>IF(Formulario!G750&lt;&gt;"",IF(Formulario!G750=" "," ",Formulario!G750)," ")</f>
        <v xml:space="preserve"> </v>
      </c>
      <c r="L742" s="144" t="str">
        <f>IF(Formulario!H750&lt;&gt;"",IF(Formulario!H750=" "," ",Formulario!H750)," ")</f>
        <v xml:space="preserve"> </v>
      </c>
      <c r="M742" s="144" t="str">
        <f>IF(Formulario!I750&lt;&gt;"",IF(Formulario!I750=" "," ",Formulario!I750)," ")</f>
        <v xml:space="preserve"> </v>
      </c>
      <c r="N742" s="145" t="str">
        <f>IF(Formulario!J750&lt;&gt;"",IF(Formulario!J750=" "," ",Formulario!J750),IF(G742=".",".","Falta Fecha"))</f>
        <v>.</v>
      </c>
      <c r="O742" s="155">
        <f>Formulario!L750</f>
        <v>0</v>
      </c>
      <c r="P742" s="146">
        <f>IF(O742=1,"09:00",Formulario!M750)</f>
        <v>0</v>
      </c>
      <c r="Q742" s="146">
        <f>IF(O742=1,"18:30",Formulario!N750)</f>
        <v>0</v>
      </c>
      <c r="R742" s="146" t="str">
        <f>IF(Formulario!O750&lt;&gt;"",IF(Formulario!O750=" ",".",Formulario!O750),".")</f>
        <v>.</v>
      </c>
      <c r="S742" s="141" t="s">
        <v>131</v>
      </c>
    </row>
    <row r="743" spans="1:19">
      <c r="A743" s="141">
        <f>Formulario!B751</f>
        <v>0</v>
      </c>
      <c r="B743" s="144" t="str">
        <f>IF(G743="."," ",Formulario!D$5)</f>
        <v xml:space="preserve"> </v>
      </c>
      <c r="C743" s="144" t="str">
        <f>IF(G743=".","",Formulario!D$6)</f>
        <v/>
      </c>
      <c r="D743" s="144" t="str">
        <f>IF(H743=".","",Formulario!D$7)</f>
        <v/>
      </c>
      <c r="E743" s="144" t="str">
        <f>IF(G743=".","",Formulario!J$5)</f>
        <v/>
      </c>
      <c r="F743" s="145" t="str">
        <f>IF(G743=".","",Formulario!J$6)</f>
        <v/>
      </c>
      <c r="G743" s="180" t="str">
        <f>IF(Formulario!C751&lt;&gt;"",IF(Formulario!C751=" ","Falta Depto",IF(H743=".","Error En Descripción",Formulario!C751)),IF(H743=".",".","Falta Datos"))</f>
        <v>.</v>
      </c>
      <c r="H743" s="144" t="str">
        <f>IF(Formulario!D751&lt;&gt;"",IF(Formulario!D751=" ",".",Formulario!D751),".")</f>
        <v>.</v>
      </c>
      <c r="I743" s="144" t="str">
        <f>IF(Formulario!E751&lt;&gt;"",IF(Formulario!E751=" "," ",Formulario!E751),IF(G743=".",".","Falta Propietario"))</f>
        <v>.</v>
      </c>
      <c r="J743" s="144" t="str">
        <f>IF(Formulario!F751&lt;&gt;"",IF(Formulario!F751=" "," ",Formulario!F751)," ")</f>
        <v xml:space="preserve"> </v>
      </c>
      <c r="K743" s="144" t="str">
        <f>IF(Formulario!G751&lt;&gt;"",IF(Formulario!G751=" "," ",Formulario!G751)," ")</f>
        <v xml:space="preserve"> </v>
      </c>
      <c r="L743" s="144" t="str">
        <f>IF(Formulario!H751&lt;&gt;"",IF(Formulario!H751=" "," ",Formulario!H751)," ")</f>
        <v xml:space="preserve"> </v>
      </c>
      <c r="M743" s="144" t="str">
        <f>IF(Formulario!I751&lt;&gt;"",IF(Formulario!I751=" "," ",Formulario!I751)," ")</f>
        <v xml:space="preserve"> </v>
      </c>
      <c r="N743" s="145" t="str">
        <f>IF(Formulario!J751&lt;&gt;"",IF(Formulario!J751=" "," ",Formulario!J751),IF(G743=".",".","Falta Fecha"))</f>
        <v>.</v>
      </c>
      <c r="O743" s="155">
        <f>Formulario!L751</f>
        <v>0</v>
      </c>
      <c r="P743" s="146">
        <f>IF(O743=1,"09:00",Formulario!M751)</f>
        <v>0</v>
      </c>
      <c r="Q743" s="146">
        <f>IF(O743=1,"18:30",Formulario!N751)</f>
        <v>0</v>
      </c>
      <c r="R743" s="146" t="str">
        <f>IF(Formulario!O751&lt;&gt;"",IF(Formulario!O751=" ",".",Formulario!O751),".")</f>
        <v>.</v>
      </c>
      <c r="S743" s="141" t="s">
        <v>131</v>
      </c>
    </row>
    <row r="744" spans="1:19">
      <c r="A744" s="141">
        <f>Formulario!B752</f>
        <v>0</v>
      </c>
      <c r="B744" s="144" t="str">
        <f>IF(G744="."," ",Formulario!D$5)</f>
        <v xml:space="preserve"> </v>
      </c>
      <c r="C744" s="144" t="str">
        <f>IF(G744=".","",Formulario!D$6)</f>
        <v/>
      </c>
      <c r="D744" s="144" t="str">
        <f>IF(H744=".","",Formulario!D$7)</f>
        <v/>
      </c>
      <c r="E744" s="144" t="str">
        <f>IF(G744=".","",Formulario!J$5)</f>
        <v/>
      </c>
      <c r="F744" s="145" t="str">
        <f>IF(G744=".","",Formulario!J$6)</f>
        <v/>
      </c>
      <c r="G744" s="180" t="str">
        <f>IF(Formulario!C752&lt;&gt;"",IF(Formulario!C752=" ","Falta Depto",IF(H744=".","Error En Descripción",Formulario!C752)),IF(H744=".",".","Falta Datos"))</f>
        <v>.</v>
      </c>
      <c r="H744" s="144" t="str">
        <f>IF(Formulario!D752&lt;&gt;"",IF(Formulario!D752=" ",".",Formulario!D752),".")</f>
        <v>.</v>
      </c>
      <c r="I744" s="144" t="str">
        <f>IF(Formulario!E752&lt;&gt;"",IF(Formulario!E752=" "," ",Formulario!E752),IF(G744=".",".","Falta Propietario"))</f>
        <v>.</v>
      </c>
      <c r="J744" s="144" t="str">
        <f>IF(Formulario!F752&lt;&gt;"",IF(Formulario!F752=" "," ",Formulario!F752)," ")</f>
        <v xml:space="preserve"> </v>
      </c>
      <c r="K744" s="144" t="str">
        <f>IF(Formulario!G752&lt;&gt;"",IF(Formulario!G752=" "," ",Formulario!G752)," ")</f>
        <v xml:space="preserve"> </v>
      </c>
      <c r="L744" s="144" t="str">
        <f>IF(Formulario!H752&lt;&gt;"",IF(Formulario!H752=" "," ",Formulario!H752)," ")</f>
        <v xml:space="preserve"> </v>
      </c>
      <c r="M744" s="144" t="str">
        <f>IF(Formulario!I752&lt;&gt;"",IF(Formulario!I752=" "," ",Formulario!I752)," ")</f>
        <v xml:space="preserve"> </v>
      </c>
      <c r="N744" s="145" t="str">
        <f>IF(Formulario!J752&lt;&gt;"",IF(Formulario!J752=" "," ",Formulario!J752),IF(G744=".",".","Falta Fecha"))</f>
        <v>.</v>
      </c>
      <c r="O744" s="155">
        <f>Formulario!L752</f>
        <v>0</v>
      </c>
      <c r="P744" s="146">
        <f>IF(O744=1,"09:00",Formulario!M752)</f>
        <v>0</v>
      </c>
      <c r="Q744" s="146">
        <f>IF(O744=1,"18:30",Formulario!N752)</f>
        <v>0</v>
      </c>
      <c r="R744" s="146" t="str">
        <f>IF(Formulario!O752&lt;&gt;"",IF(Formulario!O752=" ",".",Formulario!O752),".")</f>
        <v>.</v>
      </c>
      <c r="S744" s="141" t="s">
        <v>131</v>
      </c>
    </row>
    <row r="745" spans="1:19">
      <c r="A745" s="141">
        <f>Formulario!B753</f>
        <v>0</v>
      </c>
      <c r="B745" s="144" t="str">
        <f>IF(G745="."," ",Formulario!D$5)</f>
        <v xml:space="preserve"> </v>
      </c>
      <c r="C745" s="144" t="str">
        <f>IF(G745=".","",Formulario!D$6)</f>
        <v/>
      </c>
      <c r="D745" s="144" t="str">
        <f>IF(H745=".","",Formulario!D$7)</f>
        <v/>
      </c>
      <c r="E745" s="144" t="str">
        <f>IF(G745=".","",Formulario!J$5)</f>
        <v/>
      </c>
      <c r="F745" s="145" t="str">
        <f>IF(G745=".","",Formulario!J$6)</f>
        <v/>
      </c>
      <c r="G745" s="180" t="str">
        <f>IF(Formulario!C753&lt;&gt;"",IF(Formulario!C753=" ","Falta Depto",IF(H745=".","Error En Descripción",Formulario!C753)),IF(H745=".",".","Falta Datos"))</f>
        <v>.</v>
      </c>
      <c r="H745" s="144" t="str">
        <f>IF(Formulario!D753&lt;&gt;"",IF(Formulario!D753=" ",".",Formulario!D753),".")</f>
        <v>.</v>
      </c>
      <c r="I745" s="144" t="str">
        <f>IF(Formulario!E753&lt;&gt;"",IF(Formulario!E753=" "," ",Formulario!E753),IF(G745=".",".","Falta Propietario"))</f>
        <v>.</v>
      </c>
      <c r="J745" s="144" t="str">
        <f>IF(Formulario!F753&lt;&gt;"",IF(Formulario!F753=" "," ",Formulario!F753)," ")</f>
        <v xml:space="preserve"> </v>
      </c>
      <c r="K745" s="144" t="str">
        <f>IF(Formulario!G753&lt;&gt;"",IF(Formulario!G753=" "," ",Formulario!G753)," ")</f>
        <v xml:space="preserve"> </v>
      </c>
      <c r="L745" s="144" t="str">
        <f>IF(Formulario!H753&lt;&gt;"",IF(Formulario!H753=" "," ",Formulario!H753)," ")</f>
        <v xml:space="preserve"> </v>
      </c>
      <c r="M745" s="144" t="str">
        <f>IF(Formulario!I753&lt;&gt;"",IF(Formulario!I753=" "," ",Formulario!I753)," ")</f>
        <v xml:space="preserve"> </v>
      </c>
      <c r="N745" s="145" t="str">
        <f>IF(Formulario!J753&lt;&gt;"",IF(Formulario!J753=" "," ",Formulario!J753),IF(G745=".",".","Falta Fecha"))</f>
        <v>.</v>
      </c>
      <c r="O745" s="155">
        <f>Formulario!L753</f>
        <v>0</v>
      </c>
      <c r="P745" s="146">
        <f>IF(O745=1,"09:00",Formulario!M753)</f>
        <v>0</v>
      </c>
      <c r="Q745" s="146">
        <f>IF(O745=1,"18:30",Formulario!N753)</f>
        <v>0</v>
      </c>
      <c r="R745" s="146" t="str">
        <f>IF(Formulario!O753&lt;&gt;"",IF(Formulario!O753=" ",".",Formulario!O753),".")</f>
        <v>.</v>
      </c>
      <c r="S745" s="141" t="s">
        <v>131</v>
      </c>
    </row>
    <row r="746" spans="1:19">
      <c r="A746" s="141">
        <f>Formulario!B754</f>
        <v>0</v>
      </c>
      <c r="B746" s="144" t="str">
        <f>IF(G746="."," ",Formulario!D$5)</f>
        <v xml:space="preserve"> </v>
      </c>
      <c r="C746" s="144" t="str">
        <f>IF(G746=".","",Formulario!D$6)</f>
        <v/>
      </c>
      <c r="D746" s="144" t="str">
        <f>IF(H746=".","",Formulario!D$7)</f>
        <v/>
      </c>
      <c r="E746" s="144" t="str">
        <f>IF(G746=".","",Formulario!J$5)</f>
        <v/>
      </c>
      <c r="F746" s="145" t="str">
        <f>IF(G746=".","",Formulario!J$6)</f>
        <v/>
      </c>
      <c r="G746" s="180" t="str">
        <f>IF(Formulario!C754&lt;&gt;"",IF(Formulario!C754=" ","Falta Depto",IF(H746=".","Error En Descripción",Formulario!C754)),IF(H746=".",".","Falta Datos"))</f>
        <v>.</v>
      </c>
      <c r="H746" s="144" t="str">
        <f>IF(Formulario!D754&lt;&gt;"",IF(Formulario!D754=" ",".",Formulario!D754),".")</f>
        <v>.</v>
      </c>
      <c r="I746" s="144" t="str">
        <f>IF(Formulario!E754&lt;&gt;"",IF(Formulario!E754=" "," ",Formulario!E754),IF(G746=".",".","Falta Propietario"))</f>
        <v>.</v>
      </c>
      <c r="J746" s="144" t="str">
        <f>IF(Formulario!F754&lt;&gt;"",IF(Formulario!F754=" "," ",Formulario!F754)," ")</f>
        <v xml:space="preserve"> </v>
      </c>
      <c r="K746" s="144" t="str">
        <f>IF(Formulario!G754&lt;&gt;"",IF(Formulario!G754=" "," ",Formulario!G754)," ")</f>
        <v xml:space="preserve"> </v>
      </c>
      <c r="L746" s="144" t="str">
        <f>IF(Formulario!H754&lt;&gt;"",IF(Formulario!H754=" "," ",Formulario!H754)," ")</f>
        <v xml:space="preserve"> </v>
      </c>
      <c r="M746" s="144" t="str">
        <f>IF(Formulario!I754&lt;&gt;"",IF(Formulario!I754=" "," ",Formulario!I754)," ")</f>
        <v xml:space="preserve"> </v>
      </c>
      <c r="N746" s="145" t="str">
        <f>IF(Formulario!J754&lt;&gt;"",IF(Formulario!J754=" "," ",Formulario!J754),IF(G746=".",".","Falta Fecha"))</f>
        <v>.</v>
      </c>
      <c r="O746" s="155">
        <f>Formulario!L754</f>
        <v>0</v>
      </c>
      <c r="P746" s="146">
        <f>IF(O746=1,"09:00",Formulario!M754)</f>
        <v>0</v>
      </c>
      <c r="Q746" s="146">
        <f>IF(O746=1,"18:30",Formulario!N754)</f>
        <v>0</v>
      </c>
      <c r="R746" s="146" t="str">
        <f>IF(Formulario!O754&lt;&gt;"",IF(Formulario!O754=" ",".",Formulario!O754),".")</f>
        <v>.</v>
      </c>
      <c r="S746" s="141" t="s">
        <v>131</v>
      </c>
    </row>
    <row r="747" spans="1:19">
      <c r="A747" s="141">
        <f>Formulario!B755</f>
        <v>0</v>
      </c>
      <c r="B747" s="144" t="str">
        <f>IF(G747="."," ",Formulario!D$5)</f>
        <v xml:space="preserve"> </v>
      </c>
      <c r="C747" s="144" t="str">
        <f>IF(G747=".","",Formulario!D$6)</f>
        <v/>
      </c>
      <c r="D747" s="144" t="str">
        <f>IF(H747=".","",Formulario!D$7)</f>
        <v/>
      </c>
      <c r="E747" s="144" t="str">
        <f>IF(G747=".","",Formulario!J$5)</f>
        <v/>
      </c>
      <c r="F747" s="145" t="str">
        <f>IF(G747=".","",Formulario!J$6)</f>
        <v/>
      </c>
      <c r="G747" s="180" t="str">
        <f>IF(Formulario!C755&lt;&gt;"",IF(Formulario!C755=" ","Falta Depto",IF(H747=".","Error En Descripción",Formulario!C755)),IF(H747=".",".","Falta Datos"))</f>
        <v>.</v>
      </c>
      <c r="H747" s="144" t="str">
        <f>IF(Formulario!D755&lt;&gt;"",IF(Formulario!D755=" ",".",Formulario!D755),".")</f>
        <v>.</v>
      </c>
      <c r="I747" s="144" t="str">
        <f>IF(Formulario!E755&lt;&gt;"",IF(Formulario!E755=" "," ",Formulario!E755),IF(G747=".",".","Falta Propietario"))</f>
        <v>.</v>
      </c>
      <c r="J747" s="144" t="str">
        <f>IF(Formulario!F755&lt;&gt;"",IF(Formulario!F755=" "," ",Formulario!F755)," ")</f>
        <v xml:space="preserve"> </v>
      </c>
      <c r="K747" s="144" t="str">
        <f>IF(Formulario!G755&lt;&gt;"",IF(Formulario!G755=" "," ",Formulario!G755)," ")</f>
        <v xml:space="preserve"> </v>
      </c>
      <c r="L747" s="144" t="str">
        <f>IF(Formulario!H755&lt;&gt;"",IF(Formulario!H755=" "," ",Formulario!H755)," ")</f>
        <v xml:space="preserve"> </v>
      </c>
      <c r="M747" s="144" t="str">
        <f>IF(Formulario!I755&lt;&gt;"",IF(Formulario!I755=" "," ",Formulario!I755)," ")</f>
        <v xml:space="preserve"> </v>
      </c>
      <c r="N747" s="145" t="str">
        <f>IF(Formulario!J755&lt;&gt;"",IF(Formulario!J755=" "," ",Formulario!J755),IF(G747=".",".","Falta Fecha"))</f>
        <v>.</v>
      </c>
      <c r="O747" s="155">
        <f>Formulario!L755</f>
        <v>0</v>
      </c>
      <c r="P747" s="146">
        <f>IF(O747=1,"09:00",Formulario!M755)</f>
        <v>0</v>
      </c>
      <c r="Q747" s="146">
        <f>IF(O747=1,"18:30",Formulario!N755)</f>
        <v>0</v>
      </c>
      <c r="R747" s="146" t="str">
        <f>IF(Formulario!O755&lt;&gt;"",IF(Formulario!O755=" ",".",Formulario!O755),".")</f>
        <v>.</v>
      </c>
      <c r="S747" s="141" t="s">
        <v>131</v>
      </c>
    </row>
    <row r="748" spans="1:19">
      <c r="A748" s="141">
        <f>Formulario!B756</f>
        <v>0</v>
      </c>
      <c r="B748" s="144" t="str">
        <f>IF(G748="."," ",Formulario!D$5)</f>
        <v xml:space="preserve"> </v>
      </c>
      <c r="C748" s="144" t="str">
        <f>IF(G748=".","",Formulario!D$6)</f>
        <v/>
      </c>
      <c r="D748" s="144" t="str">
        <f>IF(H748=".","",Formulario!D$7)</f>
        <v/>
      </c>
      <c r="E748" s="144" t="str">
        <f>IF(G748=".","",Formulario!J$5)</f>
        <v/>
      </c>
      <c r="F748" s="145" t="str">
        <f>IF(G748=".","",Formulario!J$6)</f>
        <v/>
      </c>
      <c r="G748" s="180" t="str">
        <f>IF(Formulario!C756&lt;&gt;"",IF(Formulario!C756=" ","Falta Depto",IF(H748=".","Error En Descripción",Formulario!C756)),IF(H748=".",".","Falta Datos"))</f>
        <v>.</v>
      </c>
      <c r="H748" s="144" t="str">
        <f>IF(Formulario!D756&lt;&gt;"",IF(Formulario!D756=" ",".",Formulario!D756),".")</f>
        <v>.</v>
      </c>
      <c r="I748" s="144" t="str">
        <f>IF(Formulario!E756&lt;&gt;"",IF(Formulario!E756=" "," ",Formulario!E756),IF(G748=".",".","Falta Propietario"))</f>
        <v>.</v>
      </c>
      <c r="J748" s="144" t="str">
        <f>IF(Formulario!F756&lt;&gt;"",IF(Formulario!F756=" "," ",Formulario!F756)," ")</f>
        <v xml:space="preserve"> </v>
      </c>
      <c r="K748" s="144" t="str">
        <f>IF(Formulario!G756&lt;&gt;"",IF(Formulario!G756=" "," ",Formulario!G756)," ")</f>
        <v xml:space="preserve"> </v>
      </c>
      <c r="L748" s="144" t="str">
        <f>IF(Formulario!H756&lt;&gt;"",IF(Formulario!H756=" "," ",Formulario!H756)," ")</f>
        <v xml:space="preserve"> </v>
      </c>
      <c r="M748" s="144" t="str">
        <f>IF(Formulario!I756&lt;&gt;"",IF(Formulario!I756=" "," ",Formulario!I756)," ")</f>
        <v xml:space="preserve"> </v>
      </c>
      <c r="N748" s="145" t="str">
        <f>IF(Formulario!J756&lt;&gt;"",IF(Formulario!J756=" "," ",Formulario!J756),IF(G748=".",".","Falta Fecha"))</f>
        <v>.</v>
      </c>
      <c r="O748" s="155">
        <f>Formulario!L756</f>
        <v>0</v>
      </c>
      <c r="P748" s="146">
        <f>IF(O748=1,"09:00",Formulario!M756)</f>
        <v>0</v>
      </c>
      <c r="Q748" s="146">
        <f>IF(O748=1,"18:30",Formulario!N756)</f>
        <v>0</v>
      </c>
      <c r="R748" s="146" t="str">
        <f>IF(Formulario!O756&lt;&gt;"",IF(Formulario!O756=" ",".",Formulario!O756),".")</f>
        <v>.</v>
      </c>
      <c r="S748" s="141" t="s">
        <v>131</v>
      </c>
    </row>
    <row r="749" spans="1:19">
      <c r="A749" s="141">
        <f>Formulario!B757</f>
        <v>0</v>
      </c>
      <c r="B749" s="144" t="str">
        <f>IF(G749="."," ",Formulario!D$5)</f>
        <v xml:space="preserve"> </v>
      </c>
      <c r="C749" s="144" t="str">
        <f>IF(G749=".","",Formulario!D$6)</f>
        <v/>
      </c>
      <c r="D749" s="144" t="str">
        <f>IF(H749=".","",Formulario!D$7)</f>
        <v/>
      </c>
      <c r="E749" s="144" t="str">
        <f>IF(G749=".","",Formulario!J$5)</f>
        <v/>
      </c>
      <c r="F749" s="145" t="str">
        <f>IF(G749=".","",Formulario!J$6)</f>
        <v/>
      </c>
      <c r="G749" s="180" t="str">
        <f>IF(Formulario!C757&lt;&gt;"",IF(Formulario!C757=" ","Falta Depto",IF(H749=".","Error En Descripción",Formulario!C757)),IF(H749=".",".","Falta Datos"))</f>
        <v>.</v>
      </c>
      <c r="H749" s="144" t="str">
        <f>IF(Formulario!D757&lt;&gt;"",IF(Formulario!D757=" ",".",Formulario!D757),".")</f>
        <v>.</v>
      </c>
      <c r="I749" s="144" t="str">
        <f>IF(Formulario!E757&lt;&gt;"",IF(Formulario!E757=" "," ",Formulario!E757),IF(G749=".",".","Falta Propietario"))</f>
        <v>.</v>
      </c>
      <c r="J749" s="144" t="str">
        <f>IF(Formulario!F757&lt;&gt;"",IF(Formulario!F757=" "," ",Formulario!F757)," ")</f>
        <v xml:space="preserve"> </v>
      </c>
      <c r="K749" s="144" t="str">
        <f>IF(Formulario!G757&lt;&gt;"",IF(Formulario!G757=" "," ",Formulario!G757)," ")</f>
        <v xml:space="preserve"> </v>
      </c>
      <c r="L749" s="144" t="str">
        <f>IF(Formulario!H757&lt;&gt;"",IF(Formulario!H757=" "," ",Formulario!H757)," ")</f>
        <v xml:space="preserve"> </v>
      </c>
      <c r="M749" s="144" t="str">
        <f>IF(Formulario!I757&lt;&gt;"",IF(Formulario!I757=" "," ",Formulario!I757)," ")</f>
        <v xml:space="preserve"> </v>
      </c>
      <c r="N749" s="145" t="str">
        <f>IF(Formulario!J757&lt;&gt;"",IF(Formulario!J757=" "," ",Formulario!J757),IF(G749=".",".","Falta Fecha"))</f>
        <v>.</v>
      </c>
      <c r="O749" s="155">
        <f>Formulario!L757</f>
        <v>0</v>
      </c>
      <c r="P749" s="146">
        <f>IF(O749=1,"09:00",Formulario!M757)</f>
        <v>0</v>
      </c>
      <c r="Q749" s="146">
        <f>IF(O749=1,"18:30",Formulario!N757)</f>
        <v>0</v>
      </c>
      <c r="R749" s="146" t="str">
        <f>IF(Formulario!O757&lt;&gt;"",IF(Formulario!O757=" ",".",Formulario!O757),".")</f>
        <v>.</v>
      </c>
      <c r="S749" s="141" t="s">
        <v>131</v>
      </c>
    </row>
    <row r="750" spans="1:19">
      <c r="A750" s="141">
        <f>Formulario!B758</f>
        <v>0</v>
      </c>
      <c r="B750" s="144" t="str">
        <f>IF(G750="."," ",Formulario!D$5)</f>
        <v xml:space="preserve"> </v>
      </c>
      <c r="C750" s="144" t="str">
        <f>IF(G750=".","",Formulario!D$6)</f>
        <v/>
      </c>
      <c r="D750" s="144" t="str">
        <f>IF(H750=".","",Formulario!D$7)</f>
        <v/>
      </c>
      <c r="E750" s="144" t="str">
        <f>IF(G750=".","",Formulario!J$5)</f>
        <v/>
      </c>
      <c r="F750" s="145" t="str">
        <f>IF(G750=".","",Formulario!J$6)</f>
        <v/>
      </c>
      <c r="G750" s="180" t="str">
        <f>IF(Formulario!C758&lt;&gt;"",IF(Formulario!C758=" ","Falta Depto",IF(H750=".","Error En Descripción",Formulario!C758)),IF(H750=".",".","Falta Datos"))</f>
        <v>.</v>
      </c>
      <c r="H750" s="144" t="str">
        <f>IF(Formulario!D758&lt;&gt;"",IF(Formulario!D758=" ",".",Formulario!D758),".")</f>
        <v>.</v>
      </c>
      <c r="I750" s="144" t="str">
        <f>IF(Formulario!E758&lt;&gt;"",IF(Formulario!E758=" "," ",Formulario!E758),IF(G750=".",".","Falta Propietario"))</f>
        <v>.</v>
      </c>
      <c r="J750" s="144" t="str">
        <f>IF(Formulario!F758&lt;&gt;"",IF(Formulario!F758=" "," ",Formulario!F758)," ")</f>
        <v xml:space="preserve"> </v>
      </c>
      <c r="K750" s="144" t="str">
        <f>IF(Formulario!G758&lt;&gt;"",IF(Formulario!G758=" "," ",Formulario!G758)," ")</f>
        <v xml:space="preserve"> </v>
      </c>
      <c r="L750" s="144" t="str">
        <f>IF(Formulario!H758&lt;&gt;"",IF(Formulario!H758=" "," ",Formulario!H758)," ")</f>
        <v xml:space="preserve"> </v>
      </c>
      <c r="M750" s="144" t="str">
        <f>IF(Formulario!I758&lt;&gt;"",IF(Formulario!I758=" "," ",Formulario!I758)," ")</f>
        <v xml:space="preserve"> </v>
      </c>
      <c r="N750" s="145" t="str">
        <f>IF(Formulario!J758&lt;&gt;"",IF(Formulario!J758=" "," ",Formulario!J758),IF(G750=".",".","Falta Fecha"))</f>
        <v>.</v>
      </c>
      <c r="O750" s="155">
        <f>Formulario!L758</f>
        <v>0</v>
      </c>
      <c r="P750" s="146">
        <f>IF(O750=1,"09:00",Formulario!M758)</f>
        <v>0</v>
      </c>
      <c r="Q750" s="146">
        <f>IF(O750=1,"18:30",Formulario!N758)</f>
        <v>0</v>
      </c>
      <c r="R750" s="146" t="str">
        <f>IF(Formulario!O758&lt;&gt;"",IF(Formulario!O758=" ",".",Formulario!O758),".")</f>
        <v>.</v>
      </c>
      <c r="S750" s="141" t="s">
        <v>131</v>
      </c>
    </row>
    <row r="751" spans="1:19">
      <c r="A751" s="141">
        <f>Formulario!B759</f>
        <v>0</v>
      </c>
      <c r="B751" s="144" t="str">
        <f>IF(G751="."," ",Formulario!D$5)</f>
        <v xml:space="preserve"> </v>
      </c>
      <c r="C751" s="144" t="str">
        <f>IF(G751=".","",Formulario!D$6)</f>
        <v/>
      </c>
      <c r="D751" s="144" t="str">
        <f>IF(H751=".","",Formulario!D$7)</f>
        <v/>
      </c>
      <c r="E751" s="144" t="str">
        <f>IF(G751=".","",Formulario!J$5)</f>
        <v/>
      </c>
      <c r="F751" s="145" t="str">
        <f>IF(G751=".","",Formulario!J$6)</f>
        <v/>
      </c>
      <c r="G751" s="180" t="str">
        <f>IF(Formulario!C759&lt;&gt;"",IF(Formulario!C759=" ","Falta Depto",IF(H751=".","Error En Descripción",Formulario!C759)),IF(H751=".",".","Falta Datos"))</f>
        <v>.</v>
      </c>
      <c r="H751" s="144" t="str">
        <f>IF(Formulario!D759&lt;&gt;"",IF(Formulario!D759=" ",".",Formulario!D759),".")</f>
        <v>.</v>
      </c>
      <c r="I751" s="144" t="str">
        <f>IF(Formulario!E759&lt;&gt;"",IF(Formulario!E759=" "," ",Formulario!E759),IF(G751=".",".","Falta Propietario"))</f>
        <v>.</v>
      </c>
      <c r="J751" s="144" t="str">
        <f>IF(Formulario!F759&lt;&gt;"",IF(Formulario!F759=" "," ",Formulario!F759)," ")</f>
        <v xml:space="preserve"> </v>
      </c>
      <c r="K751" s="144" t="str">
        <f>IF(Formulario!G759&lt;&gt;"",IF(Formulario!G759=" "," ",Formulario!G759)," ")</f>
        <v xml:space="preserve"> </v>
      </c>
      <c r="L751" s="144" t="str">
        <f>IF(Formulario!H759&lt;&gt;"",IF(Formulario!H759=" "," ",Formulario!H759)," ")</f>
        <v xml:space="preserve"> </v>
      </c>
      <c r="M751" s="144" t="str">
        <f>IF(Formulario!I759&lt;&gt;"",IF(Formulario!I759=" "," ",Formulario!I759)," ")</f>
        <v xml:space="preserve"> </v>
      </c>
      <c r="N751" s="145" t="str">
        <f>IF(Formulario!J759&lt;&gt;"",IF(Formulario!J759=" "," ",Formulario!J759),IF(G751=".",".","Falta Fecha"))</f>
        <v>.</v>
      </c>
      <c r="O751" s="155">
        <f>Formulario!L759</f>
        <v>0</v>
      </c>
      <c r="P751" s="146">
        <f>IF(O751=1,"09:00",Formulario!M759)</f>
        <v>0</v>
      </c>
      <c r="Q751" s="146">
        <f>IF(O751=1,"18:30",Formulario!N759)</f>
        <v>0</v>
      </c>
      <c r="R751" s="146" t="str">
        <f>IF(Formulario!O759&lt;&gt;"",IF(Formulario!O759=" ",".",Formulario!O759),".")</f>
        <v>.</v>
      </c>
      <c r="S751" s="141" t="s">
        <v>131</v>
      </c>
    </row>
    <row r="752" spans="1:19">
      <c r="A752" s="141">
        <f>Formulario!B760</f>
        <v>0</v>
      </c>
      <c r="B752" s="144" t="str">
        <f>IF(G752="."," ",Formulario!D$5)</f>
        <v xml:space="preserve"> </v>
      </c>
      <c r="C752" s="144" t="str">
        <f>IF(G752=".","",Formulario!D$6)</f>
        <v/>
      </c>
      <c r="D752" s="144" t="str">
        <f>IF(H752=".","",Formulario!D$7)</f>
        <v/>
      </c>
      <c r="E752" s="144" t="str">
        <f>IF(G752=".","",Formulario!J$5)</f>
        <v/>
      </c>
      <c r="F752" s="145" t="str">
        <f>IF(G752=".","",Formulario!J$6)</f>
        <v/>
      </c>
      <c r="G752" s="180" t="str">
        <f>IF(Formulario!C760&lt;&gt;"",IF(Formulario!C760=" ","Falta Depto",IF(H752=".","Error En Descripción",Formulario!C760)),IF(H752=".",".","Falta Datos"))</f>
        <v>.</v>
      </c>
      <c r="H752" s="144" t="str">
        <f>IF(Formulario!D760&lt;&gt;"",IF(Formulario!D760=" ",".",Formulario!D760),".")</f>
        <v>.</v>
      </c>
      <c r="I752" s="144" t="str">
        <f>IF(Formulario!E760&lt;&gt;"",IF(Formulario!E760=" "," ",Formulario!E760),IF(G752=".",".","Falta Propietario"))</f>
        <v>.</v>
      </c>
      <c r="J752" s="144" t="str">
        <f>IF(Formulario!F760&lt;&gt;"",IF(Formulario!F760=" "," ",Formulario!F760)," ")</f>
        <v xml:space="preserve"> </v>
      </c>
      <c r="K752" s="144" t="str">
        <f>IF(Formulario!G760&lt;&gt;"",IF(Formulario!G760=" "," ",Formulario!G760)," ")</f>
        <v xml:space="preserve"> </v>
      </c>
      <c r="L752" s="144" t="str">
        <f>IF(Formulario!H760&lt;&gt;"",IF(Formulario!H760=" "," ",Formulario!H760)," ")</f>
        <v xml:space="preserve"> </v>
      </c>
      <c r="M752" s="144" t="str">
        <f>IF(Formulario!I760&lt;&gt;"",IF(Formulario!I760=" "," ",Formulario!I760)," ")</f>
        <v xml:space="preserve"> </v>
      </c>
      <c r="N752" s="145" t="str">
        <f>IF(Formulario!J760&lt;&gt;"",IF(Formulario!J760=" "," ",Formulario!J760),IF(G752=".",".","Falta Fecha"))</f>
        <v>.</v>
      </c>
      <c r="O752" s="155">
        <f>Formulario!L760</f>
        <v>0</v>
      </c>
      <c r="P752" s="146">
        <f>IF(O752=1,"09:00",Formulario!M760)</f>
        <v>0</v>
      </c>
      <c r="Q752" s="146">
        <f>IF(O752=1,"18:30",Formulario!N760)</f>
        <v>0</v>
      </c>
      <c r="R752" s="146" t="str">
        <f>IF(Formulario!O760&lt;&gt;"",IF(Formulario!O760=" ",".",Formulario!O760),".")</f>
        <v>.</v>
      </c>
      <c r="S752" s="141" t="s">
        <v>131</v>
      </c>
    </row>
    <row r="753" spans="1:19">
      <c r="A753" s="141">
        <f>Formulario!B761</f>
        <v>0</v>
      </c>
      <c r="B753" s="144" t="str">
        <f>IF(G753="."," ",Formulario!D$5)</f>
        <v xml:space="preserve"> </v>
      </c>
      <c r="C753" s="144" t="str">
        <f>IF(G753=".","",Formulario!D$6)</f>
        <v/>
      </c>
      <c r="D753" s="144" t="str">
        <f>IF(H753=".","",Formulario!D$7)</f>
        <v/>
      </c>
      <c r="E753" s="144" t="str">
        <f>IF(G753=".","",Formulario!J$5)</f>
        <v/>
      </c>
      <c r="F753" s="145" t="str">
        <f>IF(G753=".","",Formulario!J$6)</f>
        <v/>
      </c>
      <c r="G753" s="180" t="str">
        <f>IF(Formulario!C761&lt;&gt;"",IF(Formulario!C761=" ","Falta Depto",IF(H753=".","Error En Descripción",Formulario!C761)),IF(H753=".",".","Falta Datos"))</f>
        <v>.</v>
      </c>
      <c r="H753" s="144" t="str">
        <f>IF(Formulario!D761&lt;&gt;"",IF(Formulario!D761=" ",".",Formulario!D761),".")</f>
        <v>.</v>
      </c>
      <c r="I753" s="144" t="str">
        <f>IF(Formulario!E761&lt;&gt;"",IF(Formulario!E761=" "," ",Formulario!E761),IF(G753=".",".","Falta Propietario"))</f>
        <v>.</v>
      </c>
      <c r="J753" s="144" t="str">
        <f>IF(Formulario!F761&lt;&gt;"",IF(Formulario!F761=" "," ",Formulario!F761)," ")</f>
        <v xml:space="preserve"> </v>
      </c>
      <c r="K753" s="144" t="str">
        <f>IF(Formulario!G761&lt;&gt;"",IF(Formulario!G761=" "," ",Formulario!G761)," ")</f>
        <v xml:space="preserve"> </v>
      </c>
      <c r="L753" s="144" t="str">
        <f>IF(Formulario!H761&lt;&gt;"",IF(Formulario!H761=" "," ",Formulario!H761)," ")</f>
        <v xml:space="preserve"> </v>
      </c>
      <c r="M753" s="144" t="str">
        <f>IF(Formulario!I761&lt;&gt;"",IF(Formulario!I761=" "," ",Formulario!I761)," ")</f>
        <v xml:space="preserve"> </v>
      </c>
      <c r="N753" s="145" t="str">
        <f>IF(Formulario!J761&lt;&gt;"",IF(Formulario!J761=" "," ",Formulario!J761),IF(G753=".",".","Falta Fecha"))</f>
        <v>.</v>
      </c>
      <c r="O753" s="155">
        <f>Formulario!L761</f>
        <v>0</v>
      </c>
      <c r="P753" s="146">
        <f>IF(O753=1,"09:00",Formulario!M761)</f>
        <v>0</v>
      </c>
      <c r="Q753" s="146">
        <f>IF(O753=1,"18:30",Formulario!N761)</f>
        <v>0</v>
      </c>
      <c r="R753" s="146" t="str">
        <f>IF(Formulario!O761&lt;&gt;"",IF(Formulario!O761=" ",".",Formulario!O761),".")</f>
        <v>.</v>
      </c>
      <c r="S753" s="141" t="s">
        <v>131</v>
      </c>
    </row>
    <row r="754" spans="1:19">
      <c r="A754" s="141">
        <f>Formulario!B762</f>
        <v>0</v>
      </c>
      <c r="B754" s="144" t="str">
        <f>IF(G754="."," ",Formulario!D$5)</f>
        <v xml:space="preserve"> </v>
      </c>
      <c r="C754" s="144" t="str">
        <f>IF(G754=".","",Formulario!D$6)</f>
        <v/>
      </c>
      <c r="D754" s="144" t="str">
        <f>IF(H754=".","",Formulario!D$7)</f>
        <v/>
      </c>
      <c r="E754" s="144" t="str">
        <f>IF(G754=".","",Formulario!J$5)</f>
        <v/>
      </c>
      <c r="F754" s="145" t="str">
        <f>IF(G754=".","",Formulario!J$6)</f>
        <v/>
      </c>
      <c r="G754" s="180" t="str">
        <f>IF(Formulario!C762&lt;&gt;"",IF(Formulario!C762=" ","Falta Depto",IF(H754=".","Error En Descripción",Formulario!C762)),IF(H754=".",".","Falta Datos"))</f>
        <v>.</v>
      </c>
      <c r="H754" s="144" t="str">
        <f>IF(Formulario!D762&lt;&gt;"",IF(Formulario!D762=" ",".",Formulario!D762),".")</f>
        <v>.</v>
      </c>
      <c r="I754" s="144" t="str">
        <f>IF(Formulario!E762&lt;&gt;"",IF(Formulario!E762=" "," ",Formulario!E762),IF(G754=".",".","Falta Propietario"))</f>
        <v>.</v>
      </c>
      <c r="J754" s="144" t="str">
        <f>IF(Formulario!F762&lt;&gt;"",IF(Formulario!F762=" "," ",Formulario!F762)," ")</f>
        <v xml:space="preserve"> </v>
      </c>
      <c r="K754" s="144" t="str">
        <f>IF(Formulario!G762&lt;&gt;"",IF(Formulario!G762=" "," ",Formulario!G762)," ")</f>
        <v xml:space="preserve"> </v>
      </c>
      <c r="L754" s="144" t="str">
        <f>IF(Formulario!H762&lt;&gt;"",IF(Formulario!H762=" "," ",Formulario!H762)," ")</f>
        <v xml:space="preserve"> </v>
      </c>
      <c r="M754" s="144" t="str">
        <f>IF(Formulario!I762&lt;&gt;"",IF(Formulario!I762=" "," ",Formulario!I762)," ")</f>
        <v xml:space="preserve"> </v>
      </c>
      <c r="N754" s="145" t="str">
        <f>IF(Formulario!J762&lt;&gt;"",IF(Formulario!J762=" "," ",Formulario!J762),IF(G754=".",".","Falta Fecha"))</f>
        <v>.</v>
      </c>
      <c r="O754" s="155">
        <f>Formulario!L762</f>
        <v>0</v>
      </c>
      <c r="P754" s="146">
        <f>IF(O754=1,"09:00",Formulario!M762)</f>
        <v>0</v>
      </c>
      <c r="Q754" s="146">
        <f>IF(O754=1,"18:30",Formulario!N762)</f>
        <v>0</v>
      </c>
      <c r="R754" s="146" t="str">
        <f>IF(Formulario!O762&lt;&gt;"",IF(Formulario!O762=" ",".",Formulario!O762),".")</f>
        <v>.</v>
      </c>
      <c r="S754" s="141" t="s">
        <v>131</v>
      </c>
    </row>
    <row r="755" spans="1:19">
      <c r="A755" s="141">
        <f>Formulario!B763</f>
        <v>0</v>
      </c>
      <c r="B755" s="144" t="str">
        <f>IF(G755="."," ",Formulario!D$5)</f>
        <v xml:space="preserve"> </v>
      </c>
      <c r="C755" s="144" t="str">
        <f>IF(G755=".","",Formulario!D$6)</f>
        <v/>
      </c>
      <c r="D755" s="144" t="str">
        <f>IF(H755=".","",Formulario!D$7)</f>
        <v/>
      </c>
      <c r="E755" s="144" t="str">
        <f>IF(G755=".","",Formulario!J$5)</f>
        <v/>
      </c>
      <c r="F755" s="145" t="str">
        <f>IF(G755=".","",Formulario!J$6)</f>
        <v/>
      </c>
      <c r="G755" s="180" t="str">
        <f>IF(Formulario!C763&lt;&gt;"",IF(Formulario!C763=" ","Falta Depto",IF(H755=".","Error En Descripción",Formulario!C763)),IF(H755=".",".","Falta Datos"))</f>
        <v>.</v>
      </c>
      <c r="H755" s="144" t="str">
        <f>IF(Formulario!D763&lt;&gt;"",IF(Formulario!D763=" ",".",Formulario!D763),".")</f>
        <v>.</v>
      </c>
      <c r="I755" s="144" t="str">
        <f>IF(Formulario!E763&lt;&gt;"",IF(Formulario!E763=" "," ",Formulario!E763),IF(G755=".",".","Falta Propietario"))</f>
        <v>.</v>
      </c>
      <c r="J755" s="144" t="str">
        <f>IF(Formulario!F763&lt;&gt;"",IF(Formulario!F763=" "," ",Formulario!F763)," ")</f>
        <v xml:space="preserve"> </v>
      </c>
      <c r="K755" s="144" t="str">
        <f>IF(Formulario!G763&lt;&gt;"",IF(Formulario!G763=" "," ",Formulario!G763)," ")</f>
        <v xml:space="preserve"> </v>
      </c>
      <c r="L755" s="144" t="str">
        <f>IF(Formulario!H763&lt;&gt;"",IF(Formulario!H763=" "," ",Formulario!H763)," ")</f>
        <v xml:space="preserve"> </v>
      </c>
      <c r="M755" s="144" t="str">
        <f>IF(Formulario!I763&lt;&gt;"",IF(Formulario!I763=" "," ",Formulario!I763)," ")</f>
        <v xml:space="preserve"> </v>
      </c>
      <c r="N755" s="145" t="str">
        <f>IF(Formulario!J763&lt;&gt;"",IF(Formulario!J763=" "," ",Formulario!J763),IF(G755=".",".","Falta Fecha"))</f>
        <v>.</v>
      </c>
      <c r="O755" s="155">
        <f>Formulario!L763</f>
        <v>0</v>
      </c>
      <c r="P755" s="146">
        <f>IF(O755=1,"09:00",Formulario!M763)</f>
        <v>0</v>
      </c>
      <c r="Q755" s="146">
        <f>IF(O755=1,"18:30",Formulario!N763)</f>
        <v>0</v>
      </c>
      <c r="R755" s="146" t="str">
        <f>IF(Formulario!O763&lt;&gt;"",IF(Formulario!O763=" ",".",Formulario!O763),".")</f>
        <v>.</v>
      </c>
      <c r="S755" s="141" t="s">
        <v>131</v>
      </c>
    </row>
    <row r="756" spans="1:19">
      <c r="A756" s="141">
        <f>Formulario!B764</f>
        <v>0</v>
      </c>
      <c r="B756" s="144" t="str">
        <f>IF(G756="."," ",Formulario!D$5)</f>
        <v xml:space="preserve"> </v>
      </c>
      <c r="C756" s="144" t="str">
        <f>IF(G756=".","",Formulario!D$6)</f>
        <v/>
      </c>
      <c r="D756" s="144" t="str">
        <f>IF(H756=".","",Formulario!D$7)</f>
        <v/>
      </c>
      <c r="E756" s="144" t="str">
        <f>IF(G756=".","",Formulario!J$5)</f>
        <v/>
      </c>
      <c r="F756" s="145" t="str">
        <f>IF(G756=".","",Formulario!J$6)</f>
        <v/>
      </c>
      <c r="G756" s="180" t="str">
        <f>IF(Formulario!C764&lt;&gt;"",IF(Formulario!C764=" ","Falta Depto",IF(H756=".","Error En Descripción",Formulario!C764)),IF(H756=".",".","Falta Datos"))</f>
        <v>.</v>
      </c>
      <c r="H756" s="144" t="str">
        <f>IF(Formulario!D764&lt;&gt;"",IF(Formulario!D764=" ",".",Formulario!D764),".")</f>
        <v>.</v>
      </c>
      <c r="I756" s="144" t="str">
        <f>IF(Formulario!E764&lt;&gt;"",IF(Formulario!E764=" "," ",Formulario!E764),IF(G756=".",".","Falta Propietario"))</f>
        <v>.</v>
      </c>
      <c r="J756" s="144" t="str">
        <f>IF(Formulario!F764&lt;&gt;"",IF(Formulario!F764=" "," ",Formulario!F764)," ")</f>
        <v xml:space="preserve"> </v>
      </c>
      <c r="K756" s="144" t="str">
        <f>IF(Formulario!G764&lt;&gt;"",IF(Formulario!G764=" "," ",Formulario!G764)," ")</f>
        <v xml:space="preserve"> </v>
      </c>
      <c r="L756" s="144" t="str">
        <f>IF(Formulario!H764&lt;&gt;"",IF(Formulario!H764=" "," ",Formulario!H764)," ")</f>
        <v xml:space="preserve"> </v>
      </c>
      <c r="M756" s="144" t="str">
        <f>IF(Formulario!I764&lt;&gt;"",IF(Formulario!I764=" "," ",Formulario!I764)," ")</f>
        <v xml:space="preserve"> </v>
      </c>
      <c r="N756" s="145" t="str">
        <f>IF(Formulario!J764&lt;&gt;"",IF(Formulario!J764=" "," ",Formulario!J764),IF(G756=".",".","Falta Fecha"))</f>
        <v>.</v>
      </c>
      <c r="O756" s="155">
        <f>Formulario!L764</f>
        <v>0</v>
      </c>
      <c r="P756" s="146">
        <f>IF(O756=1,"09:00",Formulario!M764)</f>
        <v>0</v>
      </c>
      <c r="Q756" s="146">
        <f>IF(O756=1,"18:30",Formulario!N764)</f>
        <v>0</v>
      </c>
      <c r="R756" s="146" t="str">
        <f>IF(Formulario!O764&lt;&gt;"",IF(Formulario!O764=" ",".",Formulario!O764),".")</f>
        <v>.</v>
      </c>
      <c r="S756" s="141" t="s">
        <v>131</v>
      </c>
    </row>
    <row r="757" spans="1:19">
      <c r="A757" s="141">
        <f>Formulario!B765</f>
        <v>0</v>
      </c>
      <c r="B757" s="144" t="str">
        <f>IF(G757="."," ",Formulario!D$5)</f>
        <v xml:space="preserve"> </v>
      </c>
      <c r="C757" s="144" t="str">
        <f>IF(G757=".","",Formulario!D$6)</f>
        <v/>
      </c>
      <c r="D757" s="144" t="str">
        <f>IF(H757=".","",Formulario!D$7)</f>
        <v/>
      </c>
      <c r="E757" s="144" t="str">
        <f>IF(G757=".","",Formulario!J$5)</f>
        <v/>
      </c>
      <c r="F757" s="145" t="str">
        <f>IF(G757=".","",Formulario!J$6)</f>
        <v/>
      </c>
      <c r="G757" s="180" t="str">
        <f>IF(Formulario!C765&lt;&gt;"",IF(Formulario!C765=" ","Falta Depto",IF(H757=".","Error En Descripción",Formulario!C765)),IF(H757=".",".","Falta Datos"))</f>
        <v>.</v>
      </c>
      <c r="H757" s="144" t="str">
        <f>IF(Formulario!D765&lt;&gt;"",IF(Formulario!D765=" ",".",Formulario!D765),".")</f>
        <v>.</v>
      </c>
      <c r="I757" s="144" t="str">
        <f>IF(Formulario!E765&lt;&gt;"",IF(Formulario!E765=" "," ",Formulario!E765),IF(G757=".",".","Falta Propietario"))</f>
        <v>.</v>
      </c>
      <c r="J757" s="144" t="str">
        <f>IF(Formulario!F765&lt;&gt;"",IF(Formulario!F765=" "," ",Formulario!F765)," ")</f>
        <v xml:space="preserve"> </v>
      </c>
      <c r="K757" s="144" t="str">
        <f>IF(Formulario!G765&lt;&gt;"",IF(Formulario!G765=" "," ",Formulario!G765)," ")</f>
        <v xml:space="preserve"> </v>
      </c>
      <c r="L757" s="144" t="str">
        <f>IF(Formulario!H765&lt;&gt;"",IF(Formulario!H765=" "," ",Formulario!H765)," ")</f>
        <v xml:space="preserve"> </v>
      </c>
      <c r="M757" s="144" t="str">
        <f>IF(Formulario!I765&lt;&gt;"",IF(Formulario!I765=" "," ",Formulario!I765)," ")</f>
        <v xml:space="preserve"> </v>
      </c>
      <c r="N757" s="145" t="str">
        <f>IF(Formulario!J765&lt;&gt;"",IF(Formulario!J765=" "," ",Formulario!J765),IF(G757=".",".","Falta Fecha"))</f>
        <v>.</v>
      </c>
      <c r="O757" s="155">
        <f>Formulario!L765</f>
        <v>0</v>
      </c>
      <c r="P757" s="146">
        <f>IF(O757=1,"09:00",Formulario!M765)</f>
        <v>0</v>
      </c>
      <c r="Q757" s="146">
        <f>IF(O757=1,"18:30",Formulario!N765)</f>
        <v>0</v>
      </c>
      <c r="R757" s="146" t="str">
        <f>IF(Formulario!O765&lt;&gt;"",IF(Formulario!O765=" ",".",Formulario!O765),".")</f>
        <v>.</v>
      </c>
      <c r="S757" s="141" t="s">
        <v>131</v>
      </c>
    </row>
    <row r="758" spans="1:19">
      <c r="A758" s="141">
        <f>Formulario!B766</f>
        <v>0</v>
      </c>
      <c r="B758" s="144" t="str">
        <f>IF(G758="."," ",Formulario!D$5)</f>
        <v xml:space="preserve"> </v>
      </c>
      <c r="C758" s="144" t="str">
        <f>IF(G758=".","",Formulario!D$6)</f>
        <v/>
      </c>
      <c r="D758" s="144" t="str">
        <f>IF(H758=".","",Formulario!D$7)</f>
        <v/>
      </c>
      <c r="E758" s="144" t="str">
        <f>IF(G758=".","",Formulario!J$5)</f>
        <v/>
      </c>
      <c r="F758" s="145" t="str">
        <f>IF(G758=".","",Formulario!J$6)</f>
        <v/>
      </c>
      <c r="G758" s="180" t="str">
        <f>IF(Formulario!C766&lt;&gt;"",IF(Formulario!C766=" ","Falta Depto",IF(H758=".","Error En Descripción",Formulario!C766)),IF(H758=".",".","Falta Datos"))</f>
        <v>.</v>
      </c>
      <c r="H758" s="144" t="str">
        <f>IF(Formulario!D766&lt;&gt;"",IF(Formulario!D766=" ",".",Formulario!D766),".")</f>
        <v>.</v>
      </c>
      <c r="I758" s="144" t="str">
        <f>IF(Formulario!E766&lt;&gt;"",IF(Formulario!E766=" "," ",Formulario!E766),IF(G758=".",".","Falta Propietario"))</f>
        <v>.</v>
      </c>
      <c r="J758" s="144" t="str">
        <f>IF(Formulario!F766&lt;&gt;"",IF(Formulario!F766=" "," ",Formulario!F766)," ")</f>
        <v xml:space="preserve"> </v>
      </c>
      <c r="K758" s="144" t="str">
        <f>IF(Formulario!G766&lt;&gt;"",IF(Formulario!G766=" "," ",Formulario!G766)," ")</f>
        <v xml:space="preserve"> </v>
      </c>
      <c r="L758" s="144" t="str">
        <f>IF(Formulario!H766&lt;&gt;"",IF(Formulario!H766=" "," ",Formulario!H766)," ")</f>
        <v xml:space="preserve"> </v>
      </c>
      <c r="M758" s="144" t="str">
        <f>IF(Formulario!I766&lt;&gt;"",IF(Formulario!I766=" "," ",Formulario!I766)," ")</f>
        <v xml:space="preserve"> </v>
      </c>
      <c r="N758" s="145" t="str">
        <f>IF(Formulario!J766&lt;&gt;"",IF(Formulario!J766=" "," ",Formulario!J766),IF(G758=".",".","Falta Fecha"))</f>
        <v>.</v>
      </c>
      <c r="O758" s="155">
        <f>Formulario!L766</f>
        <v>0</v>
      </c>
      <c r="P758" s="146">
        <f>IF(O758=1,"09:00",Formulario!M766)</f>
        <v>0</v>
      </c>
      <c r="Q758" s="146">
        <f>IF(O758=1,"18:30",Formulario!N766)</f>
        <v>0</v>
      </c>
      <c r="R758" s="146" t="str">
        <f>IF(Formulario!O766&lt;&gt;"",IF(Formulario!O766=" ",".",Formulario!O766),".")</f>
        <v>.</v>
      </c>
      <c r="S758" s="141" t="s">
        <v>131</v>
      </c>
    </row>
    <row r="759" spans="1:19">
      <c r="A759" s="141">
        <f>Formulario!B767</f>
        <v>0</v>
      </c>
      <c r="B759" s="144" t="str">
        <f>IF(G759="."," ",Formulario!D$5)</f>
        <v xml:space="preserve"> </v>
      </c>
      <c r="C759" s="144" t="str">
        <f>IF(G759=".","",Formulario!D$6)</f>
        <v/>
      </c>
      <c r="D759" s="144" t="str">
        <f>IF(H759=".","",Formulario!D$7)</f>
        <v/>
      </c>
      <c r="E759" s="144" t="str">
        <f>IF(G759=".","",Formulario!J$5)</f>
        <v/>
      </c>
      <c r="F759" s="145" t="str">
        <f>IF(G759=".","",Formulario!J$6)</f>
        <v/>
      </c>
      <c r="G759" s="180" t="str">
        <f>IF(Formulario!C767&lt;&gt;"",IF(Formulario!C767=" ","Falta Depto",IF(H759=".","Error En Descripción",Formulario!C767)),IF(H759=".",".","Falta Datos"))</f>
        <v>.</v>
      </c>
      <c r="H759" s="144" t="str">
        <f>IF(Formulario!D767&lt;&gt;"",IF(Formulario!D767=" ",".",Formulario!D767),".")</f>
        <v>.</v>
      </c>
      <c r="I759" s="144" t="str">
        <f>IF(Formulario!E767&lt;&gt;"",IF(Formulario!E767=" "," ",Formulario!E767),IF(G759=".",".","Falta Propietario"))</f>
        <v>.</v>
      </c>
      <c r="J759" s="144" t="str">
        <f>IF(Formulario!F767&lt;&gt;"",IF(Formulario!F767=" "," ",Formulario!F767)," ")</f>
        <v xml:space="preserve"> </v>
      </c>
      <c r="K759" s="144" t="str">
        <f>IF(Formulario!G767&lt;&gt;"",IF(Formulario!G767=" "," ",Formulario!G767)," ")</f>
        <v xml:space="preserve"> </v>
      </c>
      <c r="L759" s="144" t="str">
        <f>IF(Formulario!H767&lt;&gt;"",IF(Formulario!H767=" "," ",Formulario!H767)," ")</f>
        <v xml:space="preserve"> </v>
      </c>
      <c r="M759" s="144" t="str">
        <f>IF(Formulario!I767&lt;&gt;"",IF(Formulario!I767=" "," ",Formulario!I767)," ")</f>
        <v xml:space="preserve"> </v>
      </c>
      <c r="N759" s="145" t="str">
        <f>IF(Formulario!J767&lt;&gt;"",IF(Formulario!J767=" "," ",Formulario!J767),IF(G759=".",".","Falta Fecha"))</f>
        <v>.</v>
      </c>
      <c r="O759" s="155">
        <f>Formulario!L767</f>
        <v>0</v>
      </c>
      <c r="P759" s="146">
        <f>IF(O759=1,"09:00",Formulario!M767)</f>
        <v>0</v>
      </c>
      <c r="Q759" s="146">
        <f>IF(O759=1,"18:30",Formulario!N767)</f>
        <v>0</v>
      </c>
      <c r="R759" s="146" t="str">
        <f>IF(Formulario!O767&lt;&gt;"",IF(Formulario!O767=" ",".",Formulario!O767),".")</f>
        <v>.</v>
      </c>
      <c r="S759" s="141" t="s">
        <v>131</v>
      </c>
    </row>
    <row r="760" spans="1:19">
      <c r="A760" s="141">
        <f>Formulario!B768</f>
        <v>0</v>
      </c>
      <c r="B760" s="144" t="str">
        <f>IF(G760="."," ",Formulario!D$5)</f>
        <v xml:space="preserve"> </v>
      </c>
      <c r="C760" s="144" t="str">
        <f>IF(G760=".","",Formulario!D$6)</f>
        <v/>
      </c>
      <c r="D760" s="144" t="str">
        <f>IF(H760=".","",Formulario!D$7)</f>
        <v/>
      </c>
      <c r="E760" s="144" t="str">
        <f>IF(G760=".","",Formulario!J$5)</f>
        <v/>
      </c>
      <c r="F760" s="145" t="str">
        <f>IF(G760=".","",Formulario!J$6)</f>
        <v/>
      </c>
      <c r="G760" s="180" t="str">
        <f>IF(Formulario!C768&lt;&gt;"",IF(Formulario!C768=" ","Falta Depto",IF(H760=".","Error En Descripción",Formulario!C768)),IF(H760=".",".","Falta Datos"))</f>
        <v>.</v>
      </c>
      <c r="H760" s="144" t="str">
        <f>IF(Formulario!D768&lt;&gt;"",IF(Formulario!D768=" ",".",Formulario!D768),".")</f>
        <v>.</v>
      </c>
      <c r="I760" s="144" t="str">
        <f>IF(Formulario!E768&lt;&gt;"",IF(Formulario!E768=" "," ",Formulario!E768),IF(G760=".",".","Falta Propietario"))</f>
        <v>.</v>
      </c>
      <c r="J760" s="144" t="str">
        <f>IF(Formulario!F768&lt;&gt;"",IF(Formulario!F768=" "," ",Formulario!F768)," ")</f>
        <v xml:space="preserve"> </v>
      </c>
      <c r="K760" s="144" t="str">
        <f>IF(Formulario!G768&lt;&gt;"",IF(Formulario!G768=" "," ",Formulario!G768)," ")</f>
        <v xml:space="preserve"> </v>
      </c>
      <c r="L760" s="144" t="str">
        <f>IF(Formulario!H768&lt;&gt;"",IF(Formulario!H768=" "," ",Formulario!H768)," ")</f>
        <v xml:space="preserve"> </v>
      </c>
      <c r="M760" s="144" t="str">
        <f>IF(Formulario!I768&lt;&gt;"",IF(Formulario!I768=" "," ",Formulario!I768)," ")</f>
        <v xml:space="preserve"> </v>
      </c>
      <c r="N760" s="145" t="str">
        <f>IF(Formulario!J768&lt;&gt;"",IF(Formulario!J768=" "," ",Formulario!J768),IF(G760=".",".","Falta Fecha"))</f>
        <v>.</v>
      </c>
      <c r="O760" s="155">
        <f>Formulario!L768</f>
        <v>0</v>
      </c>
      <c r="P760" s="146">
        <f>IF(O760=1,"09:00",Formulario!M768)</f>
        <v>0</v>
      </c>
      <c r="Q760" s="146">
        <f>IF(O760=1,"18:30",Formulario!N768)</f>
        <v>0</v>
      </c>
      <c r="R760" s="146" t="str">
        <f>IF(Formulario!O768&lt;&gt;"",IF(Formulario!O768=" ",".",Formulario!O768),".")</f>
        <v>.</v>
      </c>
      <c r="S760" s="141" t="s">
        <v>131</v>
      </c>
    </row>
    <row r="761" spans="1:19">
      <c r="A761" s="141">
        <f>Formulario!B769</f>
        <v>0</v>
      </c>
      <c r="B761" s="144" t="str">
        <f>IF(G761="."," ",Formulario!D$5)</f>
        <v xml:space="preserve"> </v>
      </c>
      <c r="C761" s="144" t="str">
        <f>IF(G761=".","",Formulario!D$6)</f>
        <v/>
      </c>
      <c r="D761" s="144" t="str">
        <f>IF(H761=".","",Formulario!D$7)</f>
        <v/>
      </c>
      <c r="E761" s="144" t="str">
        <f>IF(G761=".","",Formulario!J$5)</f>
        <v/>
      </c>
      <c r="F761" s="145" t="str">
        <f>IF(G761=".","",Formulario!J$6)</f>
        <v/>
      </c>
      <c r="G761" s="180" t="str">
        <f>IF(Formulario!C769&lt;&gt;"",IF(Formulario!C769=" ","Falta Depto",IF(H761=".","Error En Descripción",Formulario!C769)),IF(H761=".",".","Falta Datos"))</f>
        <v>.</v>
      </c>
      <c r="H761" s="144" t="str">
        <f>IF(Formulario!D769&lt;&gt;"",IF(Formulario!D769=" ",".",Formulario!D769),".")</f>
        <v>.</v>
      </c>
      <c r="I761" s="144" t="str">
        <f>IF(Formulario!E769&lt;&gt;"",IF(Formulario!E769=" "," ",Formulario!E769),IF(G761=".",".","Falta Propietario"))</f>
        <v>.</v>
      </c>
      <c r="J761" s="144" t="str">
        <f>IF(Formulario!F769&lt;&gt;"",IF(Formulario!F769=" "," ",Formulario!F769)," ")</f>
        <v xml:space="preserve"> </v>
      </c>
      <c r="K761" s="144" t="str">
        <f>IF(Formulario!G769&lt;&gt;"",IF(Formulario!G769=" "," ",Formulario!G769)," ")</f>
        <v xml:space="preserve"> </v>
      </c>
      <c r="L761" s="144" t="str">
        <f>IF(Formulario!H769&lt;&gt;"",IF(Formulario!H769=" "," ",Formulario!H769)," ")</f>
        <v xml:space="preserve"> </v>
      </c>
      <c r="M761" s="144" t="str">
        <f>IF(Formulario!I769&lt;&gt;"",IF(Formulario!I769=" "," ",Formulario!I769)," ")</f>
        <v xml:space="preserve"> </v>
      </c>
      <c r="N761" s="145" t="str">
        <f>IF(Formulario!J769&lt;&gt;"",IF(Formulario!J769=" "," ",Formulario!J769),IF(G761=".",".","Falta Fecha"))</f>
        <v>.</v>
      </c>
      <c r="O761" s="155">
        <f>Formulario!L769</f>
        <v>0</v>
      </c>
      <c r="P761" s="146">
        <f>IF(O761=1,"09:00",Formulario!M769)</f>
        <v>0</v>
      </c>
      <c r="Q761" s="146">
        <f>IF(O761=1,"18:30",Formulario!N769)</f>
        <v>0</v>
      </c>
      <c r="R761" s="146" t="str">
        <f>IF(Formulario!O769&lt;&gt;"",IF(Formulario!O769=" ",".",Formulario!O769),".")</f>
        <v>.</v>
      </c>
      <c r="S761" s="141" t="s">
        <v>131</v>
      </c>
    </row>
    <row r="762" spans="1:19">
      <c r="A762" s="141">
        <f>Formulario!B770</f>
        <v>0</v>
      </c>
      <c r="B762" s="144" t="str">
        <f>IF(G762="."," ",Formulario!D$5)</f>
        <v xml:space="preserve"> </v>
      </c>
      <c r="C762" s="144" t="str">
        <f>IF(G762=".","",Formulario!D$6)</f>
        <v/>
      </c>
      <c r="D762" s="144" t="str">
        <f>IF(H762=".","",Formulario!D$7)</f>
        <v/>
      </c>
      <c r="E762" s="144" t="str">
        <f>IF(G762=".","",Formulario!J$5)</f>
        <v/>
      </c>
      <c r="F762" s="145" t="str">
        <f>IF(G762=".","",Formulario!J$6)</f>
        <v/>
      </c>
      <c r="G762" s="180" t="str">
        <f>IF(Formulario!C770&lt;&gt;"",IF(Formulario!C770=" ","Falta Depto",IF(H762=".","Error En Descripción",Formulario!C770)),IF(H762=".",".","Falta Datos"))</f>
        <v>.</v>
      </c>
      <c r="H762" s="144" t="str">
        <f>IF(Formulario!D770&lt;&gt;"",IF(Formulario!D770=" ",".",Formulario!D770),".")</f>
        <v>.</v>
      </c>
      <c r="I762" s="144" t="str">
        <f>IF(Formulario!E770&lt;&gt;"",IF(Formulario!E770=" "," ",Formulario!E770),IF(G762=".",".","Falta Propietario"))</f>
        <v>.</v>
      </c>
      <c r="J762" s="144" t="str">
        <f>IF(Formulario!F770&lt;&gt;"",IF(Formulario!F770=" "," ",Formulario!F770)," ")</f>
        <v xml:space="preserve"> </v>
      </c>
      <c r="K762" s="144" t="str">
        <f>IF(Formulario!G770&lt;&gt;"",IF(Formulario!G770=" "," ",Formulario!G770)," ")</f>
        <v xml:space="preserve"> </v>
      </c>
      <c r="L762" s="144" t="str">
        <f>IF(Formulario!H770&lt;&gt;"",IF(Formulario!H770=" "," ",Formulario!H770)," ")</f>
        <v xml:space="preserve"> </v>
      </c>
      <c r="M762" s="144" t="str">
        <f>IF(Formulario!I770&lt;&gt;"",IF(Formulario!I770=" "," ",Formulario!I770)," ")</f>
        <v xml:space="preserve"> </v>
      </c>
      <c r="N762" s="145" t="str">
        <f>IF(Formulario!J770&lt;&gt;"",IF(Formulario!J770=" "," ",Formulario!J770),IF(G762=".",".","Falta Fecha"))</f>
        <v>.</v>
      </c>
      <c r="O762" s="155">
        <f>Formulario!L770</f>
        <v>0</v>
      </c>
      <c r="P762" s="146">
        <f>IF(O762=1,"09:00",Formulario!M770)</f>
        <v>0</v>
      </c>
      <c r="Q762" s="146">
        <f>IF(O762=1,"18:30",Formulario!N770)</f>
        <v>0</v>
      </c>
      <c r="R762" s="146" t="str">
        <f>IF(Formulario!O770&lt;&gt;"",IF(Formulario!O770=" ",".",Formulario!O770),".")</f>
        <v>.</v>
      </c>
      <c r="S762" s="141" t="s">
        <v>131</v>
      </c>
    </row>
    <row r="763" spans="1:19">
      <c r="A763" s="141">
        <f>Formulario!B771</f>
        <v>0</v>
      </c>
      <c r="B763" s="144" t="str">
        <f>IF(G763="."," ",Formulario!D$5)</f>
        <v xml:space="preserve"> </v>
      </c>
      <c r="C763" s="144" t="str">
        <f>IF(G763=".","",Formulario!D$6)</f>
        <v/>
      </c>
      <c r="D763" s="144" t="str">
        <f>IF(H763=".","",Formulario!D$7)</f>
        <v/>
      </c>
      <c r="E763" s="144" t="str">
        <f>IF(G763=".","",Formulario!J$5)</f>
        <v/>
      </c>
      <c r="F763" s="145" t="str">
        <f>IF(G763=".","",Formulario!J$6)</f>
        <v/>
      </c>
      <c r="G763" s="180" t="str">
        <f>IF(Formulario!C771&lt;&gt;"",IF(Formulario!C771=" ","Falta Depto",IF(H763=".","Error En Descripción",Formulario!C771)),IF(H763=".",".","Falta Datos"))</f>
        <v>.</v>
      </c>
      <c r="H763" s="144" t="str">
        <f>IF(Formulario!D771&lt;&gt;"",IF(Formulario!D771=" ",".",Formulario!D771),".")</f>
        <v>.</v>
      </c>
      <c r="I763" s="144" t="str">
        <f>IF(Formulario!E771&lt;&gt;"",IF(Formulario!E771=" "," ",Formulario!E771),IF(G763=".",".","Falta Propietario"))</f>
        <v>.</v>
      </c>
      <c r="J763" s="144" t="str">
        <f>IF(Formulario!F771&lt;&gt;"",IF(Formulario!F771=" "," ",Formulario!F771)," ")</f>
        <v xml:space="preserve"> </v>
      </c>
      <c r="K763" s="144" t="str">
        <f>IF(Formulario!G771&lt;&gt;"",IF(Formulario!G771=" "," ",Formulario!G771)," ")</f>
        <v xml:space="preserve"> </v>
      </c>
      <c r="L763" s="144" t="str">
        <f>IF(Formulario!H771&lt;&gt;"",IF(Formulario!H771=" "," ",Formulario!H771)," ")</f>
        <v xml:space="preserve"> </v>
      </c>
      <c r="M763" s="144" t="str">
        <f>IF(Formulario!I771&lt;&gt;"",IF(Formulario!I771=" "," ",Formulario!I771)," ")</f>
        <v xml:space="preserve"> </v>
      </c>
      <c r="N763" s="145" t="str">
        <f>IF(Formulario!J771&lt;&gt;"",IF(Formulario!J771=" "," ",Formulario!J771),IF(G763=".",".","Falta Fecha"))</f>
        <v>.</v>
      </c>
      <c r="O763" s="155">
        <f>Formulario!L771</f>
        <v>0</v>
      </c>
      <c r="P763" s="146">
        <f>IF(O763=1,"09:00",Formulario!M771)</f>
        <v>0</v>
      </c>
      <c r="Q763" s="146">
        <f>IF(O763=1,"18:30",Formulario!N771)</f>
        <v>0</v>
      </c>
      <c r="R763" s="146" t="str">
        <f>IF(Formulario!O771&lt;&gt;"",IF(Formulario!O771=" ",".",Formulario!O771),".")</f>
        <v>.</v>
      </c>
      <c r="S763" s="141" t="s">
        <v>131</v>
      </c>
    </row>
    <row r="764" spans="1:19">
      <c r="A764" s="141">
        <f>Formulario!B772</f>
        <v>0</v>
      </c>
      <c r="B764" s="144" t="str">
        <f>IF(G764="."," ",Formulario!D$5)</f>
        <v xml:space="preserve"> </v>
      </c>
      <c r="C764" s="144" t="str">
        <f>IF(G764=".","",Formulario!D$6)</f>
        <v/>
      </c>
      <c r="D764" s="144" t="str">
        <f>IF(H764=".","",Formulario!D$7)</f>
        <v/>
      </c>
      <c r="E764" s="144" t="str">
        <f>IF(G764=".","",Formulario!J$5)</f>
        <v/>
      </c>
      <c r="F764" s="145" t="str">
        <f>IF(G764=".","",Formulario!J$6)</f>
        <v/>
      </c>
      <c r="G764" s="180" t="str">
        <f>IF(Formulario!C772&lt;&gt;"",IF(Formulario!C772=" ","Falta Depto",IF(H764=".","Error En Descripción",Formulario!C772)),IF(H764=".",".","Falta Datos"))</f>
        <v>.</v>
      </c>
      <c r="H764" s="144" t="str">
        <f>IF(Formulario!D772&lt;&gt;"",IF(Formulario!D772=" ",".",Formulario!D772),".")</f>
        <v>.</v>
      </c>
      <c r="I764" s="144" t="str">
        <f>IF(Formulario!E772&lt;&gt;"",IF(Formulario!E772=" "," ",Formulario!E772),IF(G764=".",".","Falta Propietario"))</f>
        <v>.</v>
      </c>
      <c r="J764" s="144" t="str">
        <f>IF(Formulario!F772&lt;&gt;"",IF(Formulario!F772=" "," ",Formulario!F772)," ")</f>
        <v xml:space="preserve"> </v>
      </c>
      <c r="K764" s="144" t="str">
        <f>IF(Formulario!G772&lt;&gt;"",IF(Formulario!G772=" "," ",Formulario!G772)," ")</f>
        <v xml:space="preserve"> </v>
      </c>
      <c r="L764" s="144" t="str">
        <f>IF(Formulario!H772&lt;&gt;"",IF(Formulario!H772=" "," ",Formulario!H772)," ")</f>
        <v xml:space="preserve"> </v>
      </c>
      <c r="M764" s="144" t="str">
        <f>IF(Formulario!I772&lt;&gt;"",IF(Formulario!I772=" "," ",Formulario!I772)," ")</f>
        <v xml:space="preserve"> </v>
      </c>
      <c r="N764" s="145" t="str">
        <f>IF(Formulario!J772&lt;&gt;"",IF(Formulario!J772=" "," ",Formulario!J772),IF(G764=".",".","Falta Fecha"))</f>
        <v>.</v>
      </c>
      <c r="O764" s="155">
        <f>Formulario!L772</f>
        <v>0</v>
      </c>
      <c r="P764" s="146">
        <f>IF(O764=1,"09:00",Formulario!M772)</f>
        <v>0</v>
      </c>
      <c r="Q764" s="146">
        <f>IF(O764=1,"18:30",Formulario!N772)</f>
        <v>0</v>
      </c>
      <c r="R764" s="146" t="str">
        <f>IF(Formulario!O772&lt;&gt;"",IF(Formulario!O772=" ",".",Formulario!O772),".")</f>
        <v>.</v>
      </c>
      <c r="S764" s="141" t="s">
        <v>131</v>
      </c>
    </row>
    <row r="765" spans="1:19">
      <c r="A765" s="141">
        <f>Formulario!B773</f>
        <v>0</v>
      </c>
      <c r="B765" s="144" t="str">
        <f>IF(G765="."," ",Formulario!D$5)</f>
        <v xml:space="preserve"> </v>
      </c>
      <c r="C765" s="144" t="str">
        <f>IF(G765=".","",Formulario!D$6)</f>
        <v/>
      </c>
      <c r="D765" s="144" t="str">
        <f>IF(H765=".","",Formulario!D$7)</f>
        <v/>
      </c>
      <c r="E765" s="144" t="str">
        <f>IF(G765=".","",Formulario!J$5)</f>
        <v/>
      </c>
      <c r="F765" s="145" t="str">
        <f>IF(G765=".","",Formulario!J$6)</f>
        <v/>
      </c>
      <c r="G765" s="180" t="str">
        <f>IF(Formulario!C773&lt;&gt;"",IF(Formulario!C773=" ","Falta Depto",IF(H765=".","Error En Descripción",Formulario!C773)),IF(H765=".",".","Falta Datos"))</f>
        <v>.</v>
      </c>
      <c r="H765" s="144" t="str">
        <f>IF(Formulario!D773&lt;&gt;"",IF(Formulario!D773=" ",".",Formulario!D773),".")</f>
        <v>.</v>
      </c>
      <c r="I765" s="144" t="str">
        <f>IF(Formulario!E773&lt;&gt;"",IF(Formulario!E773=" "," ",Formulario!E773),IF(G765=".",".","Falta Propietario"))</f>
        <v>.</v>
      </c>
      <c r="J765" s="144" t="str">
        <f>IF(Formulario!F773&lt;&gt;"",IF(Formulario!F773=" "," ",Formulario!F773)," ")</f>
        <v xml:space="preserve"> </v>
      </c>
      <c r="K765" s="144" t="str">
        <f>IF(Formulario!G773&lt;&gt;"",IF(Formulario!G773=" "," ",Formulario!G773)," ")</f>
        <v xml:space="preserve"> </v>
      </c>
      <c r="L765" s="144" t="str">
        <f>IF(Formulario!H773&lt;&gt;"",IF(Formulario!H773=" "," ",Formulario!H773)," ")</f>
        <v xml:space="preserve"> </v>
      </c>
      <c r="M765" s="144" t="str">
        <f>IF(Formulario!I773&lt;&gt;"",IF(Formulario!I773=" "," ",Formulario!I773)," ")</f>
        <v xml:space="preserve"> </v>
      </c>
      <c r="N765" s="145" t="str">
        <f>IF(Formulario!J773&lt;&gt;"",IF(Formulario!J773=" "," ",Formulario!J773),IF(G765=".",".","Falta Fecha"))</f>
        <v>.</v>
      </c>
      <c r="O765" s="155">
        <f>Formulario!L773</f>
        <v>0</v>
      </c>
      <c r="P765" s="146">
        <f>IF(O765=1,"09:00",Formulario!M773)</f>
        <v>0</v>
      </c>
      <c r="Q765" s="146">
        <f>IF(O765=1,"18:30",Formulario!N773)</f>
        <v>0</v>
      </c>
      <c r="R765" s="146" t="str">
        <f>IF(Formulario!O773&lt;&gt;"",IF(Formulario!O773=" ",".",Formulario!O773),".")</f>
        <v>.</v>
      </c>
      <c r="S765" s="141" t="s">
        <v>131</v>
      </c>
    </row>
    <row r="766" spans="1:19">
      <c r="A766" s="141">
        <f>Formulario!B774</f>
        <v>0</v>
      </c>
      <c r="B766" s="144" t="str">
        <f>IF(G766="."," ",Formulario!D$5)</f>
        <v xml:space="preserve"> </v>
      </c>
      <c r="C766" s="144" t="str">
        <f>IF(G766=".","",Formulario!D$6)</f>
        <v/>
      </c>
      <c r="D766" s="144" t="str">
        <f>IF(H766=".","",Formulario!D$7)</f>
        <v/>
      </c>
      <c r="E766" s="144" t="str">
        <f>IF(G766=".","",Formulario!J$5)</f>
        <v/>
      </c>
      <c r="F766" s="145" t="str">
        <f>IF(G766=".","",Formulario!J$6)</f>
        <v/>
      </c>
      <c r="G766" s="180" t="str">
        <f>IF(Formulario!C774&lt;&gt;"",IF(Formulario!C774=" ","Falta Depto",IF(H766=".","Error En Descripción",Formulario!C774)),IF(H766=".",".","Falta Datos"))</f>
        <v>.</v>
      </c>
      <c r="H766" s="144" t="str">
        <f>IF(Formulario!D774&lt;&gt;"",IF(Formulario!D774=" ",".",Formulario!D774),".")</f>
        <v>.</v>
      </c>
      <c r="I766" s="144" t="str">
        <f>IF(Formulario!E774&lt;&gt;"",IF(Formulario!E774=" "," ",Formulario!E774),IF(G766=".",".","Falta Propietario"))</f>
        <v>.</v>
      </c>
      <c r="J766" s="144" t="str">
        <f>IF(Formulario!F774&lt;&gt;"",IF(Formulario!F774=" "," ",Formulario!F774)," ")</f>
        <v xml:space="preserve"> </v>
      </c>
      <c r="K766" s="144" t="str">
        <f>IF(Formulario!G774&lt;&gt;"",IF(Formulario!G774=" "," ",Formulario!G774)," ")</f>
        <v xml:space="preserve"> </v>
      </c>
      <c r="L766" s="144" t="str">
        <f>IF(Formulario!H774&lt;&gt;"",IF(Formulario!H774=" "," ",Formulario!H774)," ")</f>
        <v xml:space="preserve"> </v>
      </c>
      <c r="M766" s="144" t="str">
        <f>IF(Formulario!I774&lt;&gt;"",IF(Formulario!I774=" "," ",Formulario!I774)," ")</f>
        <v xml:space="preserve"> </v>
      </c>
      <c r="N766" s="145" t="str">
        <f>IF(Formulario!J774&lt;&gt;"",IF(Formulario!J774=" "," ",Formulario!J774),IF(G766=".",".","Falta Fecha"))</f>
        <v>.</v>
      </c>
      <c r="O766" s="155">
        <f>Formulario!L774</f>
        <v>0</v>
      </c>
      <c r="P766" s="146">
        <f>IF(O766=1,"09:00",Formulario!M774)</f>
        <v>0</v>
      </c>
      <c r="Q766" s="146">
        <f>IF(O766=1,"18:30",Formulario!N774)</f>
        <v>0</v>
      </c>
      <c r="R766" s="146" t="str">
        <f>IF(Formulario!O774&lt;&gt;"",IF(Formulario!O774=" ",".",Formulario!O774),".")</f>
        <v>.</v>
      </c>
      <c r="S766" s="141" t="s">
        <v>131</v>
      </c>
    </row>
    <row r="767" spans="1:19">
      <c r="A767" s="141">
        <f>Formulario!B775</f>
        <v>0</v>
      </c>
      <c r="B767" s="144" t="str">
        <f>IF(G767="."," ",Formulario!D$5)</f>
        <v xml:space="preserve"> </v>
      </c>
      <c r="C767" s="144" t="str">
        <f>IF(G767=".","",Formulario!D$6)</f>
        <v/>
      </c>
      <c r="D767" s="144" t="str">
        <f>IF(H767=".","",Formulario!D$7)</f>
        <v/>
      </c>
      <c r="E767" s="144" t="str">
        <f>IF(G767=".","",Formulario!J$5)</f>
        <v/>
      </c>
      <c r="F767" s="145" t="str">
        <f>IF(G767=".","",Formulario!J$6)</f>
        <v/>
      </c>
      <c r="G767" s="180" t="str">
        <f>IF(Formulario!C775&lt;&gt;"",IF(Formulario!C775=" ","Falta Depto",IF(H767=".","Error En Descripción",Formulario!C775)),IF(H767=".",".","Falta Datos"))</f>
        <v>.</v>
      </c>
      <c r="H767" s="144" t="str">
        <f>IF(Formulario!D775&lt;&gt;"",IF(Formulario!D775=" ",".",Formulario!D775),".")</f>
        <v>.</v>
      </c>
      <c r="I767" s="144" t="str">
        <f>IF(Formulario!E775&lt;&gt;"",IF(Formulario!E775=" "," ",Formulario!E775),IF(G767=".",".","Falta Propietario"))</f>
        <v>.</v>
      </c>
      <c r="J767" s="144" t="str">
        <f>IF(Formulario!F775&lt;&gt;"",IF(Formulario!F775=" "," ",Formulario!F775)," ")</f>
        <v xml:space="preserve"> </v>
      </c>
      <c r="K767" s="144" t="str">
        <f>IF(Formulario!G775&lt;&gt;"",IF(Formulario!G775=" "," ",Formulario!G775)," ")</f>
        <v xml:space="preserve"> </v>
      </c>
      <c r="L767" s="144" t="str">
        <f>IF(Formulario!H775&lt;&gt;"",IF(Formulario!H775=" "," ",Formulario!H775)," ")</f>
        <v xml:space="preserve"> </v>
      </c>
      <c r="M767" s="144" t="str">
        <f>IF(Formulario!I775&lt;&gt;"",IF(Formulario!I775=" "," ",Formulario!I775)," ")</f>
        <v xml:space="preserve"> </v>
      </c>
      <c r="N767" s="145" t="str">
        <f>IF(Formulario!J775&lt;&gt;"",IF(Formulario!J775=" "," ",Formulario!J775),IF(G767=".",".","Falta Fecha"))</f>
        <v>.</v>
      </c>
      <c r="O767" s="155">
        <f>Formulario!L775</f>
        <v>0</v>
      </c>
      <c r="P767" s="146">
        <f>IF(O767=1,"09:00",Formulario!M775)</f>
        <v>0</v>
      </c>
      <c r="Q767" s="146">
        <f>IF(O767=1,"18:30",Formulario!N775)</f>
        <v>0</v>
      </c>
      <c r="R767" s="146" t="str">
        <f>IF(Formulario!O775&lt;&gt;"",IF(Formulario!O775=" ",".",Formulario!O775),".")</f>
        <v>.</v>
      </c>
      <c r="S767" s="141" t="s">
        <v>131</v>
      </c>
    </row>
    <row r="768" spans="1:19">
      <c r="A768" s="141">
        <f>Formulario!B776</f>
        <v>0</v>
      </c>
      <c r="B768" s="144" t="str">
        <f>IF(G768="."," ",Formulario!D$5)</f>
        <v xml:space="preserve"> </v>
      </c>
      <c r="C768" s="144" t="str">
        <f>IF(G768=".","",Formulario!D$6)</f>
        <v/>
      </c>
      <c r="D768" s="144" t="str">
        <f>IF(H768=".","",Formulario!D$7)</f>
        <v/>
      </c>
      <c r="E768" s="144" t="str">
        <f>IF(G768=".","",Formulario!J$5)</f>
        <v/>
      </c>
      <c r="F768" s="145" t="str">
        <f>IF(G768=".","",Formulario!J$6)</f>
        <v/>
      </c>
      <c r="G768" s="180" t="str">
        <f>IF(Formulario!C776&lt;&gt;"",IF(Formulario!C776=" ","Falta Depto",IF(H768=".","Error En Descripción",Formulario!C776)),IF(H768=".",".","Falta Datos"))</f>
        <v>.</v>
      </c>
      <c r="H768" s="144" t="str">
        <f>IF(Formulario!D776&lt;&gt;"",IF(Formulario!D776=" ",".",Formulario!D776),".")</f>
        <v>.</v>
      </c>
      <c r="I768" s="144" t="str">
        <f>IF(Formulario!E776&lt;&gt;"",IF(Formulario!E776=" "," ",Formulario!E776),IF(G768=".",".","Falta Propietario"))</f>
        <v>.</v>
      </c>
      <c r="J768" s="144" t="str">
        <f>IF(Formulario!F776&lt;&gt;"",IF(Formulario!F776=" "," ",Formulario!F776)," ")</f>
        <v xml:space="preserve"> </v>
      </c>
      <c r="K768" s="144" t="str">
        <f>IF(Formulario!G776&lt;&gt;"",IF(Formulario!G776=" "," ",Formulario!G776)," ")</f>
        <v xml:space="preserve"> </v>
      </c>
      <c r="L768" s="144" t="str">
        <f>IF(Formulario!H776&lt;&gt;"",IF(Formulario!H776=" "," ",Formulario!H776)," ")</f>
        <v xml:space="preserve"> </v>
      </c>
      <c r="M768" s="144" t="str">
        <f>IF(Formulario!I776&lt;&gt;"",IF(Formulario!I776=" "," ",Formulario!I776)," ")</f>
        <v xml:space="preserve"> </v>
      </c>
      <c r="N768" s="145" t="str">
        <f>IF(Formulario!J776&lt;&gt;"",IF(Formulario!J776=" "," ",Formulario!J776),IF(G768=".",".","Falta Fecha"))</f>
        <v>.</v>
      </c>
      <c r="O768" s="155">
        <f>Formulario!L776</f>
        <v>0</v>
      </c>
      <c r="P768" s="146">
        <f>IF(O768=1,"09:00",Formulario!M776)</f>
        <v>0</v>
      </c>
      <c r="Q768" s="146">
        <f>IF(O768=1,"18:30",Formulario!N776)</f>
        <v>0</v>
      </c>
      <c r="R768" s="146" t="str">
        <f>IF(Formulario!O776&lt;&gt;"",IF(Formulario!O776=" ",".",Formulario!O776),".")</f>
        <v>.</v>
      </c>
      <c r="S768" s="141" t="s">
        <v>131</v>
      </c>
    </row>
    <row r="769" spans="1:19">
      <c r="A769" s="141">
        <f>Formulario!B777</f>
        <v>0</v>
      </c>
      <c r="B769" s="144" t="str">
        <f>IF(G769="."," ",Formulario!D$5)</f>
        <v xml:space="preserve"> </v>
      </c>
      <c r="C769" s="144" t="str">
        <f>IF(G769=".","",Formulario!D$6)</f>
        <v/>
      </c>
      <c r="D769" s="144" t="str">
        <f>IF(H769=".","",Formulario!D$7)</f>
        <v/>
      </c>
      <c r="E769" s="144" t="str">
        <f>IF(G769=".","",Formulario!J$5)</f>
        <v/>
      </c>
      <c r="F769" s="145" t="str">
        <f>IF(G769=".","",Formulario!J$6)</f>
        <v/>
      </c>
      <c r="G769" s="180" t="str">
        <f>IF(Formulario!C777&lt;&gt;"",IF(Formulario!C777=" ","Falta Depto",IF(H769=".","Error En Descripción",Formulario!C777)),IF(H769=".",".","Falta Datos"))</f>
        <v>.</v>
      </c>
      <c r="H769" s="144" t="str">
        <f>IF(Formulario!D777&lt;&gt;"",IF(Formulario!D777=" ",".",Formulario!D777),".")</f>
        <v>.</v>
      </c>
      <c r="I769" s="144" t="str">
        <f>IF(Formulario!E777&lt;&gt;"",IF(Formulario!E777=" "," ",Formulario!E777),IF(G769=".",".","Falta Propietario"))</f>
        <v>.</v>
      </c>
      <c r="J769" s="144" t="str">
        <f>IF(Formulario!F777&lt;&gt;"",IF(Formulario!F777=" "," ",Formulario!F777)," ")</f>
        <v xml:space="preserve"> </v>
      </c>
      <c r="K769" s="144" t="str">
        <f>IF(Formulario!G777&lt;&gt;"",IF(Formulario!G777=" "," ",Formulario!G777)," ")</f>
        <v xml:space="preserve"> </v>
      </c>
      <c r="L769" s="144" t="str">
        <f>IF(Formulario!H777&lt;&gt;"",IF(Formulario!H777=" "," ",Formulario!H777)," ")</f>
        <v xml:space="preserve"> </v>
      </c>
      <c r="M769" s="144" t="str">
        <f>IF(Formulario!I777&lt;&gt;"",IF(Formulario!I777=" "," ",Formulario!I777)," ")</f>
        <v xml:space="preserve"> </v>
      </c>
      <c r="N769" s="145" t="str">
        <f>IF(Formulario!J777&lt;&gt;"",IF(Formulario!J777=" "," ",Formulario!J777),IF(G769=".",".","Falta Fecha"))</f>
        <v>.</v>
      </c>
      <c r="O769" s="155">
        <f>Formulario!L777</f>
        <v>0</v>
      </c>
      <c r="P769" s="146">
        <f>IF(O769=1,"09:00",Formulario!M777)</f>
        <v>0</v>
      </c>
      <c r="Q769" s="146">
        <f>IF(O769=1,"18:30",Formulario!N777)</f>
        <v>0</v>
      </c>
      <c r="R769" s="146" t="str">
        <f>IF(Formulario!O777&lt;&gt;"",IF(Formulario!O777=" ",".",Formulario!O777),".")</f>
        <v>.</v>
      </c>
      <c r="S769" s="141" t="s">
        <v>131</v>
      </c>
    </row>
    <row r="770" spans="1:19">
      <c r="A770" s="141">
        <f>Formulario!B778</f>
        <v>0</v>
      </c>
      <c r="B770" s="144" t="str">
        <f>IF(G770="."," ",Formulario!D$5)</f>
        <v xml:space="preserve"> </v>
      </c>
      <c r="C770" s="144" t="str">
        <f>IF(G770=".","",Formulario!D$6)</f>
        <v/>
      </c>
      <c r="D770" s="144" t="str">
        <f>IF(H770=".","",Formulario!D$7)</f>
        <v/>
      </c>
      <c r="E770" s="144" t="str">
        <f>IF(G770=".","",Formulario!J$5)</f>
        <v/>
      </c>
      <c r="F770" s="145" t="str">
        <f>IF(G770=".","",Formulario!J$6)</f>
        <v/>
      </c>
      <c r="G770" s="180" t="str">
        <f>IF(Formulario!C778&lt;&gt;"",IF(Formulario!C778=" ","Falta Depto",IF(H770=".","Error En Descripción",Formulario!C778)),IF(H770=".",".","Falta Datos"))</f>
        <v>.</v>
      </c>
      <c r="H770" s="144" t="str">
        <f>IF(Formulario!D778&lt;&gt;"",IF(Formulario!D778=" ",".",Formulario!D778),".")</f>
        <v>.</v>
      </c>
      <c r="I770" s="144" t="str">
        <f>IF(Formulario!E778&lt;&gt;"",IF(Formulario!E778=" "," ",Formulario!E778),IF(G770=".",".","Falta Propietario"))</f>
        <v>.</v>
      </c>
      <c r="J770" s="144" t="str">
        <f>IF(Formulario!F778&lt;&gt;"",IF(Formulario!F778=" "," ",Formulario!F778)," ")</f>
        <v xml:space="preserve"> </v>
      </c>
      <c r="K770" s="144" t="str">
        <f>IF(Formulario!G778&lt;&gt;"",IF(Formulario!G778=" "," ",Formulario!G778)," ")</f>
        <v xml:space="preserve"> </v>
      </c>
      <c r="L770" s="144" t="str">
        <f>IF(Formulario!H778&lt;&gt;"",IF(Formulario!H778=" "," ",Formulario!H778)," ")</f>
        <v xml:space="preserve"> </v>
      </c>
      <c r="M770" s="144" t="str">
        <f>IF(Formulario!I778&lt;&gt;"",IF(Formulario!I778=" "," ",Formulario!I778)," ")</f>
        <v xml:space="preserve"> </v>
      </c>
      <c r="N770" s="145" t="str">
        <f>IF(Formulario!J778&lt;&gt;"",IF(Formulario!J778=" "," ",Formulario!J778),IF(G770=".",".","Falta Fecha"))</f>
        <v>.</v>
      </c>
      <c r="O770" s="155">
        <f>Formulario!L778</f>
        <v>0</v>
      </c>
      <c r="P770" s="146">
        <f>IF(O770=1,"09:00",Formulario!M778)</f>
        <v>0</v>
      </c>
      <c r="Q770" s="146">
        <f>IF(O770=1,"18:30",Formulario!N778)</f>
        <v>0</v>
      </c>
      <c r="R770" s="146" t="str">
        <f>IF(Formulario!O778&lt;&gt;"",IF(Formulario!O778=" ",".",Formulario!O778),".")</f>
        <v>.</v>
      </c>
      <c r="S770" s="141" t="s">
        <v>131</v>
      </c>
    </row>
    <row r="771" spans="1:19">
      <c r="A771" s="141">
        <f>Formulario!B779</f>
        <v>0</v>
      </c>
      <c r="B771" s="144" t="str">
        <f>IF(G771="."," ",Formulario!D$5)</f>
        <v xml:space="preserve"> </v>
      </c>
      <c r="C771" s="144" t="str">
        <f>IF(G771=".","",Formulario!D$6)</f>
        <v/>
      </c>
      <c r="D771" s="144" t="str">
        <f>IF(H771=".","",Formulario!D$7)</f>
        <v/>
      </c>
      <c r="E771" s="144" t="str">
        <f>IF(G771=".","",Formulario!J$5)</f>
        <v/>
      </c>
      <c r="F771" s="145" t="str">
        <f>IF(G771=".","",Formulario!J$6)</f>
        <v/>
      </c>
      <c r="G771" s="180" t="str">
        <f>IF(Formulario!C779&lt;&gt;"",IF(Formulario!C779=" ","Falta Depto",IF(H771=".","Error En Descripción",Formulario!C779)),IF(H771=".",".","Falta Datos"))</f>
        <v>.</v>
      </c>
      <c r="H771" s="144" t="str">
        <f>IF(Formulario!D779&lt;&gt;"",IF(Formulario!D779=" ",".",Formulario!D779),".")</f>
        <v>.</v>
      </c>
      <c r="I771" s="144" t="str">
        <f>IF(Formulario!E779&lt;&gt;"",IF(Formulario!E779=" "," ",Formulario!E779),IF(G771=".",".","Falta Propietario"))</f>
        <v>.</v>
      </c>
      <c r="J771" s="144" t="str">
        <f>IF(Formulario!F779&lt;&gt;"",IF(Formulario!F779=" "," ",Formulario!F779)," ")</f>
        <v xml:space="preserve"> </v>
      </c>
      <c r="K771" s="144" t="str">
        <f>IF(Formulario!G779&lt;&gt;"",IF(Formulario!G779=" "," ",Formulario!G779)," ")</f>
        <v xml:space="preserve"> </v>
      </c>
      <c r="L771" s="144" t="str">
        <f>IF(Formulario!H779&lt;&gt;"",IF(Formulario!H779=" "," ",Formulario!H779)," ")</f>
        <v xml:space="preserve"> </v>
      </c>
      <c r="M771" s="144" t="str">
        <f>IF(Formulario!I779&lt;&gt;"",IF(Formulario!I779=" "," ",Formulario!I779)," ")</f>
        <v xml:space="preserve"> </v>
      </c>
      <c r="N771" s="145" t="str">
        <f>IF(Formulario!J779&lt;&gt;"",IF(Formulario!J779=" "," ",Formulario!J779),IF(G771=".",".","Falta Fecha"))</f>
        <v>.</v>
      </c>
      <c r="O771" s="155">
        <f>Formulario!L779</f>
        <v>0</v>
      </c>
      <c r="P771" s="146">
        <f>IF(O771=1,"09:00",Formulario!M779)</f>
        <v>0</v>
      </c>
      <c r="Q771" s="146">
        <f>IF(O771=1,"18:30",Formulario!N779)</f>
        <v>0</v>
      </c>
      <c r="R771" s="146" t="str">
        <f>IF(Formulario!O779&lt;&gt;"",IF(Formulario!O779=" ",".",Formulario!O779),".")</f>
        <v>.</v>
      </c>
      <c r="S771" s="141" t="s">
        <v>131</v>
      </c>
    </row>
    <row r="772" spans="1:19">
      <c r="A772" s="141">
        <f>Formulario!B780</f>
        <v>0</v>
      </c>
      <c r="B772" s="144" t="str">
        <f>IF(G772="."," ",Formulario!D$5)</f>
        <v xml:space="preserve"> </v>
      </c>
      <c r="C772" s="144" t="str">
        <f>IF(G772=".","",Formulario!D$6)</f>
        <v/>
      </c>
      <c r="D772" s="144" t="str">
        <f>IF(H772=".","",Formulario!D$7)</f>
        <v/>
      </c>
      <c r="E772" s="144" t="str">
        <f>IF(G772=".","",Formulario!J$5)</f>
        <v/>
      </c>
      <c r="F772" s="145" t="str">
        <f>IF(G772=".","",Formulario!J$6)</f>
        <v/>
      </c>
      <c r="G772" s="180" t="str">
        <f>IF(Formulario!C780&lt;&gt;"",IF(Formulario!C780=" ","Falta Depto",IF(H772=".","Error En Descripción",Formulario!C780)),IF(H772=".",".","Falta Datos"))</f>
        <v>.</v>
      </c>
      <c r="H772" s="144" t="str">
        <f>IF(Formulario!D780&lt;&gt;"",IF(Formulario!D780=" ",".",Formulario!D780),".")</f>
        <v>.</v>
      </c>
      <c r="I772" s="144" t="str">
        <f>IF(Formulario!E780&lt;&gt;"",IF(Formulario!E780=" "," ",Formulario!E780),IF(G772=".",".","Falta Propietario"))</f>
        <v>.</v>
      </c>
      <c r="J772" s="144" t="str">
        <f>IF(Formulario!F780&lt;&gt;"",IF(Formulario!F780=" "," ",Formulario!F780)," ")</f>
        <v xml:space="preserve"> </v>
      </c>
      <c r="K772" s="144" t="str">
        <f>IF(Formulario!G780&lt;&gt;"",IF(Formulario!G780=" "," ",Formulario!G780)," ")</f>
        <v xml:space="preserve"> </v>
      </c>
      <c r="L772" s="144" t="str">
        <f>IF(Formulario!H780&lt;&gt;"",IF(Formulario!H780=" "," ",Formulario!H780)," ")</f>
        <v xml:space="preserve"> </v>
      </c>
      <c r="M772" s="144" t="str">
        <f>IF(Formulario!I780&lt;&gt;"",IF(Formulario!I780=" "," ",Formulario!I780)," ")</f>
        <v xml:space="preserve"> </v>
      </c>
      <c r="N772" s="145" t="str">
        <f>IF(Formulario!J780&lt;&gt;"",IF(Formulario!J780=" "," ",Formulario!J780),IF(G772=".",".","Falta Fecha"))</f>
        <v>.</v>
      </c>
      <c r="O772" s="155">
        <f>Formulario!L780</f>
        <v>0</v>
      </c>
      <c r="P772" s="146">
        <f>IF(O772=1,"09:00",Formulario!M780)</f>
        <v>0</v>
      </c>
      <c r="Q772" s="146">
        <f>IF(O772=1,"18:30",Formulario!N780)</f>
        <v>0</v>
      </c>
      <c r="R772" s="146" t="str">
        <f>IF(Formulario!O780&lt;&gt;"",IF(Formulario!O780=" ",".",Formulario!O780),".")</f>
        <v>.</v>
      </c>
      <c r="S772" s="141" t="s">
        <v>131</v>
      </c>
    </row>
    <row r="773" spans="1:19">
      <c r="A773" s="141">
        <f>Formulario!B781</f>
        <v>0</v>
      </c>
      <c r="B773" s="144" t="str">
        <f>IF(G773="."," ",Formulario!D$5)</f>
        <v xml:space="preserve"> </v>
      </c>
      <c r="C773" s="144" t="str">
        <f>IF(G773=".","",Formulario!D$6)</f>
        <v/>
      </c>
      <c r="D773" s="144" t="str">
        <f>IF(H773=".","",Formulario!D$7)</f>
        <v/>
      </c>
      <c r="E773" s="144" t="str">
        <f>IF(G773=".","",Formulario!J$5)</f>
        <v/>
      </c>
      <c r="F773" s="145" t="str">
        <f>IF(G773=".","",Formulario!J$6)</f>
        <v/>
      </c>
      <c r="G773" s="180" t="str">
        <f>IF(Formulario!C781&lt;&gt;"",IF(Formulario!C781=" ","Falta Depto",IF(H773=".","Error En Descripción",Formulario!C781)),IF(H773=".",".","Falta Datos"))</f>
        <v>.</v>
      </c>
      <c r="H773" s="144" t="str">
        <f>IF(Formulario!D781&lt;&gt;"",IF(Formulario!D781=" ",".",Formulario!D781),".")</f>
        <v>.</v>
      </c>
      <c r="I773" s="144" t="str">
        <f>IF(Formulario!E781&lt;&gt;"",IF(Formulario!E781=" "," ",Formulario!E781),IF(G773=".",".","Falta Propietario"))</f>
        <v>.</v>
      </c>
      <c r="J773" s="144" t="str">
        <f>IF(Formulario!F781&lt;&gt;"",IF(Formulario!F781=" "," ",Formulario!F781)," ")</f>
        <v xml:space="preserve"> </v>
      </c>
      <c r="K773" s="144" t="str">
        <f>IF(Formulario!G781&lt;&gt;"",IF(Formulario!G781=" "," ",Formulario!G781)," ")</f>
        <v xml:space="preserve"> </v>
      </c>
      <c r="L773" s="144" t="str">
        <f>IF(Formulario!H781&lt;&gt;"",IF(Formulario!H781=" "," ",Formulario!H781)," ")</f>
        <v xml:space="preserve"> </v>
      </c>
      <c r="M773" s="144" t="str">
        <f>IF(Formulario!I781&lt;&gt;"",IF(Formulario!I781=" "," ",Formulario!I781)," ")</f>
        <v xml:space="preserve"> </v>
      </c>
      <c r="N773" s="145" t="str">
        <f>IF(Formulario!J781&lt;&gt;"",IF(Formulario!J781=" "," ",Formulario!J781),IF(G773=".",".","Falta Fecha"))</f>
        <v>.</v>
      </c>
      <c r="O773" s="155">
        <f>Formulario!L781</f>
        <v>0</v>
      </c>
      <c r="P773" s="146">
        <f>IF(O773=1,"09:00",Formulario!M781)</f>
        <v>0</v>
      </c>
      <c r="Q773" s="146">
        <f>IF(O773=1,"18:30",Formulario!N781)</f>
        <v>0</v>
      </c>
      <c r="R773" s="146" t="str">
        <f>IF(Formulario!O781&lt;&gt;"",IF(Formulario!O781=" ",".",Formulario!O781),".")</f>
        <v>.</v>
      </c>
      <c r="S773" s="141" t="s">
        <v>131</v>
      </c>
    </row>
    <row r="774" spans="1:19">
      <c r="A774" s="141">
        <f>Formulario!B782</f>
        <v>0</v>
      </c>
      <c r="B774" s="144" t="str">
        <f>IF(G774="."," ",Formulario!D$5)</f>
        <v xml:space="preserve"> </v>
      </c>
      <c r="C774" s="144" t="str">
        <f>IF(G774=".","",Formulario!D$6)</f>
        <v/>
      </c>
      <c r="D774" s="144" t="str">
        <f>IF(H774=".","",Formulario!D$7)</f>
        <v/>
      </c>
      <c r="E774" s="144" t="str">
        <f>IF(G774=".","",Formulario!J$5)</f>
        <v/>
      </c>
      <c r="F774" s="145" t="str">
        <f>IF(G774=".","",Formulario!J$6)</f>
        <v/>
      </c>
      <c r="G774" s="180" t="str">
        <f>IF(Formulario!C782&lt;&gt;"",IF(Formulario!C782=" ","Falta Depto",IF(H774=".","Error En Descripción",Formulario!C782)),IF(H774=".",".","Falta Datos"))</f>
        <v>.</v>
      </c>
      <c r="H774" s="144" t="str">
        <f>IF(Formulario!D782&lt;&gt;"",IF(Formulario!D782=" ",".",Formulario!D782),".")</f>
        <v>.</v>
      </c>
      <c r="I774" s="144" t="str">
        <f>IF(Formulario!E782&lt;&gt;"",IF(Formulario!E782=" "," ",Formulario!E782),IF(G774=".",".","Falta Propietario"))</f>
        <v>.</v>
      </c>
      <c r="J774" s="144" t="str">
        <f>IF(Formulario!F782&lt;&gt;"",IF(Formulario!F782=" "," ",Formulario!F782)," ")</f>
        <v xml:space="preserve"> </v>
      </c>
      <c r="K774" s="144" t="str">
        <f>IF(Formulario!G782&lt;&gt;"",IF(Formulario!G782=" "," ",Formulario!G782)," ")</f>
        <v xml:space="preserve"> </v>
      </c>
      <c r="L774" s="144" t="str">
        <f>IF(Formulario!H782&lt;&gt;"",IF(Formulario!H782=" "," ",Formulario!H782)," ")</f>
        <v xml:space="preserve"> </v>
      </c>
      <c r="M774" s="144" t="str">
        <f>IF(Formulario!I782&lt;&gt;"",IF(Formulario!I782=" "," ",Formulario!I782)," ")</f>
        <v xml:space="preserve"> </v>
      </c>
      <c r="N774" s="145" t="str">
        <f>IF(Formulario!J782&lt;&gt;"",IF(Formulario!J782=" "," ",Formulario!J782),IF(G774=".",".","Falta Fecha"))</f>
        <v>.</v>
      </c>
      <c r="O774" s="155">
        <f>Formulario!L782</f>
        <v>0</v>
      </c>
      <c r="P774" s="146">
        <f>IF(O774=1,"09:00",Formulario!M782)</f>
        <v>0</v>
      </c>
      <c r="Q774" s="146">
        <f>IF(O774=1,"18:30",Formulario!N782)</f>
        <v>0</v>
      </c>
      <c r="R774" s="146" t="str">
        <f>IF(Formulario!O782&lt;&gt;"",IF(Formulario!O782=" ",".",Formulario!O782),".")</f>
        <v>.</v>
      </c>
      <c r="S774" s="141" t="s">
        <v>131</v>
      </c>
    </row>
    <row r="775" spans="1:19">
      <c r="A775" s="141">
        <f>Formulario!B783</f>
        <v>0</v>
      </c>
      <c r="B775" s="144" t="str">
        <f>IF(G775="."," ",Formulario!D$5)</f>
        <v xml:space="preserve"> </v>
      </c>
      <c r="C775" s="144" t="str">
        <f>IF(G775=".","",Formulario!D$6)</f>
        <v/>
      </c>
      <c r="D775" s="144" t="str">
        <f>IF(H775=".","",Formulario!D$7)</f>
        <v/>
      </c>
      <c r="E775" s="144" t="str">
        <f>IF(G775=".","",Formulario!J$5)</f>
        <v/>
      </c>
      <c r="F775" s="145" t="str">
        <f>IF(G775=".","",Formulario!J$6)</f>
        <v/>
      </c>
      <c r="G775" s="180" t="str">
        <f>IF(Formulario!C783&lt;&gt;"",IF(Formulario!C783=" ","Falta Depto",IF(H775=".","Error En Descripción",Formulario!C783)),IF(H775=".",".","Falta Datos"))</f>
        <v>.</v>
      </c>
      <c r="H775" s="144" t="str">
        <f>IF(Formulario!D783&lt;&gt;"",IF(Formulario!D783=" ",".",Formulario!D783),".")</f>
        <v>.</v>
      </c>
      <c r="I775" s="144" t="str">
        <f>IF(Formulario!E783&lt;&gt;"",IF(Formulario!E783=" "," ",Formulario!E783),IF(G775=".",".","Falta Propietario"))</f>
        <v>.</v>
      </c>
      <c r="J775" s="144" t="str">
        <f>IF(Formulario!F783&lt;&gt;"",IF(Formulario!F783=" "," ",Formulario!F783)," ")</f>
        <v xml:space="preserve"> </v>
      </c>
      <c r="K775" s="144" t="str">
        <f>IF(Formulario!G783&lt;&gt;"",IF(Formulario!G783=" "," ",Formulario!G783)," ")</f>
        <v xml:space="preserve"> </v>
      </c>
      <c r="L775" s="144" t="str">
        <f>IF(Formulario!H783&lt;&gt;"",IF(Formulario!H783=" "," ",Formulario!H783)," ")</f>
        <v xml:space="preserve"> </v>
      </c>
      <c r="M775" s="144" t="str">
        <f>IF(Formulario!I783&lt;&gt;"",IF(Formulario!I783=" "," ",Formulario!I783)," ")</f>
        <v xml:space="preserve"> </v>
      </c>
      <c r="N775" s="145" t="str">
        <f>IF(Formulario!J783&lt;&gt;"",IF(Formulario!J783=" "," ",Formulario!J783),IF(G775=".",".","Falta Fecha"))</f>
        <v>.</v>
      </c>
      <c r="O775" s="155">
        <f>Formulario!L783</f>
        <v>0</v>
      </c>
      <c r="P775" s="146">
        <f>IF(O775=1,"09:00",Formulario!M783)</f>
        <v>0</v>
      </c>
      <c r="Q775" s="146">
        <f>IF(O775=1,"18:30",Formulario!N783)</f>
        <v>0</v>
      </c>
      <c r="R775" s="146" t="str">
        <f>IF(Formulario!O783&lt;&gt;"",IF(Formulario!O783=" ",".",Formulario!O783),".")</f>
        <v>.</v>
      </c>
      <c r="S775" s="141" t="s">
        <v>131</v>
      </c>
    </row>
    <row r="776" spans="1:19">
      <c r="A776" s="141">
        <f>Formulario!B784</f>
        <v>0</v>
      </c>
      <c r="B776" s="144" t="str">
        <f>IF(G776="."," ",Formulario!D$5)</f>
        <v xml:space="preserve"> </v>
      </c>
      <c r="C776" s="144" t="str">
        <f>IF(G776=".","",Formulario!D$6)</f>
        <v/>
      </c>
      <c r="D776" s="144" t="str">
        <f>IF(H776=".","",Formulario!D$7)</f>
        <v/>
      </c>
      <c r="E776" s="144" t="str">
        <f>IF(G776=".","",Formulario!J$5)</f>
        <v/>
      </c>
      <c r="F776" s="145" t="str">
        <f>IF(G776=".","",Formulario!J$6)</f>
        <v/>
      </c>
      <c r="G776" s="180" t="str">
        <f>IF(Formulario!C784&lt;&gt;"",IF(Formulario!C784=" ","Falta Depto",IF(H776=".","Error En Descripción",Formulario!C784)),IF(H776=".",".","Falta Datos"))</f>
        <v>.</v>
      </c>
      <c r="H776" s="144" t="str">
        <f>IF(Formulario!D784&lt;&gt;"",IF(Formulario!D784=" ",".",Formulario!D784),".")</f>
        <v>.</v>
      </c>
      <c r="I776" s="144" t="str">
        <f>IF(Formulario!E784&lt;&gt;"",IF(Formulario!E784=" "," ",Formulario!E784),IF(G776=".",".","Falta Propietario"))</f>
        <v>.</v>
      </c>
      <c r="J776" s="144" t="str">
        <f>IF(Formulario!F784&lt;&gt;"",IF(Formulario!F784=" "," ",Formulario!F784)," ")</f>
        <v xml:space="preserve"> </v>
      </c>
      <c r="K776" s="144" t="str">
        <f>IF(Formulario!G784&lt;&gt;"",IF(Formulario!G784=" "," ",Formulario!G784)," ")</f>
        <v xml:space="preserve"> </v>
      </c>
      <c r="L776" s="144" t="str">
        <f>IF(Formulario!H784&lt;&gt;"",IF(Formulario!H784=" "," ",Formulario!H784)," ")</f>
        <v xml:space="preserve"> </v>
      </c>
      <c r="M776" s="144" t="str">
        <f>IF(Formulario!I784&lt;&gt;"",IF(Formulario!I784=" "," ",Formulario!I784)," ")</f>
        <v xml:space="preserve"> </v>
      </c>
      <c r="N776" s="145" t="str">
        <f>IF(Formulario!J784&lt;&gt;"",IF(Formulario!J784=" "," ",Formulario!J784),IF(G776=".",".","Falta Fecha"))</f>
        <v>.</v>
      </c>
      <c r="O776" s="155">
        <f>Formulario!L784</f>
        <v>0</v>
      </c>
      <c r="P776" s="146">
        <f>IF(O776=1,"09:00",Formulario!M784)</f>
        <v>0</v>
      </c>
      <c r="Q776" s="146">
        <f>IF(O776=1,"18:30",Formulario!N784)</f>
        <v>0</v>
      </c>
      <c r="R776" s="146" t="str">
        <f>IF(Formulario!O784&lt;&gt;"",IF(Formulario!O784=" ",".",Formulario!O784),".")</f>
        <v>.</v>
      </c>
      <c r="S776" s="141" t="s">
        <v>131</v>
      </c>
    </row>
    <row r="777" spans="1:19">
      <c r="A777" s="141">
        <f>Formulario!B785</f>
        <v>0</v>
      </c>
      <c r="B777" s="144" t="str">
        <f>IF(G777="."," ",Formulario!D$5)</f>
        <v xml:space="preserve"> </v>
      </c>
      <c r="C777" s="144" t="str">
        <f>IF(G777=".","",Formulario!D$6)</f>
        <v/>
      </c>
      <c r="D777" s="144" t="str">
        <f>IF(H777=".","",Formulario!D$7)</f>
        <v/>
      </c>
      <c r="E777" s="144" t="str">
        <f>IF(G777=".","",Formulario!J$5)</f>
        <v/>
      </c>
      <c r="F777" s="145" t="str">
        <f>IF(G777=".","",Formulario!J$6)</f>
        <v/>
      </c>
      <c r="G777" s="180" t="str">
        <f>IF(Formulario!C785&lt;&gt;"",IF(Formulario!C785=" ","Falta Depto",IF(H777=".","Error En Descripción",Formulario!C785)),IF(H777=".",".","Falta Datos"))</f>
        <v>.</v>
      </c>
      <c r="H777" s="144" t="str">
        <f>IF(Formulario!D785&lt;&gt;"",IF(Formulario!D785=" ",".",Formulario!D785),".")</f>
        <v>.</v>
      </c>
      <c r="I777" s="144" t="str">
        <f>IF(Formulario!E785&lt;&gt;"",IF(Formulario!E785=" "," ",Formulario!E785),IF(G777=".",".","Falta Propietario"))</f>
        <v>.</v>
      </c>
      <c r="J777" s="144" t="str">
        <f>IF(Formulario!F785&lt;&gt;"",IF(Formulario!F785=" "," ",Formulario!F785)," ")</f>
        <v xml:space="preserve"> </v>
      </c>
      <c r="K777" s="144" t="str">
        <f>IF(Formulario!G785&lt;&gt;"",IF(Formulario!G785=" "," ",Formulario!G785)," ")</f>
        <v xml:space="preserve"> </v>
      </c>
      <c r="L777" s="144" t="str">
        <f>IF(Formulario!H785&lt;&gt;"",IF(Formulario!H785=" "," ",Formulario!H785)," ")</f>
        <v xml:space="preserve"> </v>
      </c>
      <c r="M777" s="144" t="str">
        <f>IF(Formulario!I785&lt;&gt;"",IF(Formulario!I785=" "," ",Formulario!I785)," ")</f>
        <v xml:space="preserve"> </v>
      </c>
      <c r="N777" s="145" t="str">
        <f>IF(Formulario!J785&lt;&gt;"",IF(Formulario!J785=" "," ",Formulario!J785),IF(G777=".",".","Falta Fecha"))</f>
        <v>.</v>
      </c>
      <c r="O777" s="155">
        <f>Formulario!L785</f>
        <v>0</v>
      </c>
      <c r="P777" s="146">
        <f>IF(O777=1,"09:00",Formulario!M785)</f>
        <v>0</v>
      </c>
      <c r="Q777" s="146">
        <f>IF(O777=1,"18:30",Formulario!N785)</f>
        <v>0</v>
      </c>
      <c r="R777" s="146" t="str">
        <f>IF(Formulario!O785&lt;&gt;"",IF(Formulario!O785=" ",".",Formulario!O785),".")</f>
        <v>.</v>
      </c>
      <c r="S777" s="141" t="s">
        <v>131</v>
      </c>
    </row>
    <row r="778" spans="1:19">
      <c r="A778" s="141">
        <f>Formulario!B786</f>
        <v>0</v>
      </c>
      <c r="B778" s="144" t="str">
        <f>IF(G778="."," ",Formulario!D$5)</f>
        <v xml:space="preserve"> </v>
      </c>
      <c r="C778" s="144" t="str">
        <f>IF(G778=".","",Formulario!D$6)</f>
        <v/>
      </c>
      <c r="D778" s="144" t="str">
        <f>IF(H778=".","",Formulario!D$7)</f>
        <v/>
      </c>
      <c r="E778" s="144" t="str">
        <f>IF(G778=".","",Formulario!J$5)</f>
        <v/>
      </c>
      <c r="F778" s="145" t="str">
        <f>IF(G778=".","",Formulario!J$6)</f>
        <v/>
      </c>
      <c r="G778" s="180" t="str">
        <f>IF(Formulario!C786&lt;&gt;"",IF(Formulario!C786=" ","Falta Depto",IF(H778=".","Error En Descripción",Formulario!C786)),IF(H778=".",".","Falta Datos"))</f>
        <v>.</v>
      </c>
      <c r="H778" s="144" t="str">
        <f>IF(Formulario!D786&lt;&gt;"",IF(Formulario!D786=" ",".",Formulario!D786),".")</f>
        <v>.</v>
      </c>
      <c r="I778" s="144" t="str">
        <f>IF(Formulario!E786&lt;&gt;"",IF(Formulario!E786=" "," ",Formulario!E786),IF(G778=".",".","Falta Propietario"))</f>
        <v>.</v>
      </c>
      <c r="J778" s="144" t="str">
        <f>IF(Formulario!F786&lt;&gt;"",IF(Formulario!F786=" "," ",Formulario!F786)," ")</f>
        <v xml:space="preserve"> </v>
      </c>
      <c r="K778" s="144" t="str">
        <f>IF(Formulario!G786&lt;&gt;"",IF(Formulario!G786=" "," ",Formulario!G786)," ")</f>
        <v xml:space="preserve"> </v>
      </c>
      <c r="L778" s="144" t="str">
        <f>IF(Formulario!H786&lt;&gt;"",IF(Formulario!H786=" "," ",Formulario!H786)," ")</f>
        <v xml:space="preserve"> </v>
      </c>
      <c r="M778" s="144" t="str">
        <f>IF(Formulario!I786&lt;&gt;"",IF(Formulario!I786=" "," ",Formulario!I786)," ")</f>
        <v xml:space="preserve"> </v>
      </c>
      <c r="N778" s="145" t="str">
        <f>IF(Formulario!J786&lt;&gt;"",IF(Formulario!J786=" "," ",Formulario!J786),IF(G778=".",".","Falta Fecha"))</f>
        <v>.</v>
      </c>
      <c r="O778" s="155">
        <f>Formulario!L786</f>
        <v>0</v>
      </c>
      <c r="P778" s="146">
        <f>IF(O778=1,"09:00",Formulario!M786)</f>
        <v>0</v>
      </c>
      <c r="Q778" s="146">
        <f>IF(O778=1,"18:30",Formulario!N786)</f>
        <v>0</v>
      </c>
      <c r="R778" s="146" t="str">
        <f>IF(Formulario!O786&lt;&gt;"",IF(Formulario!O786=" ",".",Formulario!O786),".")</f>
        <v>.</v>
      </c>
      <c r="S778" s="141" t="s">
        <v>131</v>
      </c>
    </row>
    <row r="779" spans="1:19">
      <c r="A779" s="141">
        <f>Formulario!B787</f>
        <v>0</v>
      </c>
      <c r="B779" s="144" t="str">
        <f>IF(G779="."," ",Formulario!D$5)</f>
        <v xml:space="preserve"> </v>
      </c>
      <c r="C779" s="144" t="str">
        <f>IF(G779=".","",Formulario!D$6)</f>
        <v/>
      </c>
      <c r="D779" s="144" t="str">
        <f>IF(H779=".","",Formulario!D$7)</f>
        <v/>
      </c>
      <c r="E779" s="144" t="str">
        <f>IF(G779=".","",Formulario!J$5)</f>
        <v/>
      </c>
      <c r="F779" s="145" t="str">
        <f>IF(G779=".","",Formulario!J$6)</f>
        <v/>
      </c>
      <c r="G779" s="180" t="str">
        <f>IF(Formulario!C787&lt;&gt;"",IF(Formulario!C787=" ","Falta Depto",IF(H779=".","Error En Descripción",Formulario!C787)),IF(H779=".",".","Falta Datos"))</f>
        <v>.</v>
      </c>
      <c r="H779" s="144" t="str">
        <f>IF(Formulario!D787&lt;&gt;"",IF(Formulario!D787=" ",".",Formulario!D787),".")</f>
        <v>.</v>
      </c>
      <c r="I779" s="144" t="str">
        <f>IF(Formulario!E787&lt;&gt;"",IF(Formulario!E787=" "," ",Formulario!E787),IF(G779=".",".","Falta Propietario"))</f>
        <v>.</v>
      </c>
      <c r="J779" s="144" t="str">
        <f>IF(Formulario!F787&lt;&gt;"",IF(Formulario!F787=" "," ",Formulario!F787)," ")</f>
        <v xml:space="preserve"> </v>
      </c>
      <c r="K779" s="144" t="str">
        <f>IF(Formulario!G787&lt;&gt;"",IF(Formulario!G787=" "," ",Formulario!G787)," ")</f>
        <v xml:space="preserve"> </v>
      </c>
      <c r="L779" s="144" t="str">
        <f>IF(Formulario!H787&lt;&gt;"",IF(Formulario!H787=" "," ",Formulario!H787)," ")</f>
        <v xml:space="preserve"> </v>
      </c>
      <c r="M779" s="144" t="str">
        <f>IF(Formulario!I787&lt;&gt;"",IF(Formulario!I787=" "," ",Formulario!I787)," ")</f>
        <v xml:space="preserve"> </v>
      </c>
      <c r="N779" s="145" t="str">
        <f>IF(Formulario!J787&lt;&gt;"",IF(Formulario!J787=" "," ",Formulario!J787),IF(G779=".",".","Falta Fecha"))</f>
        <v>.</v>
      </c>
      <c r="O779" s="155">
        <f>Formulario!L787</f>
        <v>0</v>
      </c>
      <c r="P779" s="146">
        <f>IF(O779=1,"09:00",Formulario!M787)</f>
        <v>0</v>
      </c>
      <c r="Q779" s="146">
        <f>IF(O779=1,"18:30",Formulario!N787)</f>
        <v>0</v>
      </c>
      <c r="R779" s="146" t="str">
        <f>IF(Formulario!O787&lt;&gt;"",IF(Formulario!O787=" ",".",Formulario!O787),".")</f>
        <v>.</v>
      </c>
      <c r="S779" s="141" t="s">
        <v>131</v>
      </c>
    </row>
    <row r="780" spans="1:19">
      <c r="A780" s="141">
        <f>Formulario!B788</f>
        <v>0</v>
      </c>
      <c r="B780" s="144" t="str">
        <f>IF(G780="."," ",Formulario!D$5)</f>
        <v xml:space="preserve"> </v>
      </c>
      <c r="C780" s="144" t="str">
        <f>IF(G780=".","",Formulario!D$6)</f>
        <v/>
      </c>
      <c r="D780" s="144" t="str">
        <f>IF(H780=".","",Formulario!D$7)</f>
        <v/>
      </c>
      <c r="E780" s="144" t="str">
        <f>IF(G780=".","",Formulario!J$5)</f>
        <v/>
      </c>
      <c r="F780" s="145" t="str">
        <f>IF(G780=".","",Formulario!J$6)</f>
        <v/>
      </c>
      <c r="G780" s="180" t="str">
        <f>IF(Formulario!C788&lt;&gt;"",IF(Formulario!C788=" ","Falta Depto",IF(H780=".","Error En Descripción",Formulario!C788)),IF(H780=".",".","Falta Datos"))</f>
        <v>.</v>
      </c>
      <c r="H780" s="144" t="str">
        <f>IF(Formulario!D788&lt;&gt;"",IF(Formulario!D788=" ",".",Formulario!D788),".")</f>
        <v>.</v>
      </c>
      <c r="I780" s="144" t="str">
        <f>IF(Formulario!E788&lt;&gt;"",IF(Formulario!E788=" "," ",Formulario!E788),IF(G780=".",".","Falta Propietario"))</f>
        <v>.</v>
      </c>
      <c r="J780" s="144" t="str">
        <f>IF(Formulario!F788&lt;&gt;"",IF(Formulario!F788=" "," ",Formulario!F788)," ")</f>
        <v xml:space="preserve"> </v>
      </c>
      <c r="K780" s="144" t="str">
        <f>IF(Formulario!G788&lt;&gt;"",IF(Formulario!G788=" "," ",Formulario!G788)," ")</f>
        <v xml:space="preserve"> </v>
      </c>
      <c r="L780" s="144" t="str">
        <f>IF(Formulario!H788&lt;&gt;"",IF(Formulario!H788=" "," ",Formulario!H788)," ")</f>
        <v xml:space="preserve"> </v>
      </c>
      <c r="M780" s="144" t="str">
        <f>IF(Formulario!I788&lt;&gt;"",IF(Formulario!I788=" "," ",Formulario!I788)," ")</f>
        <v xml:space="preserve"> </v>
      </c>
      <c r="N780" s="145" t="str">
        <f>IF(Formulario!J788&lt;&gt;"",IF(Formulario!J788=" "," ",Formulario!J788),IF(G780=".",".","Falta Fecha"))</f>
        <v>.</v>
      </c>
      <c r="O780" s="155">
        <f>Formulario!L788</f>
        <v>0</v>
      </c>
      <c r="P780" s="146">
        <f>IF(O780=1,"09:00",Formulario!M788)</f>
        <v>0</v>
      </c>
      <c r="Q780" s="146">
        <f>IF(O780=1,"18:30",Formulario!N788)</f>
        <v>0</v>
      </c>
      <c r="R780" s="146" t="str">
        <f>IF(Formulario!O788&lt;&gt;"",IF(Formulario!O788=" ",".",Formulario!O788),".")</f>
        <v>.</v>
      </c>
      <c r="S780" s="141" t="s">
        <v>131</v>
      </c>
    </row>
    <row r="781" spans="1:19">
      <c r="A781" s="141">
        <f>Formulario!B789</f>
        <v>0</v>
      </c>
      <c r="B781" s="144" t="str">
        <f>IF(G781="."," ",Formulario!D$5)</f>
        <v xml:space="preserve"> </v>
      </c>
      <c r="C781" s="144" t="str">
        <f>IF(G781=".","",Formulario!D$6)</f>
        <v/>
      </c>
      <c r="D781" s="144" t="str">
        <f>IF(H781=".","",Formulario!D$7)</f>
        <v/>
      </c>
      <c r="E781" s="144" t="str">
        <f>IF(G781=".","",Formulario!J$5)</f>
        <v/>
      </c>
      <c r="F781" s="145" t="str">
        <f>IF(G781=".","",Formulario!J$6)</f>
        <v/>
      </c>
      <c r="G781" s="180" t="str">
        <f>IF(Formulario!C789&lt;&gt;"",IF(Formulario!C789=" ","Falta Depto",IF(H781=".","Error En Descripción",Formulario!C789)),IF(H781=".",".","Falta Datos"))</f>
        <v>.</v>
      </c>
      <c r="H781" s="144" t="str">
        <f>IF(Formulario!D789&lt;&gt;"",IF(Formulario!D789=" ",".",Formulario!D789),".")</f>
        <v>.</v>
      </c>
      <c r="I781" s="144" t="str">
        <f>IF(Formulario!E789&lt;&gt;"",IF(Formulario!E789=" "," ",Formulario!E789),IF(G781=".",".","Falta Propietario"))</f>
        <v>.</v>
      </c>
      <c r="J781" s="144" t="str">
        <f>IF(Formulario!F789&lt;&gt;"",IF(Formulario!F789=" "," ",Formulario!F789)," ")</f>
        <v xml:space="preserve"> </v>
      </c>
      <c r="K781" s="144" t="str">
        <f>IF(Formulario!G789&lt;&gt;"",IF(Formulario!G789=" "," ",Formulario!G789)," ")</f>
        <v xml:space="preserve"> </v>
      </c>
      <c r="L781" s="144" t="str">
        <f>IF(Formulario!H789&lt;&gt;"",IF(Formulario!H789=" "," ",Formulario!H789)," ")</f>
        <v xml:space="preserve"> </v>
      </c>
      <c r="M781" s="144" t="str">
        <f>IF(Formulario!I789&lt;&gt;"",IF(Formulario!I789=" "," ",Formulario!I789)," ")</f>
        <v xml:space="preserve"> </v>
      </c>
      <c r="N781" s="145" t="str">
        <f>IF(Formulario!J789&lt;&gt;"",IF(Formulario!J789=" "," ",Formulario!J789),IF(G781=".",".","Falta Fecha"))</f>
        <v>.</v>
      </c>
      <c r="O781" s="155">
        <f>Formulario!L789</f>
        <v>0</v>
      </c>
      <c r="P781" s="146">
        <f>IF(O781=1,"09:00",Formulario!M789)</f>
        <v>0</v>
      </c>
      <c r="Q781" s="146">
        <f>IF(O781=1,"18:30",Formulario!N789)</f>
        <v>0</v>
      </c>
      <c r="R781" s="146" t="str">
        <f>IF(Formulario!O789&lt;&gt;"",IF(Formulario!O789=" ",".",Formulario!O789),".")</f>
        <v>.</v>
      </c>
      <c r="S781" s="141" t="s">
        <v>131</v>
      </c>
    </row>
    <row r="782" spans="1:19">
      <c r="A782" s="141">
        <f>Formulario!B790</f>
        <v>0</v>
      </c>
      <c r="B782" s="144" t="str">
        <f>IF(G782="."," ",Formulario!D$5)</f>
        <v xml:space="preserve"> </v>
      </c>
      <c r="C782" s="144" t="str">
        <f>IF(G782=".","",Formulario!D$6)</f>
        <v/>
      </c>
      <c r="D782" s="144" t="str">
        <f>IF(H782=".","",Formulario!D$7)</f>
        <v/>
      </c>
      <c r="E782" s="144" t="str">
        <f>IF(G782=".","",Formulario!J$5)</f>
        <v/>
      </c>
      <c r="F782" s="145" t="str">
        <f>IF(G782=".","",Formulario!J$6)</f>
        <v/>
      </c>
      <c r="G782" s="180" t="str">
        <f>IF(Formulario!C790&lt;&gt;"",IF(Formulario!C790=" ","Falta Depto",IF(H782=".","Error En Descripción",Formulario!C790)),IF(H782=".",".","Falta Datos"))</f>
        <v>.</v>
      </c>
      <c r="H782" s="144" t="str">
        <f>IF(Formulario!D790&lt;&gt;"",IF(Formulario!D790=" ",".",Formulario!D790),".")</f>
        <v>.</v>
      </c>
      <c r="I782" s="144" t="str">
        <f>IF(Formulario!E790&lt;&gt;"",IF(Formulario!E790=" "," ",Formulario!E790),IF(G782=".",".","Falta Propietario"))</f>
        <v>.</v>
      </c>
      <c r="J782" s="144" t="str">
        <f>IF(Formulario!F790&lt;&gt;"",IF(Formulario!F790=" "," ",Formulario!F790)," ")</f>
        <v xml:space="preserve"> </v>
      </c>
      <c r="K782" s="144" t="str">
        <f>IF(Formulario!G790&lt;&gt;"",IF(Formulario!G790=" "," ",Formulario!G790)," ")</f>
        <v xml:space="preserve"> </v>
      </c>
      <c r="L782" s="144" t="str">
        <f>IF(Formulario!H790&lt;&gt;"",IF(Formulario!H790=" "," ",Formulario!H790)," ")</f>
        <v xml:space="preserve"> </v>
      </c>
      <c r="M782" s="144" t="str">
        <f>IF(Formulario!I790&lt;&gt;"",IF(Formulario!I790=" "," ",Formulario!I790)," ")</f>
        <v xml:space="preserve"> </v>
      </c>
      <c r="N782" s="145" t="str">
        <f>IF(Formulario!J790&lt;&gt;"",IF(Formulario!J790=" "," ",Formulario!J790),IF(G782=".",".","Falta Fecha"))</f>
        <v>.</v>
      </c>
      <c r="O782" s="155">
        <f>Formulario!L790</f>
        <v>0</v>
      </c>
      <c r="P782" s="146">
        <f>IF(O782=1,"09:00",Formulario!M790)</f>
        <v>0</v>
      </c>
      <c r="Q782" s="146">
        <f>IF(O782=1,"18:30",Formulario!N790)</f>
        <v>0</v>
      </c>
      <c r="R782" s="146" t="str">
        <f>IF(Formulario!O790&lt;&gt;"",IF(Formulario!O790=" ",".",Formulario!O790),".")</f>
        <v>.</v>
      </c>
      <c r="S782" s="141" t="s">
        <v>131</v>
      </c>
    </row>
    <row r="783" spans="1:19">
      <c r="A783" s="141">
        <f>Formulario!B791</f>
        <v>0</v>
      </c>
      <c r="B783" s="144" t="str">
        <f>IF(G783="."," ",Formulario!D$5)</f>
        <v xml:space="preserve"> </v>
      </c>
      <c r="C783" s="144" t="str">
        <f>IF(G783=".","",Formulario!D$6)</f>
        <v/>
      </c>
      <c r="D783" s="144" t="str">
        <f>IF(H783=".","",Formulario!D$7)</f>
        <v/>
      </c>
      <c r="E783" s="144" t="str">
        <f>IF(G783=".","",Formulario!J$5)</f>
        <v/>
      </c>
      <c r="F783" s="145" t="str">
        <f>IF(G783=".","",Formulario!J$6)</f>
        <v/>
      </c>
      <c r="G783" s="180" t="str">
        <f>IF(Formulario!C791&lt;&gt;"",IF(Formulario!C791=" ","Falta Depto",IF(H783=".","Error En Descripción",Formulario!C791)),IF(H783=".",".","Falta Datos"))</f>
        <v>.</v>
      </c>
      <c r="H783" s="144" t="str">
        <f>IF(Formulario!D791&lt;&gt;"",IF(Formulario!D791=" ",".",Formulario!D791),".")</f>
        <v>.</v>
      </c>
      <c r="I783" s="144" t="str">
        <f>IF(Formulario!E791&lt;&gt;"",IF(Formulario!E791=" "," ",Formulario!E791),IF(G783=".",".","Falta Propietario"))</f>
        <v>.</v>
      </c>
      <c r="J783" s="144" t="str">
        <f>IF(Formulario!F791&lt;&gt;"",IF(Formulario!F791=" "," ",Formulario!F791)," ")</f>
        <v xml:space="preserve"> </v>
      </c>
      <c r="K783" s="144" t="str">
        <f>IF(Formulario!G791&lt;&gt;"",IF(Formulario!G791=" "," ",Formulario!G791)," ")</f>
        <v xml:space="preserve"> </v>
      </c>
      <c r="L783" s="144" t="str">
        <f>IF(Formulario!H791&lt;&gt;"",IF(Formulario!H791=" "," ",Formulario!H791)," ")</f>
        <v xml:space="preserve"> </v>
      </c>
      <c r="M783" s="144" t="str">
        <f>IF(Formulario!I791&lt;&gt;"",IF(Formulario!I791=" "," ",Formulario!I791)," ")</f>
        <v xml:space="preserve"> </v>
      </c>
      <c r="N783" s="145" t="str">
        <f>IF(Formulario!J791&lt;&gt;"",IF(Formulario!J791=" "," ",Formulario!J791),IF(G783=".",".","Falta Fecha"))</f>
        <v>.</v>
      </c>
      <c r="O783" s="155">
        <f>Formulario!L791</f>
        <v>0</v>
      </c>
      <c r="P783" s="146">
        <f>IF(O783=1,"09:00",Formulario!M791)</f>
        <v>0</v>
      </c>
      <c r="Q783" s="146">
        <f>IF(O783=1,"18:30",Formulario!N791)</f>
        <v>0</v>
      </c>
      <c r="R783" s="146" t="str">
        <f>IF(Formulario!O791&lt;&gt;"",IF(Formulario!O791=" ",".",Formulario!O791),".")</f>
        <v>.</v>
      </c>
      <c r="S783" s="141" t="s">
        <v>131</v>
      </c>
    </row>
    <row r="784" spans="1:19">
      <c r="A784" s="141">
        <f>Formulario!B792</f>
        <v>0</v>
      </c>
      <c r="B784" s="144" t="str">
        <f>IF(G784="."," ",Formulario!D$5)</f>
        <v xml:space="preserve"> </v>
      </c>
      <c r="C784" s="144" t="str">
        <f>IF(G784=".","",Formulario!D$6)</f>
        <v/>
      </c>
      <c r="D784" s="144" t="str">
        <f>IF(H784=".","",Formulario!D$7)</f>
        <v/>
      </c>
      <c r="E784" s="144" t="str">
        <f>IF(G784=".","",Formulario!J$5)</f>
        <v/>
      </c>
      <c r="F784" s="145" t="str">
        <f>IF(G784=".","",Formulario!J$6)</f>
        <v/>
      </c>
      <c r="G784" s="180" t="str">
        <f>IF(Formulario!C792&lt;&gt;"",IF(Formulario!C792=" ","Falta Depto",IF(H784=".","Error En Descripción",Formulario!C792)),IF(H784=".",".","Falta Datos"))</f>
        <v>.</v>
      </c>
      <c r="H784" s="144" t="str">
        <f>IF(Formulario!D792&lt;&gt;"",IF(Formulario!D792=" ",".",Formulario!D792),".")</f>
        <v>.</v>
      </c>
      <c r="I784" s="144" t="str">
        <f>IF(Formulario!E792&lt;&gt;"",IF(Formulario!E792=" "," ",Formulario!E792),IF(G784=".",".","Falta Propietario"))</f>
        <v>.</v>
      </c>
      <c r="J784" s="144" t="str">
        <f>IF(Formulario!F792&lt;&gt;"",IF(Formulario!F792=" "," ",Formulario!F792)," ")</f>
        <v xml:space="preserve"> </v>
      </c>
      <c r="K784" s="144" t="str">
        <f>IF(Formulario!G792&lt;&gt;"",IF(Formulario!G792=" "," ",Formulario!G792)," ")</f>
        <v xml:space="preserve"> </v>
      </c>
      <c r="L784" s="144" t="str">
        <f>IF(Formulario!H792&lt;&gt;"",IF(Formulario!H792=" "," ",Formulario!H792)," ")</f>
        <v xml:space="preserve"> </v>
      </c>
      <c r="M784" s="144" t="str">
        <f>IF(Formulario!I792&lt;&gt;"",IF(Formulario!I792=" "," ",Formulario!I792)," ")</f>
        <v xml:space="preserve"> </v>
      </c>
      <c r="N784" s="145" t="str">
        <f>IF(Formulario!J792&lt;&gt;"",IF(Formulario!J792=" "," ",Formulario!J792),IF(G784=".",".","Falta Fecha"))</f>
        <v>.</v>
      </c>
      <c r="O784" s="155">
        <f>Formulario!L792</f>
        <v>0</v>
      </c>
      <c r="P784" s="146">
        <f>IF(O784=1,"09:00",Formulario!M792)</f>
        <v>0</v>
      </c>
      <c r="Q784" s="146">
        <f>IF(O784=1,"18:30",Formulario!N792)</f>
        <v>0</v>
      </c>
      <c r="R784" s="146" t="str">
        <f>IF(Formulario!O792&lt;&gt;"",IF(Formulario!O792=" ",".",Formulario!O792),".")</f>
        <v>.</v>
      </c>
      <c r="S784" s="141" t="s">
        <v>131</v>
      </c>
    </row>
    <row r="785" spans="1:19">
      <c r="A785" s="141">
        <f>Formulario!B793</f>
        <v>0</v>
      </c>
      <c r="B785" s="144" t="str">
        <f>IF(G785="."," ",Formulario!D$5)</f>
        <v xml:space="preserve"> </v>
      </c>
      <c r="C785" s="144" t="str">
        <f>IF(G785=".","",Formulario!D$6)</f>
        <v/>
      </c>
      <c r="D785" s="144" t="str">
        <f>IF(H785=".","",Formulario!D$7)</f>
        <v/>
      </c>
      <c r="E785" s="144" t="str">
        <f>IF(G785=".","",Formulario!J$5)</f>
        <v/>
      </c>
      <c r="F785" s="145" t="str">
        <f>IF(G785=".","",Formulario!J$6)</f>
        <v/>
      </c>
      <c r="G785" s="180" t="str">
        <f>IF(Formulario!C793&lt;&gt;"",IF(Formulario!C793=" ","Falta Depto",IF(H785=".","Error En Descripción",Formulario!C793)),IF(H785=".",".","Falta Datos"))</f>
        <v>.</v>
      </c>
      <c r="H785" s="144" t="str">
        <f>IF(Formulario!D793&lt;&gt;"",IF(Formulario!D793=" ",".",Formulario!D793),".")</f>
        <v>.</v>
      </c>
      <c r="I785" s="144" t="str">
        <f>IF(Formulario!E793&lt;&gt;"",IF(Formulario!E793=" "," ",Formulario!E793),IF(G785=".",".","Falta Propietario"))</f>
        <v>.</v>
      </c>
      <c r="J785" s="144" t="str">
        <f>IF(Formulario!F793&lt;&gt;"",IF(Formulario!F793=" "," ",Formulario!F793)," ")</f>
        <v xml:space="preserve"> </v>
      </c>
      <c r="K785" s="144" t="str">
        <f>IF(Formulario!G793&lt;&gt;"",IF(Formulario!G793=" "," ",Formulario!G793)," ")</f>
        <v xml:space="preserve"> </v>
      </c>
      <c r="L785" s="144" t="str">
        <f>IF(Formulario!H793&lt;&gt;"",IF(Formulario!H793=" "," ",Formulario!H793)," ")</f>
        <v xml:space="preserve"> </v>
      </c>
      <c r="M785" s="144" t="str">
        <f>IF(Formulario!I793&lt;&gt;"",IF(Formulario!I793=" "," ",Formulario!I793)," ")</f>
        <v xml:space="preserve"> </v>
      </c>
      <c r="N785" s="145" t="str">
        <f>IF(Formulario!J793&lt;&gt;"",IF(Formulario!J793=" "," ",Formulario!J793),IF(G785=".",".","Falta Fecha"))</f>
        <v>.</v>
      </c>
      <c r="O785" s="155">
        <f>Formulario!L793</f>
        <v>0</v>
      </c>
      <c r="P785" s="146">
        <f>IF(O785=1,"09:00",Formulario!M793)</f>
        <v>0</v>
      </c>
      <c r="Q785" s="146">
        <f>IF(O785=1,"18:30",Formulario!N793)</f>
        <v>0</v>
      </c>
      <c r="R785" s="146" t="str">
        <f>IF(Formulario!O793&lt;&gt;"",IF(Formulario!O793=" ",".",Formulario!O793),".")</f>
        <v>.</v>
      </c>
      <c r="S785" s="141" t="s">
        <v>131</v>
      </c>
    </row>
    <row r="786" spans="1:19">
      <c r="A786" s="141">
        <f>Formulario!B794</f>
        <v>0</v>
      </c>
      <c r="B786" s="144" t="str">
        <f>IF(G786="."," ",Formulario!D$5)</f>
        <v xml:space="preserve"> </v>
      </c>
      <c r="C786" s="144" t="str">
        <f>IF(G786=".","",Formulario!D$6)</f>
        <v/>
      </c>
      <c r="D786" s="144" t="str">
        <f>IF(H786=".","",Formulario!D$7)</f>
        <v/>
      </c>
      <c r="E786" s="144" t="str">
        <f>IF(G786=".","",Formulario!J$5)</f>
        <v/>
      </c>
      <c r="F786" s="145" t="str">
        <f>IF(G786=".","",Formulario!J$6)</f>
        <v/>
      </c>
      <c r="G786" s="180" t="str">
        <f>IF(Formulario!C794&lt;&gt;"",IF(Formulario!C794=" ","Falta Depto",IF(H786=".","Error En Descripción",Formulario!C794)),IF(H786=".",".","Falta Datos"))</f>
        <v>.</v>
      </c>
      <c r="H786" s="144" t="str">
        <f>IF(Formulario!D794&lt;&gt;"",IF(Formulario!D794=" ",".",Formulario!D794),".")</f>
        <v>.</v>
      </c>
      <c r="I786" s="144" t="str">
        <f>IF(Formulario!E794&lt;&gt;"",IF(Formulario!E794=" "," ",Formulario!E794),IF(G786=".",".","Falta Propietario"))</f>
        <v>.</v>
      </c>
      <c r="J786" s="144" t="str">
        <f>IF(Formulario!F794&lt;&gt;"",IF(Formulario!F794=" "," ",Formulario!F794)," ")</f>
        <v xml:space="preserve"> </v>
      </c>
      <c r="K786" s="144" t="str">
        <f>IF(Formulario!G794&lt;&gt;"",IF(Formulario!G794=" "," ",Formulario!G794)," ")</f>
        <v xml:space="preserve"> </v>
      </c>
      <c r="L786" s="144" t="str">
        <f>IF(Formulario!H794&lt;&gt;"",IF(Formulario!H794=" "," ",Formulario!H794)," ")</f>
        <v xml:space="preserve"> </v>
      </c>
      <c r="M786" s="144" t="str">
        <f>IF(Formulario!I794&lt;&gt;"",IF(Formulario!I794=" "," ",Formulario!I794)," ")</f>
        <v xml:space="preserve"> </v>
      </c>
      <c r="N786" s="145" t="str">
        <f>IF(Formulario!J794&lt;&gt;"",IF(Formulario!J794=" "," ",Formulario!J794),IF(G786=".",".","Falta Fecha"))</f>
        <v>.</v>
      </c>
      <c r="O786" s="155">
        <f>Formulario!L794</f>
        <v>0</v>
      </c>
      <c r="P786" s="146">
        <f>IF(O786=1,"09:00",Formulario!M794)</f>
        <v>0</v>
      </c>
      <c r="Q786" s="146">
        <f>IF(O786=1,"18:30",Formulario!N794)</f>
        <v>0</v>
      </c>
      <c r="R786" s="146" t="str">
        <f>IF(Formulario!O794&lt;&gt;"",IF(Formulario!O794=" ",".",Formulario!O794),".")</f>
        <v>.</v>
      </c>
      <c r="S786" s="141" t="s">
        <v>131</v>
      </c>
    </row>
    <row r="787" spans="1:19">
      <c r="A787" s="141">
        <f>Formulario!B795</f>
        <v>0</v>
      </c>
      <c r="B787" s="144" t="str">
        <f>IF(G787="."," ",Formulario!D$5)</f>
        <v xml:space="preserve"> </v>
      </c>
      <c r="C787" s="144" t="str">
        <f>IF(G787=".","",Formulario!D$6)</f>
        <v/>
      </c>
      <c r="D787" s="144" t="str">
        <f>IF(H787=".","",Formulario!D$7)</f>
        <v/>
      </c>
      <c r="E787" s="144" t="str">
        <f>IF(G787=".","",Formulario!J$5)</f>
        <v/>
      </c>
      <c r="F787" s="145" t="str">
        <f>IF(G787=".","",Formulario!J$6)</f>
        <v/>
      </c>
      <c r="G787" s="180" t="str">
        <f>IF(Formulario!C795&lt;&gt;"",IF(Formulario!C795=" ","Falta Depto",IF(H787=".","Error En Descripción",Formulario!C795)),IF(H787=".",".","Falta Datos"))</f>
        <v>.</v>
      </c>
      <c r="H787" s="144" t="str">
        <f>IF(Formulario!D795&lt;&gt;"",IF(Formulario!D795=" ",".",Formulario!D795),".")</f>
        <v>.</v>
      </c>
      <c r="I787" s="144" t="str">
        <f>IF(Formulario!E795&lt;&gt;"",IF(Formulario!E795=" "," ",Formulario!E795),IF(G787=".",".","Falta Propietario"))</f>
        <v>.</v>
      </c>
      <c r="J787" s="144" t="str">
        <f>IF(Formulario!F795&lt;&gt;"",IF(Formulario!F795=" "," ",Formulario!F795)," ")</f>
        <v xml:space="preserve"> </v>
      </c>
      <c r="K787" s="144" t="str">
        <f>IF(Formulario!G795&lt;&gt;"",IF(Formulario!G795=" "," ",Formulario!G795)," ")</f>
        <v xml:space="preserve"> </v>
      </c>
      <c r="L787" s="144" t="str">
        <f>IF(Formulario!H795&lt;&gt;"",IF(Formulario!H795=" "," ",Formulario!H795)," ")</f>
        <v xml:space="preserve"> </v>
      </c>
      <c r="M787" s="144" t="str">
        <f>IF(Formulario!I795&lt;&gt;"",IF(Formulario!I795=" "," ",Formulario!I795)," ")</f>
        <v xml:space="preserve"> </v>
      </c>
      <c r="N787" s="145" t="str">
        <f>IF(Formulario!J795&lt;&gt;"",IF(Formulario!J795=" "," ",Formulario!J795),IF(G787=".",".","Falta Fecha"))</f>
        <v>.</v>
      </c>
      <c r="O787" s="155">
        <f>Formulario!L795</f>
        <v>0</v>
      </c>
      <c r="P787" s="146">
        <f>IF(O787=1,"09:00",Formulario!M795)</f>
        <v>0</v>
      </c>
      <c r="Q787" s="146">
        <f>IF(O787=1,"18:30",Formulario!N795)</f>
        <v>0</v>
      </c>
      <c r="R787" s="146" t="str">
        <f>IF(Formulario!O795&lt;&gt;"",IF(Formulario!O795=" ",".",Formulario!O795),".")</f>
        <v>.</v>
      </c>
      <c r="S787" s="141" t="s">
        <v>131</v>
      </c>
    </row>
    <row r="788" spans="1:19">
      <c r="A788" s="141">
        <f>Formulario!B796</f>
        <v>0</v>
      </c>
      <c r="B788" s="144" t="str">
        <f>IF(G788="."," ",Formulario!D$5)</f>
        <v xml:space="preserve"> </v>
      </c>
      <c r="C788" s="144" t="str">
        <f>IF(G788=".","",Formulario!D$6)</f>
        <v/>
      </c>
      <c r="D788" s="144" t="str">
        <f>IF(H788=".","",Formulario!D$7)</f>
        <v/>
      </c>
      <c r="E788" s="144" t="str">
        <f>IF(G788=".","",Formulario!J$5)</f>
        <v/>
      </c>
      <c r="F788" s="145" t="str">
        <f>IF(G788=".","",Formulario!J$6)</f>
        <v/>
      </c>
      <c r="G788" s="180" t="str">
        <f>IF(Formulario!C796&lt;&gt;"",IF(Formulario!C796=" ","Falta Depto",IF(H788=".","Error En Descripción",Formulario!C796)),IF(H788=".",".","Falta Datos"))</f>
        <v>.</v>
      </c>
      <c r="H788" s="144" t="str">
        <f>IF(Formulario!D796&lt;&gt;"",IF(Formulario!D796=" ",".",Formulario!D796),".")</f>
        <v>.</v>
      </c>
      <c r="I788" s="144" t="str">
        <f>IF(Formulario!E796&lt;&gt;"",IF(Formulario!E796=" "," ",Formulario!E796),IF(G788=".",".","Falta Propietario"))</f>
        <v>.</v>
      </c>
      <c r="J788" s="144" t="str">
        <f>IF(Formulario!F796&lt;&gt;"",IF(Formulario!F796=" "," ",Formulario!F796)," ")</f>
        <v xml:space="preserve"> </v>
      </c>
      <c r="K788" s="144" t="str">
        <f>IF(Formulario!G796&lt;&gt;"",IF(Formulario!G796=" "," ",Formulario!G796)," ")</f>
        <v xml:space="preserve"> </v>
      </c>
      <c r="L788" s="144" t="str">
        <f>IF(Formulario!H796&lt;&gt;"",IF(Formulario!H796=" "," ",Formulario!H796)," ")</f>
        <v xml:space="preserve"> </v>
      </c>
      <c r="M788" s="144" t="str">
        <f>IF(Formulario!I796&lt;&gt;"",IF(Formulario!I796=" "," ",Formulario!I796)," ")</f>
        <v xml:space="preserve"> </v>
      </c>
      <c r="N788" s="145" t="str">
        <f>IF(Formulario!J796&lt;&gt;"",IF(Formulario!J796=" "," ",Formulario!J796),IF(G788=".",".","Falta Fecha"))</f>
        <v>.</v>
      </c>
      <c r="O788" s="155">
        <f>Formulario!L796</f>
        <v>0</v>
      </c>
      <c r="P788" s="146">
        <f>IF(O788=1,"09:00",Formulario!M796)</f>
        <v>0</v>
      </c>
      <c r="Q788" s="146">
        <f>IF(O788=1,"18:30",Formulario!N796)</f>
        <v>0</v>
      </c>
      <c r="R788" s="146" t="str">
        <f>IF(Formulario!O796&lt;&gt;"",IF(Formulario!O796=" ",".",Formulario!O796),".")</f>
        <v>.</v>
      </c>
      <c r="S788" s="141" t="s">
        <v>131</v>
      </c>
    </row>
    <row r="789" spans="1:19">
      <c r="A789" s="141">
        <f>Formulario!B797</f>
        <v>0</v>
      </c>
      <c r="B789" s="144" t="str">
        <f>IF(G789="."," ",Formulario!D$5)</f>
        <v xml:space="preserve"> </v>
      </c>
      <c r="C789" s="144" t="str">
        <f>IF(G789=".","",Formulario!D$6)</f>
        <v/>
      </c>
      <c r="D789" s="144" t="str">
        <f>IF(H789=".","",Formulario!D$7)</f>
        <v/>
      </c>
      <c r="E789" s="144" t="str">
        <f>IF(G789=".","",Formulario!J$5)</f>
        <v/>
      </c>
      <c r="F789" s="145" t="str">
        <f>IF(G789=".","",Formulario!J$6)</f>
        <v/>
      </c>
      <c r="G789" s="180" t="str">
        <f>IF(Formulario!C797&lt;&gt;"",IF(Formulario!C797=" ","Falta Depto",IF(H789=".","Error En Descripción",Formulario!C797)),IF(H789=".",".","Falta Datos"))</f>
        <v>.</v>
      </c>
      <c r="H789" s="144" t="str">
        <f>IF(Formulario!D797&lt;&gt;"",IF(Formulario!D797=" ",".",Formulario!D797),".")</f>
        <v>.</v>
      </c>
      <c r="I789" s="144" t="str">
        <f>IF(Formulario!E797&lt;&gt;"",IF(Formulario!E797=" "," ",Formulario!E797),IF(G789=".",".","Falta Propietario"))</f>
        <v>.</v>
      </c>
      <c r="J789" s="144" t="str">
        <f>IF(Formulario!F797&lt;&gt;"",IF(Formulario!F797=" "," ",Formulario!F797)," ")</f>
        <v xml:space="preserve"> </v>
      </c>
      <c r="K789" s="144" t="str">
        <f>IF(Formulario!G797&lt;&gt;"",IF(Formulario!G797=" "," ",Formulario!G797)," ")</f>
        <v xml:space="preserve"> </v>
      </c>
      <c r="L789" s="144" t="str">
        <f>IF(Formulario!H797&lt;&gt;"",IF(Formulario!H797=" "," ",Formulario!H797)," ")</f>
        <v xml:space="preserve"> </v>
      </c>
      <c r="M789" s="144" t="str">
        <f>IF(Formulario!I797&lt;&gt;"",IF(Formulario!I797=" "," ",Formulario!I797)," ")</f>
        <v xml:space="preserve"> </v>
      </c>
      <c r="N789" s="145" t="str">
        <f>IF(Formulario!J797&lt;&gt;"",IF(Formulario!J797=" "," ",Formulario!J797),IF(G789=".",".","Falta Fecha"))</f>
        <v>.</v>
      </c>
      <c r="O789" s="155">
        <f>Formulario!L797</f>
        <v>0</v>
      </c>
      <c r="P789" s="146">
        <f>IF(O789=1,"09:00",Formulario!M797)</f>
        <v>0</v>
      </c>
      <c r="Q789" s="146">
        <f>IF(O789=1,"18:30",Formulario!N797)</f>
        <v>0</v>
      </c>
      <c r="R789" s="146" t="str">
        <f>IF(Formulario!O797&lt;&gt;"",IF(Formulario!O797=" ",".",Formulario!O797),".")</f>
        <v>.</v>
      </c>
      <c r="S789" s="141" t="s">
        <v>131</v>
      </c>
    </row>
    <row r="790" spans="1:19">
      <c r="A790" s="141">
        <f>Formulario!B798</f>
        <v>0</v>
      </c>
      <c r="B790" s="144" t="str">
        <f>IF(G790="."," ",Formulario!D$5)</f>
        <v xml:space="preserve"> </v>
      </c>
      <c r="C790" s="144" t="str">
        <f>IF(G790=".","",Formulario!D$6)</f>
        <v/>
      </c>
      <c r="D790" s="144" t="str">
        <f>IF(H790=".","",Formulario!D$7)</f>
        <v/>
      </c>
      <c r="E790" s="144" t="str">
        <f>IF(G790=".","",Formulario!J$5)</f>
        <v/>
      </c>
      <c r="F790" s="145" t="str">
        <f>IF(G790=".","",Formulario!J$6)</f>
        <v/>
      </c>
      <c r="G790" s="180" t="str">
        <f>IF(Formulario!C798&lt;&gt;"",IF(Formulario!C798=" ","Falta Depto",IF(H790=".","Error En Descripción",Formulario!C798)),IF(H790=".",".","Falta Datos"))</f>
        <v>.</v>
      </c>
      <c r="H790" s="144" t="str">
        <f>IF(Formulario!D798&lt;&gt;"",IF(Formulario!D798=" ",".",Formulario!D798),".")</f>
        <v>.</v>
      </c>
      <c r="I790" s="144" t="str">
        <f>IF(Formulario!E798&lt;&gt;"",IF(Formulario!E798=" "," ",Formulario!E798),IF(G790=".",".","Falta Propietario"))</f>
        <v>.</v>
      </c>
      <c r="J790" s="144" t="str">
        <f>IF(Formulario!F798&lt;&gt;"",IF(Formulario!F798=" "," ",Formulario!F798)," ")</f>
        <v xml:space="preserve"> </v>
      </c>
      <c r="K790" s="144" t="str">
        <f>IF(Formulario!G798&lt;&gt;"",IF(Formulario!G798=" "," ",Formulario!G798)," ")</f>
        <v xml:space="preserve"> </v>
      </c>
      <c r="L790" s="144" t="str">
        <f>IF(Formulario!H798&lt;&gt;"",IF(Formulario!H798=" "," ",Formulario!H798)," ")</f>
        <v xml:space="preserve"> </v>
      </c>
      <c r="M790" s="144" t="str">
        <f>IF(Formulario!I798&lt;&gt;"",IF(Formulario!I798=" "," ",Formulario!I798)," ")</f>
        <v xml:space="preserve"> </v>
      </c>
      <c r="N790" s="145" t="str">
        <f>IF(Formulario!J798&lt;&gt;"",IF(Formulario!J798=" "," ",Formulario!J798),IF(G790=".",".","Falta Fecha"))</f>
        <v>.</v>
      </c>
      <c r="O790" s="155">
        <f>Formulario!L798</f>
        <v>0</v>
      </c>
      <c r="P790" s="146">
        <f>IF(O790=1,"09:00",Formulario!M798)</f>
        <v>0</v>
      </c>
      <c r="Q790" s="146">
        <f>IF(O790=1,"18:30",Formulario!N798)</f>
        <v>0</v>
      </c>
      <c r="R790" s="146" t="str">
        <f>IF(Formulario!O798&lt;&gt;"",IF(Formulario!O798=" ",".",Formulario!O798),".")</f>
        <v>.</v>
      </c>
      <c r="S790" s="141" t="s">
        <v>131</v>
      </c>
    </row>
    <row r="791" spans="1:19">
      <c r="A791" s="141">
        <f>Formulario!B799</f>
        <v>0</v>
      </c>
      <c r="B791" s="144" t="str">
        <f>IF(G791="."," ",Formulario!D$5)</f>
        <v xml:space="preserve"> </v>
      </c>
      <c r="C791" s="144" t="str">
        <f>IF(G791=".","",Formulario!D$6)</f>
        <v/>
      </c>
      <c r="D791" s="144" t="str">
        <f>IF(H791=".","",Formulario!D$7)</f>
        <v/>
      </c>
      <c r="E791" s="144" t="str">
        <f>IF(G791=".","",Formulario!J$5)</f>
        <v/>
      </c>
      <c r="F791" s="145" t="str">
        <f>IF(G791=".","",Formulario!J$6)</f>
        <v/>
      </c>
      <c r="G791" s="180" t="str">
        <f>IF(Formulario!C799&lt;&gt;"",IF(Formulario!C799=" ","Falta Depto",IF(H791=".","Error En Descripción",Formulario!C799)),IF(H791=".",".","Falta Datos"))</f>
        <v>.</v>
      </c>
      <c r="H791" s="144" t="str">
        <f>IF(Formulario!D799&lt;&gt;"",IF(Formulario!D799=" ",".",Formulario!D799),".")</f>
        <v>.</v>
      </c>
      <c r="I791" s="144" t="str">
        <f>IF(Formulario!E799&lt;&gt;"",IF(Formulario!E799=" "," ",Formulario!E799),IF(G791=".",".","Falta Propietario"))</f>
        <v>.</v>
      </c>
      <c r="J791" s="144" t="str">
        <f>IF(Formulario!F799&lt;&gt;"",IF(Formulario!F799=" "," ",Formulario!F799)," ")</f>
        <v xml:space="preserve"> </v>
      </c>
      <c r="K791" s="144" t="str">
        <f>IF(Formulario!G799&lt;&gt;"",IF(Formulario!G799=" "," ",Formulario!G799)," ")</f>
        <v xml:space="preserve"> </v>
      </c>
      <c r="L791" s="144" t="str">
        <f>IF(Formulario!H799&lt;&gt;"",IF(Formulario!H799=" "," ",Formulario!H799)," ")</f>
        <v xml:space="preserve"> </v>
      </c>
      <c r="M791" s="144" t="str">
        <f>IF(Formulario!I799&lt;&gt;"",IF(Formulario!I799=" "," ",Formulario!I799)," ")</f>
        <v xml:space="preserve"> </v>
      </c>
      <c r="N791" s="145" t="str">
        <f>IF(Formulario!J799&lt;&gt;"",IF(Formulario!J799=" "," ",Formulario!J799),IF(G791=".",".","Falta Fecha"))</f>
        <v>.</v>
      </c>
      <c r="O791" s="155">
        <f>Formulario!L799</f>
        <v>0</v>
      </c>
      <c r="P791" s="146">
        <f>IF(O791=1,"09:00",Formulario!M799)</f>
        <v>0</v>
      </c>
      <c r="Q791" s="146">
        <f>IF(O791=1,"18:30",Formulario!N799)</f>
        <v>0</v>
      </c>
      <c r="R791" s="146" t="str">
        <f>IF(Formulario!O799&lt;&gt;"",IF(Formulario!O799=" ",".",Formulario!O799),".")</f>
        <v>.</v>
      </c>
      <c r="S791" s="141" t="s">
        <v>131</v>
      </c>
    </row>
    <row r="792" spans="1:19">
      <c r="A792" s="141">
        <f>Formulario!B800</f>
        <v>0</v>
      </c>
      <c r="B792" s="144" t="str">
        <f>IF(G792="."," ",Formulario!D$5)</f>
        <v xml:space="preserve"> </v>
      </c>
      <c r="C792" s="144" t="str">
        <f>IF(G792=".","",Formulario!D$6)</f>
        <v/>
      </c>
      <c r="D792" s="144" t="str">
        <f>IF(H792=".","",Formulario!D$7)</f>
        <v/>
      </c>
      <c r="E792" s="144" t="str">
        <f>IF(G792=".","",Formulario!J$5)</f>
        <v/>
      </c>
      <c r="F792" s="145" t="str">
        <f>IF(G792=".","",Formulario!J$6)</f>
        <v/>
      </c>
      <c r="G792" s="180" t="str">
        <f>IF(Formulario!C800&lt;&gt;"",IF(Formulario!C800=" ","Falta Depto",IF(H792=".","Error En Descripción",Formulario!C800)),IF(H792=".",".","Falta Datos"))</f>
        <v>.</v>
      </c>
      <c r="H792" s="144" t="str">
        <f>IF(Formulario!D800&lt;&gt;"",IF(Formulario!D800=" ",".",Formulario!D800),".")</f>
        <v>.</v>
      </c>
      <c r="I792" s="144" t="str">
        <f>IF(Formulario!E800&lt;&gt;"",IF(Formulario!E800=" "," ",Formulario!E800),IF(G792=".",".","Falta Propietario"))</f>
        <v>.</v>
      </c>
      <c r="J792" s="144" t="str">
        <f>IF(Formulario!F800&lt;&gt;"",IF(Formulario!F800=" "," ",Formulario!F800)," ")</f>
        <v xml:space="preserve"> </v>
      </c>
      <c r="K792" s="144" t="str">
        <f>IF(Formulario!G800&lt;&gt;"",IF(Formulario!G800=" "," ",Formulario!G800)," ")</f>
        <v xml:space="preserve"> </v>
      </c>
      <c r="L792" s="144" t="str">
        <f>IF(Formulario!H800&lt;&gt;"",IF(Formulario!H800=" "," ",Formulario!H800)," ")</f>
        <v xml:space="preserve"> </v>
      </c>
      <c r="M792" s="144" t="str">
        <f>IF(Formulario!I800&lt;&gt;"",IF(Formulario!I800=" "," ",Formulario!I800)," ")</f>
        <v xml:space="preserve"> </v>
      </c>
      <c r="N792" s="145" t="str">
        <f>IF(Formulario!J800&lt;&gt;"",IF(Formulario!J800=" "," ",Formulario!J800),IF(G792=".",".","Falta Fecha"))</f>
        <v>.</v>
      </c>
      <c r="O792" s="155">
        <f>Formulario!L800</f>
        <v>0</v>
      </c>
      <c r="P792" s="146">
        <f>IF(O792=1,"09:00",Formulario!M800)</f>
        <v>0</v>
      </c>
      <c r="Q792" s="146">
        <f>IF(O792=1,"18:30",Formulario!N800)</f>
        <v>0</v>
      </c>
      <c r="R792" s="146" t="str">
        <f>IF(Formulario!O800&lt;&gt;"",IF(Formulario!O800=" ",".",Formulario!O800),".")</f>
        <v>.</v>
      </c>
      <c r="S792" s="141" t="s">
        <v>131</v>
      </c>
    </row>
    <row r="793" spans="1:19">
      <c r="A793" s="141">
        <f>Formulario!B801</f>
        <v>0</v>
      </c>
      <c r="B793" s="144" t="str">
        <f>IF(G793="."," ",Formulario!D$5)</f>
        <v xml:space="preserve"> </v>
      </c>
      <c r="C793" s="144" t="str">
        <f>IF(G793=".","",Formulario!D$6)</f>
        <v/>
      </c>
      <c r="D793" s="144" t="str">
        <f>IF(H793=".","",Formulario!D$7)</f>
        <v/>
      </c>
      <c r="E793" s="144" t="str">
        <f>IF(G793=".","",Formulario!J$5)</f>
        <v/>
      </c>
      <c r="F793" s="145" t="str">
        <f>IF(G793=".","",Formulario!J$6)</f>
        <v/>
      </c>
      <c r="G793" s="180" t="str">
        <f>IF(Formulario!C801&lt;&gt;"",IF(Formulario!C801=" ","Falta Depto",IF(H793=".","Error En Descripción",Formulario!C801)),IF(H793=".",".","Falta Datos"))</f>
        <v>.</v>
      </c>
      <c r="H793" s="144" t="str">
        <f>IF(Formulario!D801&lt;&gt;"",IF(Formulario!D801=" ",".",Formulario!D801),".")</f>
        <v>.</v>
      </c>
      <c r="I793" s="144" t="str">
        <f>IF(Formulario!E801&lt;&gt;"",IF(Formulario!E801=" "," ",Formulario!E801),IF(G793=".",".","Falta Propietario"))</f>
        <v>.</v>
      </c>
      <c r="J793" s="144" t="str">
        <f>IF(Formulario!F801&lt;&gt;"",IF(Formulario!F801=" "," ",Formulario!F801)," ")</f>
        <v xml:space="preserve"> </v>
      </c>
      <c r="K793" s="144" t="str">
        <f>IF(Formulario!G801&lt;&gt;"",IF(Formulario!G801=" "," ",Formulario!G801)," ")</f>
        <v xml:space="preserve"> </v>
      </c>
      <c r="L793" s="144" t="str">
        <f>IF(Formulario!H801&lt;&gt;"",IF(Formulario!H801=" "," ",Formulario!H801)," ")</f>
        <v xml:space="preserve"> </v>
      </c>
      <c r="M793" s="144" t="str">
        <f>IF(Formulario!I801&lt;&gt;"",IF(Formulario!I801=" "," ",Formulario!I801)," ")</f>
        <v xml:space="preserve"> </v>
      </c>
      <c r="N793" s="145" t="str">
        <f>IF(Formulario!J801&lt;&gt;"",IF(Formulario!J801=" "," ",Formulario!J801),IF(G793=".",".","Falta Fecha"))</f>
        <v>.</v>
      </c>
      <c r="O793" s="155">
        <f>Formulario!L801</f>
        <v>0</v>
      </c>
      <c r="P793" s="146">
        <f>IF(O793=1,"09:00",Formulario!M801)</f>
        <v>0</v>
      </c>
      <c r="Q793" s="146">
        <f>IF(O793=1,"18:30",Formulario!N801)</f>
        <v>0</v>
      </c>
      <c r="R793" s="146" t="str">
        <f>IF(Formulario!O801&lt;&gt;"",IF(Formulario!O801=" ",".",Formulario!O801),".")</f>
        <v>.</v>
      </c>
      <c r="S793" s="141" t="s">
        <v>131</v>
      </c>
    </row>
    <row r="794" spans="1:19">
      <c r="A794" s="141">
        <f>Formulario!B802</f>
        <v>0</v>
      </c>
      <c r="B794" s="144" t="str">
        <f>IF(G794="."," ",Formulario!D$5)</f>
        <v xml:space="preserve"> </v>
      </c>
      <c r="C794" s="144" t="str">
        <f>IF(G794=".","",Formulario!D$6)</f>
        <v/>
      </c>
      <c r="D794" s="144" t="str">
        <f>IF(H794=".","",Formulario!D$7)</f>
        <v/>
      </c>
      <c r="E794" s="144" t="str">
        <f>IF(G794=".","",Formulario!J$5)</f>
        <v/>
      </c>
      <c r="F794" s="145" t="str">
        <f>IF(G794=".","",Formulario!J$6)</f>
        <v/>
      </c>
      <c r="G794" s="180" t="str">
        <f>IF(Formulario!C802&lt;&gt;"",IF(Formulario!C802=" ","Falta Depto",IF(H794=".","Error En Descripción",Formulario!C802)),IF(H794=".",".","Falta Datos"))</f>
        <v>.</v>
      </c>
      <c r="H794" s="144" t="str">
        <f>IF(Formulario!D802&lt;&gt;"",IF(Formulario!D802=" ",".",Formulario!D802),".")</f>
        <v>.</v>
      </c>
      <c r="I794" s="144" t="str">
        <f>IF(Formulario!E802&lt;&gt;"",IF(Formulario!E802=" "," ",Formulario!E802),IF(G794=".",".","Falta Propietario"))</f>
        <v>.</v>
      </c>
      <c r="J794" s="144" t="str">
        <f>IF(Formulario!F802&lt;&gt;"",IF(Formulario!F802=" "," ",Formulario!F802)," ")</f>
        <v xml:space="preserve"> </v>
      </c>
      <c r="K794" s="144" t="str">
        <f>IF(Formulario!G802&lt;&gt;"",IF(Formulario!G802=" "," ",Formulario!G802)," ")</f>
        <v xml:space="preserve"> </v>
      </c>
      <c r="L794" s="144" t="str">
        <f>IF(Formulario!H802&lt;&gt;"",IF(Formulario!H802=" "," ",Formulario!H802)," ")</f>
        <v xml:space="preserve"> </v>
      </c>
      <c r="M794" s="144" t="str">
        <f>IF(Formulario!I802&lt;&gt;"",IF(Formulario!I802=" "," ",Formulario!I802)," ")</f>
        <v xml:space="preserve"> </v>
      </c>
      <c r="N794" s="145" t="str">
        <f>IF(Formulario!J802&lt;&gt;"",IF(Formulario!J802=" "," ",Formulario!J802),IF(G794=".",".","Falta Fecha"))</f>
        <v>.</v>
      </c>
      <c r="O794" s="155">
        <f>Formulario!L802</f>
        <v>0</v>
      </c>
      <c r="P794" s="146">
        <f>IF(O794=1,"09:00",Formulario!M802)</f>
        <v>0</v>
      </c>
      <c r="Q794" s="146">
        <f>IF(O794=1,"18:30",Formulario!N802)</f>
        <v>0</v>
      </c>
      <c r="R794" s="146" t="str">
        <f>IF(Formulario!O802&lt;&gt;"",IF(Formulario!O802=" ",".",Formulario!O802),".")</f>
        <v>.</v>
      </c>
      <c r="S794" s="141" t="s">
        <v>131</v>
      </c>
    </row>
    <row r="795" spans="1:19">
      <c r="A795" s="141">
        <f>Formulario!B803</f>
        <v>0</v>
      </c>
      <c r="B795" s="144" t="str">
        <f>IF(G795="."," ",Formulario!D$5)</f>
        <v xml:space="preserve"> </v>
      </c>
      <c r="C795" s="144" t="str">
        <f>IF(G795=".","",Formulario!D$6)</f>
        <v/>
      </c>
      <c r="D795" s="144" t="str">
        <f>IF(H795=".","",Formulario!D$7)</f>
        <v/>
      </c>
      <c r="E795" s="144" t="str">
        <f>IF(G795=".","",Formulario!J$5)</f>
        <v/>
      </c>
      <c r="F795" s="145" t="str">
        <f>IF(G795=".","",Formulario!J$6)</f>
        <v/>
      </c>
      <c r="G795" s="180" t="str">
        <f>IF(Formulario!C803&lt;&gt;"",IF(Formulario!C803=" ","Falta Depto",IF(H795=".","Error En Descripción",Formulario!C803)),IF(H795=".",".","Falta Datos"))</f>
        <v>.</v>
      </c>
      <c r="H795" s="144" t="str">
        <f>IF(Formulario!D803&lt;&gt;"",IF(Formulario!D803=" ",".",Formulario!D803),".")</f>
        <v>.</v>
      </c>
      <c r="I795" s="144" t="str">
        <f>IF(Formulario!E803&lt;&gt;"",IF(Formulario!E803=" "," ",Formulario!E803),IF(G795=".",".","Falta Propietario"))</f>
        <v>.</v>
      </c>
      <c r="J795" s="144" t="str">
        <f>IF(Formulario!F803&lt;&gt;"",IF(Formulario!F803=" "," ",Formulario!F803)," ")</f>
        <v xml:space="preserve"> </v>
      </c>
      <c r="K795" s="144" t="str">
        <f>IF(Formulario!G803&lt;&gt;"",IF(Formulario!G803=" "," ",Formulario!G803)," ")</f>
        <v xml:space="preserve"> </v>
      </c>
      <c r="L795" s="144" t="str">
        <f>IF(Formulario!H803&lt;&gt;"",IF(Formulario!H803=" "," ",Formulario!H803)," ")</f>
        <v xml:space="preserve"> </v>
      </c>
      <c r="M795" s="144" t="str">
        <f>IF(Formulario!I803&lt;&gt;"",IF(Formulario!I803=" "," ",Formulario!I803)," ")</f>
        <v xml:space="preserve"> </v>
      </c>
      <c r="N795" s="145" t="str">
        <f>IF(Formulario!J803&lt;&gt;"",IF(Formulario!J803=" "," ",Formulario!J803),IF(G795=".",".","Falta Fecha"))</f>
        <v>.</v>
      </c>
      <c r="O795" s="155">
        <f>Formulario!L803</f>
        <v>0</v>
      </c>
      <c r="P795" s="146">
        <f>IF(O795=1,"09:00",Formulario!M803)</f>
        <v>0</v>
      </c>
      <c r="Q795" s="146">
        <f>IF(O795=1,"18:30",Formulario!N803)</f>
        <v>0</v>
      </c>
      <c r="R795" s="146" t="str">
        <f>IF(Formulario!O803&lt;&gt;"",IF(Formulario!O803=" ",".",Formulario!O803),".")</f>
        <v>.</v>
      </c>
      <c r="S795" s="141" t="s">
        <v>131</v>
      </c>
    </row>
    <row r="796" spans="1:19">
      <c r="A796" s="141">
        <f>Formulario!B804</f>
        <v>0</v>
      </c>
      <c r="B796" s="144" t="str">
        <f>IF(G796="."," ",Formulario!D$5)</f>
        <v xml:space="preserve"> </v>
      </c>
      <c r="C796" s="144" t="str">
        <f>IF(G796=".","",Formulario!D$6)</f>
        <v/>
      </c>
      <c r="D796" s="144" t="str">
        <f>IF(H796=".","",Formulario!D$7)</f>
        <v/>
      </c>
      <c r="E796" s="144" t="str">
        <f>IF(G796=".","",Formulario!J$5)</f>
        <v/>
      </c>
      <c r="F796" s="145" t="str">
        <f>IF(G796=".","",Formulario!J$6)</f>
        <v/>
      </c>
      <c r="G796" s="180" t="str">
        <f>IF(Formulario!C804&lt;&gt;"",IF(Formulario!C804=" ","Falta Depto",IF(H796=".","Error En Descripción",Formulario!C804)),IF(H796=".",".","Falta Datos"))</f>
        <v>.</v>
      </c>
      <c r="H796" s="144" t="str">
        <f>IF(Formulario!D804&lt;&gt;"",IF(Formulario!D804=" ",".",Formulario!D804),".")</f>
        <v>.</v>
      </c>
      <c r="I796" s="144" t="str">
        <f>IF(Formulario!E804&lt;&gt;"",IF(Formulario!E804=" "," ",Formulario!E804),IF(G796=".",".","Falta Propietario"))</f>
        <v>.</v>
      </c>
      <c r="J796" s="144" t="str">
        <f>IF(Formulario!F804&lt;&gt;"",IF(Formulario!F804=" "," ",Formulario!F804)," ")</f>
        <v xml:space="preserve"> </v>
      </c>
      <c r="K796" s="144" t="str">
        <f>IF(Formulario!G804&lt;&gt;"",IF(Formulario!G804=" "," ",Formulario!G804)," ")</f>
        <v xml:space="preserve"> </v>
      </c>
      <c r="L796" s="144" t="str">
        <f>IF(Formulario!H804&lt;&gt;"",IF(Formulario!H804=" "," ",Formulario!H804)," ")</f>
        <v xml:space="preserve"> </v>
      </c>
      <c r="M796" s="144" t="str">
        <f>IF(Formulario!I804&lt;&gt;"",IF(Formulario!I804=" "," ",Formulario!I804)," ")</f>
        <v xml:space="preserve"> </v>
      </c>
      <c r="N796" s="145" t="str">
        <f>IF(Formulario!J804&lt;&gt;"",IF(Formulario!J804=" "," ",Formulario!J804),IF(G796=".",".","Falta Fecha"))</f>
        <v>.</v>
      </c>
      <c r="O796" s="155">
        <f>Formulario!L804</f>
        <v>0</v>
      </c>
      <c r="P796" s="146">
        <f>IF(O796=1,"09:00",Formulario!M804)</f>
        <v>0</v>
      </c>
      <c r="Q796" s="146">
        <f>IF(O796=1,"18:30",Formulario!N804)</f>
        <v>0</v>
      </c>
      <c r="R796" s="146" t="str">
        <f>IF(Formulario!O804&lt;&gt;"",IF(Formulario!O804=" ",".",Formulario!O804),".")</f>
        <v>.</v>
      </c>
      <c r="S796" s="141" t="s">
        <v>131</v>
      </c>
    </row>
    <row r="797" spans="1:19">
      <c r="A797" s="141">
        <f>Formulario!B805</f>
        <v>0</v>
      </c>
      <c r="B797" s="144" t="str">
        <f>IF(G797="."," ",Formulario!D$5)</f>
        <v xml:space="preserve"> </v>
      </c>
      <c r="C797" s="144" t="str">
        <f>IF(G797=".","",Formulario!D$6)</f>
        <v/>
      </c>
      <c r="D797" s="144" t="str">
        <f>IF(H797=".","",Formulario!D$7)</f>
        <v/>
      </c>
      <c r="E797" s="144" t="str">
        <f>IF(G797=".","",Formulario!J$5)</f>
        <v/>
      </c>
      <c r="F797" s="145" t="str">
        <f>IF(G797=".","",Formulario!J$6)</f>
        <v/>
      </c>
      <c r="G797" s="180" t="str">
        <f>IF(Formulario!C805&lt;&gt;"",IF(Formulario!C805=" ","Falta Depto",IF(H797=".","Error En Descripción",Formulario!C805)),IF(H797=".",".","Falta Datos"))</f>
        <v>.</v>
      </c>
      <c r="H797" s="144" t="str">
        <f>IF(Formulario!D805&lt;&gt;"",IF(Formulario!D805=" ",".",Formulario!D805),".")</f>
        <v>.</v>
      </c>
      <c r="I797" s="144" t="str">
        <f>IF(Formulario!E805&lt;&gt;"",IF(Formulario!E805=" "," ",Formulario!E805),IF(G797=".",".","Falta Propietario"))</f>
        <v>.</v>
      </c>
      <c r="J797" s="144" t="str">
        <f>IF(Formulario!F805&lt;&gt;"",IF(Formulario!F805=" "," ",Formulario!F805)," ")</f>
        <v xml:space="preserve"> </v>
      </c>
      <c r="K797" s="144" t="str">
        <f>IF(Formulario!G805&lt;&gt;"",IF(Formulario!G805=" "," ",Formulario!G805)," ")</f>
        <v xml:space="preserve"> </v>
      </c>
      <c r="L797" s="144" t="str">
        <f>IF(Formulario!H805&lt;&gt;"",IF(Formulario!H805=" "," ",Formulario!H805)," ")</f>
        <v xml:space="preserve"> </v>
      </c>
      <c r="M797" s="144" t="str">
        <f>IF(Formulario!I805&lt;&gt;"",IF(Formulario!I805=" "," ",Formulario!I805)," ")</f>
        <v xml:space="preserve"> </v>
      </c>
      <c r="N797" s="145" t="str">
        <f>IF(Formulario!J805&lt;&gt;"",IF(Formulario!J805=" "," ",Formulario!J805),IF(G797=".",".","Falta Fecha"))</f>
        <v>.</v>
      </c>
      <c r="O797" s="155">
        <f>Formulario!L805</f>
        <v>0</v>
      </c>
      <c r="P797" s="146">
        <f>IF(O797=1,"09:00",Formulario!M805)</f>
        <v>0</v>
      </c>
      <c r="Q797" s="146">
        <f>IF(O797=1,"18:30",Formulario!N805)</f>
        <v>0</v>
      </c>
      <c r="R797" s="146" t="str">
        <f>IF(Formulario!O805&lt;&gt;"",IF(Formulario!O805=" ",".",Formulario!O805),".")</f>
        <v>.</v>
      </c>
      <c r="S797" s="141" t="s">
        <v>131</v>
      </c>
    </row>
    <row r="798" spans="1:19">
      <c r="A798" s="141">
        <f>Formulario!B806</f>
        <v>0</v>
      </c>
      <c r="B798" s="144" t="str">
        <f>IF(G798="."," ",Formulario!D$5)</f>
        <v xml:space="preserve"> </v>
      </c>
      <c r="C798" s="144" t="str">
        <f>IF(G798=".","",Formulario!D$6)</f>
        <v/>
      </c>
      <c r="D798" s="144" t="str">
        <f>IF(H798=".","",Formulario!D$7)</f>
        <v/>
      </c>
      <c r="E798" s="144" t="str">
        <f>IF(G798=".","",Formulario!J$5)</f>
        <v/>
      </c>
      <c r="F798" s="145" t="str">
        <f>IF(G798=".","",Formulario!J$6)</f>
        <v/>
      </c>
      <c r="G798" s="180" t="str">
        <f>IF(Formulario!C806&lt;&gt;"",IF(Formulario!C806=" ","Falta Depto",IF(H798=".","Error En Descripción",Formulario!C806)),IF(H798=".",".","Falta Datos"))</f>
        <v>.</v>
      </c>
      <c r="H798" s="144" t="str">
        <f>IF(Formulario!D806&lt;&gt;"",IF(Formulario!D806=" ",".",Formulario!D806),".")</f>
        <v>.</v>
      </c>
      <c r="I798" s="144" t="str">
        <f>IF(Formulario!E806&lt;&gt;"",IF(Formulario!E806=" "," ",Formulario!E806),IF(G798=".",".","Falta Propietario"))</f>
        <v>.</v>
      </c>
      <c r="J798" s="144" t="str">
        <f>IF(Formulario!F806&lt;&gt;"",IF(Formulario!F806=" "," ",Formulario!F806)," ")</f>
        <v xml:space="preserve"> </v>
      </c>
      <c r="K798" s="144" t="str">
        <f>IF(Formulario!G806&lt;&gt;"",IF(Formulario!G806=" "," ",Formulario!G806)," ")</f>
        <v xml:space="preserve"> </v>
      </c>
      <c r="L798" s="144" t="str">
        <f>IF(Formulario!H806&lt;&gt;"",IF(Formulario!H806=" "," ",Formulario!H806)," ")</f>
        <v xml:space="preserve"> </v>
      </c>
      <c r="M798" s="144" t="str">
        <f>IF(Formulario!I806&lt;&gt;"",IF(Formulario!I806=" "," ",Formulario!I806)," ")</f>
        <v xml:space="preserve"> </v>
      </c>
      <c r="N798" s="145" t="str">
        <f>IF(Formulario!J806&lt;&gt;"",IF(Formulario!J806=" "," ",Formulario!J806),IF(G798=".",".","Falta Fecha"))</f>
        <v>.</v>
      </c>
      <c r="O798" s="155">
        <f>Formulario!L806</f>
        <v>0</v>
      </c>
      <c r="P798" s="146">
        <f>IF(O798=1,"09:00",Formulario!M806)</f>
        <v>0</v>
      </c>
      <c r="Q798" s="146">
        <f>IF(O798=1,"18:30",Formulario!N806)</f>
        <v>0</v>
      </c>
      <c r="R798" s="146" t="str">
        <f>IF(Formulario!O806&lt;&gt;"",IF(Formulario!O806=" ",".",Formulario!O806),".")</f>
        <v>.</v>
      </c>
      <c r="S798" s="141" t="s">
        <v>131</v>
      </c>
    </row>
    <row r="799" spans="1:19">
      <c r="A799" s="141">
        <f>Formulario!B807</f>
        <v>0</v>
      </c>
      <c r="B799" s="144" t="str">
        <f>IF(G799="."," ",Formulario!D$5)</f>
        <v xml:space="preserve"> </v>
      </c>
      <c r="C799" s="144" t="str">
        <f>IF(G799=".","",Formulario!D$6)</f>
        <v/>
      </c>
      <c r="D799" s="144" t="str">
        <f>IF(H799=".","",Formulario!D$7)</f>
        <v/>
      </c>
      <c r="E799" s="144" t="str">
        <f>IF(G799=".","",Formulario!J$5)</f>
        <v/>
      </c>
      <c r="F799" s="145" t="str">
        <f>IF(G799=".","",Formulario!J$6)</f>
        <v/>
      </c>
      <c r="G799" s="180" t="str">
        <f>IF(Formulario!C807&lt;&gt;"",IF(Formulario!C807=" ","Falta Depto",IF(H799=".","Error En Descripción",Formulario!C807)),IF(H799=".",".","Falta Datos"))</f>
        <v>.</v>
      </c>
      <c r="H799" s="144" t="str">
        <f>IF(Formulario!D807&lt;&gt;"",IF(Formulario!D807=" ",".",Formulario!D807),".")</f>
        <v>.</v>
      </c>
      <c r="I799" s="144" t="str">
        <f>IF(Formulario!E807&lt;&gt;"",IF(Formulario!E807=" "," ",Formulario!E807),IF(G799=".",".","Falta Propietario"))</f>
        <v>.</v>
      </c>
      <c r="J799" s="144" t="str">
        <f>IF(Formulario!F807&lt;&gt;"",IF(Formulario!F807=" "," ",Formulario!F807)," ")</f>
        <v xml:space="preserve"> </v>
      </c>
      <c r="K799" s="144" t="str">
        <f>IF(Formulario!G807&lt;&gt;"",IF(Formulario!G807=" "," ",Formulario!G807)," ")</f>
        <v xml:space="preserve"> </v>
      </c>
      <c r="L799" s="144" t="str">
        <f>IF(Formulario!H807&lt;&gt;"",IF(Formulario!H807=" "," ",Formulario!H807)," ")</f>
        <v xml:space="preserve"> </v>
      </c>
      <c r="M799" s="144" t="str">
        <f>IF(Formulario!I807&lt;&gt;"",IF(Formulario!I807=" "," ",Formulario!I807)," ")</f>
        <v xml:space="preserve"> </v>
      </c>
      <c r="N799" s="145" t="str">
        <f>IF(Formulario!J807&lt;&gt;"",IF(Formulario!J807=" "," ",Formulario!J807),IF(G799=".",".","Falta Fecha"))</f>
        <v>.</v>
      </c>
      <c r="O799" s="155">
        <f>Formulario!L807</f>
        <v>0</v>
      </c>
      <c r="P799" s="146">
        <f>IF(O799=1,"09:00",Formulario!M807)</f>
        <v>0</v>
      </c>
      <c r="Q799" s="146">
        <f>IF(O799=1,"18:30",Formulario!N807)</f>
        <v>0</v>
      </c>
      <c r="R799" s="146" t="str">
        <f>IF(Formulario!O807&lt;&gt;"",IF(Formulario!O807=" ",".",Formulario!O807),".")</f>
        <v>.</v>
      </c>
      <c r="S799" s="141" t="s">
        <v>131</v>
      </c>
    </row>
    <row r="800" spans="1:19">
      <c r="A800" s="141">
        <f>Formulario!B808</f>
        <v>0</v>
      </c>
      <c r="B800" s="144" t="str">
        <f>IF(G800="."," ",Formulario!D$5)</f>
        <v xml:space="preserve"> </v>
      </c>
      <c r="C800" s="144" t="str">
        <f>IF(G800=".","",Formulario!D$6)</f>
        <v/>
      </c>
      <c r="D800" s="144" t="str">
        <f>IF(H800=".","",Formulario!D$7)</f>
        <v/>
      </c>
      <c r="E800" s="144" t="str">
        <f>IF(G800=".","",Formulario!J$5)</f>
        <v/>
      </c>
      <c r="F800" s="145" t="str">
        <f>IF(G800=".","",Formulario!J$6)</f>
        <v/>
      </c>
      <c r="G800" s="180" t="str">
        <f>IF(Formulario!C808&lt;&gt;"",IF(Formulario!C808=" ","Falta Depto",IF(H800=".","Error En Descripción",Formulario!C808)),IF(H800=".",".","Falta Datos"))</f>
        <v>.</v>
      </c>
      <c r="H800" s="144" t="str">
        <f>IF(Formulario!D808&lt;&gt;"",IF(Formulario!D808=" ",".",Formulario!D808),".")</f>
        <v>.</v>
      </c>
      <c r="I800" s="144" t="str">
        <f>IF(Formulario!E808&lt;&gt;"",IF(Formulario!E808=" "," ",Formulario!E808),IF(G800=".",".","Falta Propietario"))</f>
        <v>.</v>
      </c>
      <c r="J800" s="144" t="str">
        <f>IF(Formulario!F808&lt;&gt;"",IF(Formulario!F808=" "," ",Formulario!F808)," ")</f>
        <v xml:space="preserve"> </v>
      </c>
      <c r="K800" s="144" t="str">
        <f>IF(Formulario!G808&lt;&gt;"",IF(Formulario!G808=" "," ",Formulario!G808)," ")</f>
        <v xml:space="preserve"> </v>
      </c>
      <c r="L800" s="144" t="str">
        <f>IF(Formulario!H808&lt;&gt;"",IF(Formulario!H808=" "," ",Formulario!H808)," ")</f>
        <v xml:space="preserve"> </v>
      </c>
      <c r="M800" s="144" t="str">
        <f>IF(Formulario!I808&lt;&gt;"",IF(Formulario!I808=" "," ",Formulario!I808)," ")</f>
        <v xml:space="preserve"> </v>
      </c>
      <c r="N800" s="145" t="str">
        <f>IF(Formulario!J808&lt;&gt;"",IF(Formulario!J808=" "," ",Formulario!J808),IF(G800=".",".","Falta Fecha"))</f>
        <v>.</v>
      </c>
      <c r="O800" s="155">
        <f>Formulario!L808</f>
        <v>0</v>
      </c>
      <c r="P800" s="146">
        <f>IF(O800=1,"09:00",Formulario!M808)</f>
        <v>0</v>
      </c>
      <c r="Q800" s="146">
        <f>IF(O800=1,"18:30",Formulario!N808)</f>
        <v>0</v>
      </c>
      <c r="R800" s="146" t="str">
        <f>IF(Formulario!O808&lt;&gt;"",IF(Formulario!O808=" ",".",Formulario!O808),".")</f>
        <v>.</v>
      </c>
      <c r="S800" s="141" t="s">
        <v>131</v>
      </c>
    </row>
    <row r="801" spans="1:19">
      <c r="A801" s="141">
        <f>Formulario!B809</f>
        <v>0</v>
      </c>
      <c r="B801" s="144" t="str">
        <f>IF(G801="."," ",Formulario!D$5)</f>
        <v xml:space="preserve"> </v>
      </c>
      <c r="C801" s="144" t="str">
        <f>IF(G801=".","",Formulario!D$6)</f>
        <v/>
      </c>
      <c r="D801" s="144" t="str">
        <f>IF(H801=".","",Formulario!D$7)</f>
        <v/>
      </c>
      <c r="E801" s="144" t="str">
        <f>IF(G801=".","",Formulario!J$5)</f>
        <v/>
      </c>
      <c r="F801" s="145" t="str">
        <f>IF(G801=".","",Formulario!J$6)</f>
        <v/>
      </c>
      <c r="G801" s="180" t="str">
        <f>IF(Formulario!C809&lt;&gt;"",IF(Formulario!C809=" ","Falta Depto",IF(H801=".","Error En Descripción",Formulario!C809)),IF(H801=".",".","Falta Datos"))</f>
        <v>.</v>
      </c>
      <c r="H801" s="144" t="str">
        <f>IF(Formulario!D809&lt;&gt;"",IF(Formulario!D809=" ",".",Formulario!D809),".")</f>
        <v>.</v>
      </c>
      <c r="I801" s="144" t="str">
        <f>IF(Formulario!E809&lt;&gt;"",IF(Formulario!E809=" "," ",Formulario!E809),IF(G801=".",".","Falta Propietario"))</f>
        <v>.</v>
      </c>
      <c r="J801" s="144" t="str">
        <f>IF(Formulario!F809&lt;&gt;"",IF(Formulario!F809=" "," ",Formulario!F809)," ")</f>
        <v xml:space="preserve"> </v>
      </c>
      <c r="K801" s="144" t="str">
        <f>IF(Formulario!G809&lt;&gt;"",IF(Formulario!G809=" "," ",Formulario!G809)," ")</f>
        <v xml:space="preserve"> </v>
      </c>
      <c r="L801" s="144" t="str">
        <f>IF(Formulario!H809&lt;&gt;"",IF(Formulario!H809=" "," ",Formulario!H809)," ")</f>
        <v xml:space="preserve"> </v>
      </c>
      <c r="M801" s="144" t="str">
        <f>IF(Formulario!I809&lt;&gt;"",IF(Formulario!I809=" "," ",Formulario!I809)," ")</f>
        <v xml:space="preserve"> </v>
      </c>
      <c r="N801" s="145" t="str">
        <f>IF(Formulario!J809&lt;&gt;"",IF(Formulario!J809=" "," ",Formulario!J809),IF(G801=".",".","Falta Fecha"))</f>
        <v>.</v>
      </c>
      <c r="O801" s="155">
        <f>Formulario!L809</f>
        <v>0</v>
      </c>
      <c r="P801" s="146">
        <f>IF(O801=1,"09:00",Formulario!M809)</f>
        <v>0</v>
      </c>
      <c r="Q801" s="146">
        <f>IF(O801=1,"18:30",Formulario!N809)</f>
        <v>0</v>
      </c>
      <c r="R801" s="146" t="str">
        <f>IF(Formulario!O809&lt;&gt;"",IF(Formulario!O809=" ",".",Formulario!O809),".")</f>
        <v>.</v>
      </c>
      <c r="S801" s="141" t="s">
        <v>131</v>
      </c>
    </row>
    <row r="802" spans="1:19">
      <c r="A802" s="141">
        <f>Formulario!B810</f>
        <v>0</v>
      </c>
      <c r="B802" s="144" t="str">
        <f>IF(G802="."," ",Formulario!D$5)</f>
        <v xml:space="preserve"> </v>
      </c>
      <c r="C802" s="144" t="str">
        <f>IF(G802=".","",Formulario!D$6)</f>
        <v/>
      </c>
      <c r="D802" s="144" t="str">
        <f>IF(H802=".","",Formulario!D$7)</f>
        <v/>
      </c>
      <c r="E802" s="144" t="str">
        <f>IF(G802=".","",Formulario!J$5)</f>
        <v/>
      </c>
      <c r="F802" s="145" t="str">
        <f>IF(G802=".","",Formulario!J$6)</f>
        <v/>
      </c>
      <c r="G802" s="180" t="str">
        <f>IF(Formulario!C810&lt;&gt;"",IF(Formulario!C810=" ","Falta Depto",IF(H802=".","Error En Descripción",Formulario!C810)),IF(H802=".",".","Falta Datos"))</f>
        <v>.</v>
      </c>
      <c r="H802" s="144" t="str">
        <f>IF(Formulario!D810&lt;&gt;"",IF(Formulario!D810=" ",".",Formulario!D810),".")</f>
        <v>.</v>
      </c>
      <c r="I802" s="144" t="str">
        <f>IF(Formulario!E810&lt;&gt;"",IF(Formulario!E810=" "," ",Formulario!E810),IF(G802=".",".","Falta Propietario"))</f>
        <v>.</v>
      </c>
      <c r="J802" s="144" t="str">
        <f>IF(Formulario!F810&lt;&gt;"",IF(Formulario!F810=" "," ",Formulario!F810)," ")</f>
        <v xml:space="preserve"> </v>
      </c>
      <c r="K802" s="144" t="str">
        <f>IF(Formulario!G810&lt;&gt;"",IF(Formulario!G810=" "," ",Formulario!G810)," ")</f>
        <v xml:space="preserve"> </v>
      </c>
      <c r="L802" s="144" t="str">
        <f>IF(Formulario!H810&lt;&gt;"",IF(Formulario!H810=" "," ",Formulario!H810)," ")</f>
        <v xml:space="preserve"> </v>
      </c>
      <c r="M802" s="144" t="str">
        <f>IF(Formulario!I810&lt;&gt;"",IF(Formulario!I810=" "," ",Formulario!I810)," ")</f>
        <v xml:space="preserve"> </v>
      </c>
      <c r="N802" s="145" t="str">
        <f>IF(Formulario!J810&lt;&gt;"",IF(Formulario!J810=" "," ",Formulario!J810),IF(G802=".",".","Falta Fecha"))</f>
        <v>.</v>
      </c>
      <c r="O802" s="155">
        <f>Formulario!L810</f>
        <v>0</v>
      </c>
      <c r="P802" s="146">
        <f>IF(O802=1,"09:00",Formulario!M810)</f>
        <v>0</v>
      </c>
      <c r="Q802" s="146">
        <f>IF(O802=1,"18:30",Formulario!N810)</f>
        <v>0</v>
      </c>
      <c r="R802" s="146" t="str">
        <f>IF(Formulario!O810&lt;&gt;"",IF(Formulario!O810=" ",".",Formulario!O810),".")</f>
        <v>.</v>
      </c>
      <c r="S802" s="141" t="s">
        <v>131</v>
      </c>
    </row>
    <row r="803" spans="1:19">
      <c r="A803" s="141">
        <f>Formulario!B811</f>
        <v>0</v>
      </c>
      <c r="B803" s="144" t="str">
        <f>IF(G803="."," ",Formulario!D$5)</f>
        <v xml:space="preserve"> </v>
      </c>
      <c r="C803" s="144" t="str">
        <f>IF(G803=".","",Formulario!D$6)</f>
        <v/>
      </c>
      <c r="D803" s="144" t="str">
        <f>IF(H803=".","",Formulario!D$7)</f>
        <v/>
      </c>
      <c r="E803" s="144" t="str">
        <f>IF(G803=".","",Formulario!J$5)</f>
        <v/>
      </c>
      <c r="F803" s="145" t="str">
        <f>IF(G803=".","",Formulario!J$6)</f>
        <v/>
      </c>
      <c r="G803" s="180" t="str">
        <f>IF(Formulario!C811&lt;&gt;"",IF(Formulario!C811=" ","Falta Depto",IF(H803=".","Error En Descripción",Formulario!C811)),IF(H803=".",".","Falta Datos"))</f>
        <v>.</v>
      </c>
      <c r="H803" s="144" t="str">
        <f>IF(Formulario!D811&lt;&gt;"",IF(Formulario!D811=" ",".",Formulario!D811),".")</f>
        <v>.</v>
      </c>
      <c r="I803" s="144" t="str">
        <f>IF(Formulario!E811&lt;&gt;"",IF(Formulario!E811=" "," ",Formulario!E811),IF(G803=".",".","Falta Propietario"))</f>
        <v>.</v>
      </c>
      <c r="J803" s="144" t="str">
        <f>IF(Formulario!F811&lt;&gt;"",IF(Formulario!F811=" "," ",Formulario!F811)," ")</f>
        <v xml:space="preserve"> </v>
      </c>
      <c r="K803" s="144" t="str">
        <f>IF(Formulario!G811&lt;&gt;"",IF(Formulario!G811=" "," ",Formulario!G811)," ")</f>
        <v xml:space="preserve"> </v>
      </c>
      <c r="L803" s="144" t="str">
        <f>IF(Formulario!H811&lt;&gt;"",IF(Formulario!H811=" "," ",Formulario!H811)," ")</f>
        <v xml:space="preserve"> </v>
      </c>
      <c r="M803" s="144" t="str">
        <f>IF(Formulario!I811&lt;&gt;"",IF(Formulario!I811=" "," ",Formulario!I811)," ")</f>
        <v xml:space="preserve"> </v>
      </c>
      <c r="N803" s="145" t="str">
        <f>IF(Formulario!J811&lt;&gt;"",IF(Formulario!J811=" "," ",Formulario!J811),IF(G803=".",".","Falta Fecha"))</f>
        <v>.</v>
      </c>
      <c r="O803" s="155">
        <f>Formulario!L811</f>
        <v>0</v>
      </c>
      <c r="P803" s="146">
        <f>IF(O803=1,"09:00",Formulario!M811)</f>
        <v>0</v>
      </c>
      <c r="Q803" s="146">
        <f>IF(O803=1,"18:30",Formulario!N811)</f>
        <v>0</v>
      </c>
      <c r="R803" s="146" t="str">
        <f>IF(Formulario!O811&lt;&gt;"",IF(Formulario!O811=" ",".",Formulario!O811),".")</f>
        <v>.</v>
      </c>
      <c r="S803" s="141" t="s">
        <v>131</v>
      </c>
    </row>
    <row r="804" spans="1:19">
      <c r="A804" s="141">
        <f>Formulario!B812</f>
        <v>0</v>
      </c>
      <c r="B804" s="144" t="str">
        <f>IF(G804="."," ",Formulario!D$5)</f>
        <v xml:space="preserve"> </v>
      </c>
      <c r="C804" s="144" t="str">
        <f>IF(G804=".","",Formulario!D$6)</f>
        <v/>
      </c>
      <c r="D804" s="144" t="str">
        <f>IF(H804=".","",Formulario!D$7)</f>
        <v/>
      </c>
      <c r="E804" s="144" t="str">
        <f>IF(G804=".","",Formulario!J$5)</f>
        <v/>
      </c>
      <c r="F804" s="145" t="str">
        <f>IF(G804=".","",Formulario!J$6)</f>
        <v/>
      </c>
      <c r="G804" s="180" t="str">
        <f>IF(Formulario!C812&lt;&gt;"",IF(Formulario!C812=" ","Falta Depto",IF(H804=".","Error En Descripción",Formulario!C812)),IF(H804=".",".","Falta Datos"))</f>
        <v>.</v>
      </c>
      <c r="H804" s="144" t="str">
        <f>IF(Formulario!D812&lt;&gt;"",IF(Formulario!D812=" ",".",Formulario!D812),".")</f>
        <v>.</v>
      </c>
      <c r="I804" s="144" t="str">
        <f>IF(Formulario!E812&lt;&gt;"",IF(Formulario!E812=" "," ",Formulario!E812),IF(G804=".",".","Falta Propietario"))</f>
        <v>.</v>
      </c>
      <c r="J804" s="144" t="str">
        <f>IF(Formulario!F812&lt;&gt;"",IF(Formulario!F812=" "," ",Formulario!F812)," ")</f>
        <v xml:space="preserve"> </v>
      </c>
      <c r="K804" s="144" t="str">
        <f>IF(Formulario!G812&lt;&gt;"",IF(Formulario!G812=" "," ",Formulario!G812)," ")</f>
        <v xml:space="preserve"> </v>
      </c>
      <c r="L804" s="144" t="str">
        <f>IF(Formulario!H812&lt;&gt;"",IF(Formulario!H812=" "," ",Formulario!H812)," ")</f>
        <v xml:space="preserve"> </v>
      </c>
      <c r="M804" s="144" t="str">
        <f>IF(Formulario!I812&lt;&gt;"",IF(Formulario!I812=" "," ",Formulario!I812)," ")</f>
        <v xml:space="preserve"> </v>
      </c>
      <c r="N804" s="145" t="str">
        <f>IF(Formulario!J812&lt;&gt;"",IF(Formulario!J812=" "," ",Formulario!J812),IF(G804=".",".","Falta Fecha"))</f>
        <v>.</v>
      </c>
      <c r="O804" s="155">
        <f>Formulario!L812</f>
        <v>0</v>
      </c>
      <c r="P804" s="146">
        <f>IF(O804=1,"09:00",Formulario!M812)</f>
        <v>0</v>
      </c>
      <c r="Q804" s="146">
        <f>IF(O804=1,"18:30",Formulario!N812)</f>
        <v>0</v>
      </c>
      <c r="R804" s="146" t="str">
        <f>IF(Formulario!O812&lt;&gt;"",IF(Formulario!O812=" ",".",Formulario!O812),".")</f>
        <v>.</v>
      </c>
      <c r="S804" s="141" t="s">
        <v>131</v>
      </c>
    </row>
    <row r="805" spans="1:19">
      <c r="A805" s="141">
        <f>Formulario!B813</f>
        <v>0</v>
      </c>
      <c r="B805" s="144" t="str">
        <f>IF(G805="."," ",Formulario!D$5)</f>
        <v xml:space="preserve"> </v>
      </c>
      <c r="C805" s="144" t="str">
        <f>IF(G805=".","",Formulario!D$6)</f>
        <v/>
      </c>
      <c r="D805" s="144" t="str">
        <f>IF(H805=".","",Formulario!D$7)</f>
        <v/>
      </c>
      <c r="E805" s="144" t="str">
        <f>IF(G805=".","",Formulario!J$5)</f>
        <v/>
      </c>
      <c r="F805" s="145" t="str">
        <f>IF(G805=".","",Formulario!J$6)</f>
        <v/>
      </c>
      <c r="G805" s="180" t="str">
        <f>IF(Formulario!C813&lt;&gt;"",IF(Formulario!C813=" ","Falta Depto",IF(H805=".","Error En Descripción",Formulario!C813)),IF(H805=".",".","Falta Datos"))</f>
        <v>.</v>
      </c>
      <c r="H805" s="144" t="str">
        <f>IF(Formulario!D813&lt;&gt;"",IF(Formulario!D813=" ",".",Formulario!D813),".")</f>
        <v>.</v>
      </c>
      <c r="I805" s="144" t="str">
        <f>IF(Formulario!E813&lt;&gt;"",IF(Formulario!E813=" "," ",Formulario!E813),IF(G805=".",".","Falta Propietario"))</f>
        <v>.</v>
      </c>
      <c r="J805" s="144" t="str">
        <f>IF(Formulario!F813&lt;&gt;"",IF(Formulario!F813=" "," ",Formulario!F813)," ")</f>
        <v xml:space="preserve"> </v>
      </c>
      <c r="K805" s="144" t="str">
        <f>IF(Formulario!G813&lt;&gt;"",IF(Formulario!G813=" "," ",Formulario!G813)," ")</f>
        <v xml:space="preserve"> </v>
      </c>
      <c r="L805" s="144" t="str">
        <f>IF(Formulario!H813&lt;&gt;"",IF(Formulario!H813=" "," ",Formulario!H813)," ")</f>
        <v xml:space="preserve"> </v>
      </c>
      <c r="M805" s="144" t="str">
        <f>IF(Formulario!I813&lt;&gt;"",IF(Formulario!I813=" "," ",Formulario!I813)," ")</f>
        <v xml:space="preserve"> </v>
      </c>
      <c r="N805" s="145" t="str">
        <f>IF(Formulario!J813&lt;&gt;"",IF(Formulario!J813=" "," ",Formulario!J813),IF(G805=".",".","Falta Fecha"))</f>
        <v>.</v>
      </c>
      <c r="O805" s="155">
        <f>Formulario!L813</f>
        <v>0</v>
      </c>
      <c r="P805" s="146">
        <f>IF(O805=1,"09:00",Formulario!M813)</f>
        <v>0</v>
      </c>
      <c r="Q805" s="146">
        <f>IF(O805=1,"18:30",Formulario!N813)</f>
        <v>0</v>
      </c>
      <c r="R805" s="146" t="str">
        <f>IF(Formulario!O813&lt;&gt;"",IF(Formulario!O813=" ",".",Formulario!O813),".")</f>
        <v>.</v>
      </c>
      <c r="S805" s="141" t="s">
        <v>131</v>
      </c>
    </row>
    <row r="806" spans="1:19">
      <c r="A806" s="141">
        <f>Formulario!B814</f>
        <v>0</v>
      </c>
      <c r="B806" s="144" t="str">
        <f>IF(G806="."," ",Formulario!D$5)</f>
        <v xml:space="preserve"> </v>
      </c>
      <c r="C806" s="144" t="str">
        <f>IF(G806=".","",Formulario!D$6)</f>
        <v/>
      </c>
      <c r="D806" s="144" t="str">
        <f>IF(H806=".","",Formulario!D$7)</f>
        <v/>
      </c>
      <c r="E806" s="144" t="str">
        <f>IF(G806=".","",Formulario!J$5)</f>
        <v/>
      </c>
      <c r="F806" s="145" t="str">
        <f>IF(G806=".","",Formulario!J$6)</f>
        <v/>
      </c>
      <c r="G806" s="180" t="str">
        <f>IF(Formulario!C814&lt;&gt;"",IF(Formulario!C814=" ","Falta Depto",IF(H806=".","Error En Descripción",Formulario!C814)),IF(H806=".",".","Falta Datos"))</f>
        <v>.</v>
      </c>
      <c r="H806" s="144" t="str">
        <f>IF(Formulario!D814&lt;&gt;"",IF(Formulario!D814=" ",".",Formulario!D814),".")</f>
        <v>.</v>
      </c>
      <c r="I806" s="144" t="str">
        <f>IF(Formulario!E814&lt;&gt;"",IF(Formulario!E814=" "," ",Formulario!E814),IF(G806=".",".","Falta Propietario"))</f>
        <v>.</v>
      </c>
      <c r="J806" s="144" t="str">
        <f>IF(Formulario!F814&lt;&gt;"",IF(Formulario!F814=" "," ",Formulario!F814)," ")</f>
        <v xml:space="preserve"> </v>
      </c>
      <c r="K806" s="144" t="str">
        <f>IF(Formulario!G814&lt;&gt;"",IF(Formulario!G814=" "," ",Formulario!G814)," ")</f>
        <v xml:space="preserve"> </v>
      </c>
      <c r="L806" s="144" t="str">
        <f>IF(Formulario!H814&lt;&gt;"",IF(Formulario!H814=" "," ",Formulario!H814)," ")</f>
        <v xml:space="preserve"> </v>
      </c>
      <c r="M806" s="144" t="str">
        <f>IF(Formulario!I814&lt;&gt;"",IF(Formulario!I814=" "," ",Formulario!I814)," ")</f>
        <v xml:space="preserve"> </v>
      </c>
      <c r="N806" s="145" t="str">
        <f>IF(Formulario!J814&lt;&gt;"",IF(Formulario!J814=" "," ",Formulario!J814),IF(G806=".",".","Falta Fecha"))</f>
        <v>.</v>
      </c>
      <c r="O806" s="155">
        <f>Formulario!L814</f>
        <v>0</v>
      </c>
      <c r="P806" s="146">
        <f>IF(O806=1,"09:00",Formulario!M814)</f>
        <v>0</v>
      </c>
      <c r="Q806" s="146">
        <f>IF(O806=1,"18:30",Formulario!N814)</f>
        <v>0</v>
      </c>
      <c r="R806" s="146" t="str">
        <f>IF(Formulario!O814&lt;&gt;"",IF(Formulario!O814=" ",".",Formulario!O814),".")</f>
        <v>.</v>
      </c>
      <c r="S806" s="141" t="s">
        <v>131</v>
      </c>
    </row>
    <row r="807" spans="1:19">
      <c r="A807" s="141">
        <f>Formulario!B815</f>
        <v>0</v>
      </c>
      <c r="B807" s="144" t="str">
        <f>IF(G807="."," ",Formulario!D$5)</f>
        <v xml:space="preserve"> </v>
      </c>
      <c r="C807" s="144" t="str">
        <f>IF(G807=".","",Formulario!D$6)</f>
        <v/>
      </c>
      <c r="D807" s="144" t="str">
        <f>IF(H807=".","",Formulario!D$7)</f>
        <v/>
      </c>
      <c r="E807" s="144" t="str">
        <f>IF(G807=".","",Formulario!J$5)</f>
        <v/>
      </c>
      <c r="F807" s="145" t="str">
        <f>IF(G807=".","",Formulario!J$6)</f>
        <v/>
      </c>
      <c r="G807" s="180" t="str">
        <f>IF(Formulario!C815&lt;&gt;"",IF(Formulario!C815=" ","Falta Depto",IF(H807=".","Error En Descripción",Formulario!C815)),IF(H807=".",".","Falta Datos"))</f>
        <v>.</v>
      </c>
      <c r="H807" s="144" t="str">
        <f>IF(Formulario!D815&lt;&gt;"",IF(Formulario!D815=" ",".",Formulario!D815),".")</f>
        <v>.</v>
      </c>
      <c r="I807" s="144" t="str">
        <f>IF(Formulario!E815&lt;&gt;"",IF(Formulario!E815=" "," ",Formulario!E815),IF(G807=".",".","Falta Propietario"))</f>
        <v>.</v>
      </c>
      <c r="J807" s="144" t="str">
        <f>IF(Formulario!F815&lt;&gt;"",IF(Formulario!F815=" "," ",Formulario!F815)," ")</f>
        <v xml:space="preserve"> </v>
      </c>
      <c r="K807" s="144" t="str">
        <f>IF(Formulario!G815&lt;&gt;"",IF(Formulario!G815=" "," ",Formulario!G815)," ")</f>
        <v xml:space="preserve"> </v>
      </c>
      <c r="L807" s="144" t="str">
        <f>IF(Formulario!H815&lt;&gt;"",IF(Formulario!H815=" "," ",Formulario!H815)," ")</f>
        <v xml:space="preserve"> </v>
      </c>
      <c r="M807" s="144" t="str">
        <f>IF(Formulario!I815&lt;&gt;"",IF(Formulario!I815=" "," ",Formulario!I815)," ")</f>
        <v xml:space="preserve"> </v>
      </c>
      <c r="N807" s="145" t="str">
        <f>IF(Formulario!J815&lt;&gt;"",IF(Formulario!J815=" "," ",Formulario!J815),IF(G807=".",".","Falta Fecha"))</f>
        <v>.</v>
      </c>
      <c r="O807" s="155">
        <f>Formulario!L815</f>
        <v>0</v>
      </c>
      <c r="P807" s="146">
        <f>IF(O807=1,"09:00",Formulario!M815)</f>
        <v>0</v>
      </c>
      <c r="Q807" s="146">
        <f>IF(O807=1,"18:30",Formulario!N815)</f>
        <v>0</v>
      </c>
      <c r="R807" s="146" t="str">
        <f>IF(Formulario!O815&lt;&gt;"",IF(Formulario!O815=" ",".",Formulario!O815),".")</f>
        <v>.</v>
      </c>
      <c r="S807" s="141" t="s">
        <v>131</v>
      </c>
    </row>
    <row r="808" spans="1:19">
      <c r="A808" s="141">
        <f>Formulario!B816</f>
        <v>0</v>
      </c>
      <c r="B808" s="144" t="str">
        <f>IF(G808="."," ",Formulario!D$5)</f>
        <v xml:space="preserve"> </v>
      </c>
      <c r="C808" s="144" t="str">
        <f>IF(G808=".","",Formulario!D$6)</f>
        <v/>
      </c>
      <c r="D808" s="144" t="str">
        <f>IF(H808=".","",Formulario!D$7)</f>
        <v/>
      </c>
      <c r="E808" s="144" t="str">
        <f>IF(G808=".","",Formulario!J$5)</f>
        <v/>
      </c>
      <c r="F808" s="145" t="str">
        <f>IF(G808=".","",Formulario!J$6)</f>
        <v/>
      </c>
      <c r="G808" s="180" t="str">
        <f>IF(Formulario!C816&lt;&gt;"",IF(Formulario!C816=" ","Falta Depto",IF(H808=".","Error En Descripción",Formulario!C816)),IF(H808=".",".","Falta Datos"))</f>
        <v>.</v>
      </c>
      <c r="H808" s="144" t="str">
        <f>IF(Formulario!D816&lt;&gt;"",IF(Formulario!D816=" ",".",Formulario!D816),".")</f>
        <v>.</v>
      </c>
      <c r="I808" s="144" t="str">
        <f>IF(Formulario!E816&lt;&gt;"",IF(Formulario!E816=" "," ",Formulario!E816),IF(G808=".",".","Falta Propietario"))</f>
        <v>.</v>
      </c>
      <c r="J808" s="144" t="str">
        <f>IF(Formulario!F816&lt;&gt;"",IF(Formulario!F816=" "," ",Formulario!F816)," ")</f>
        <v xml:space="preserve"> </v>
      </c>
      <c r="K808" s="144" t="str">
        <f>IF(Formulario!G816&lt;&gt;"",IF(Formulario!G816=" "," ",Formulario!G816)," ")</f>
        <v xml:space="preserve"> </v>
      </c>
      <c r="L808" s="144" t="str">
        <f>IF(Formulario!H816&lt;&gt;"",IF(Formulario!H816=" "," ",Formulario!H816)," ")</f>
        <v xml:space="preserve"> </v>
      </c>
      <c r="M808" s="144" t="str">
        <f>IF(Formulario!I816&lt;&gt;"",IF(Formulario!I816=" "," ",Formulario!I816)," ")</f>
        <v xml:space="preserve"> </v>
      </c>
      <c r="N808" s="145" t="str">
        <f>IF(Formulario!J816&lt;&gt;"",IF(Formulario!J816=" "," ",Formulario!J816),IF(G808=".",".","Falta Fecha"))</f>
        <v>.</v>
      </c>
      <c r="O808" s="155">
        <f>Formulario!L816</f>
        <v>0</v>
      </c>
      <c r="P808" s="146">
        <f>IF(O808=1,"09:00",Formulario!M816)</f>
        <v>0</v>
      </c>
      <c r="Q808" s="146">
        <f>IF(O808=1,"18:30",Formulario!N816)</f>
        <v>0</v>
      </c>
      <c r="R808" s="146" t="str">
        <f>IF(Formulario!O816&lt;&gt;"",IF(Formulario!O816=" ",".",Formulario!O816),".")</f>
        <v>.</v>
      </c>
      <c r="S808" s="141" t="s">
        <v>131</v>
      </c>
    </row>
    <row r="809" spans="1:19">
      <c r="A809" s="141">
        <f>Formulario!B817</f>
        <v>0</v>
      </c>
      <c r="B809" s="144" t="str">
        <f>IF(G809="."," ",Formulario!D$5)</f>
        <v xml:space="preserve"> </v>
      </c>
      <c r="C809" s="144" t="str">
        <f>IF(G809=".","",Formulario!D$6)</f>
        <v/>
      </c>
      <c r="D809" s="144" t="str">
        <f>IF(H809=".","",Formulario!D$7)</f>
        <v/>
      </c>
      <c r="E809" s="144" t="str">
        <f>IF(G809=".","",Formulario!J$5)</f>
        <v/>
      </c>
      <c r="F809" s="145" t="str">
        <f>IF(G809=".","",Formulario!J$6)</f>
        <v/>
      </c>
      <c r="G809" s="180" t="str">
        <f>IF(Formulario!C817&lt;&gt;"",IF(Formulario!C817=" ","Falta Depto",IF(H809=".","Error En Descripción",Formulario!C817)),IF(H809=".",".","Falta Datos"))</f>
        <v>.</v>
      </c>
      <c r="H809" s="144" t="str">
        <f>IF(Formulario!D817&lt;&gt;"",IF(Formulario!D817=" ",".",Formulario!D817),".")</f>
        <v>.</v>
      </c>
      <c r="I809" s="144" t="str">
        <f>IF(Formulario!E817&lt;&gt;"",IF(Formulario!E817=" "," ",Formulario!E817),IF(G809=".",".","Falta Propietario"))</f>
        <v>.</v>
      </c>
      <c r="J809" s="144" t="str">
        <f>IF(Formulario!F817&lt;&gt;"",IF(Formulario!F817=" "," ",Formulario!F817)," ")</f>
        <v xml:space="preserve"> </v>
      </c>
      <c r="K809" s="144" t="str">
        <f>IF(Formulario!G817&lt;&gt;"",IF(Formulario!G817=" "," ",Formulario!G817)," ")</f>
        <v xml:space="preserve"> </v>
      </c>
      <c r="L809" s="144" t="str">
        <f>IF(Formulario!H817&lt;&gt;"",IF(Formulario!H817=" "," ",Formulario!H817)," ")</f>
        <v xml:space="preserve"> </v>
      </c>
      <c r="M809" s="144" t="str">
        <f>IF(Formulario!I817&lt;&gt;"",IF(Formulario!I817=" "," ",Formulario!I817)," ")</f>
        <v xml:space="preserve"> </v>
      </c>
      <c r="N809" s="145" t="str">
        <f>IF(Formulario!J817&lt;&gt;"",IF(Formulario!J817=" "," ",Formulario!J817),IF(G809=".",".","Falta Fecha"))</f>
        <v>.</v>
      </c>
      <c r="O809" s="155">
        <f>Formulario!L817</f>
        <v>0</v>
      </c>
      <c r="P809" s="146">
        <f>IF(O809=1,"09:00",Formulario!M817)</f>
        <v>0</v>
      </c>
      <c r="Q809" s="146">
        <f>IF(O809=1,"18:30",Formulario!N817)</f>
        <v>0</v>
      </c>
      <c r="R809" s="146" t="str">
        <f>IF(Formulario!O817&lt;&gt;"",IF(Formulario!O817=" ",".",Formulario!O817),".")</f>
        <v>.</v>
      </c>
      <c r="S809" s="141" t="s">
        <v>131</v>
      </c>
    </row>
    <row r="810" spans="1:19">
      <c r="A810" s="141">
        <f>Formulario!B818</f>
        <v>0</v>
      </c>
      <c r="B810" s="144" t="str">
        <f>IF(G810="."," ",Formulario!D$5)</f>
        <v xml:space="preserve"> </v>
      </c>
      <c r="C810" s="144" t="str">
        <f>IF(G810=".","",Formulario!D$6)</f>
        <v/>
      </c>
      <c r="D810" s="144" t="str">
        <f>IF(H810=".","",Formulario!D$7)</f>
        <v/>
      </c>
      <c r="E810" s="144" t="str">
        <f>IF(G810=".","",Formulario!J$5)</f>
        <v/>
      </c>
      <c r="F810" s="145" t="str">
        <f>IF(G810=".","",Formulario!J$6)</f>
        <v/>
      </c>
      <c r="G810" s="180" t="str">
        <f>IF(Formulario!C818&lt;&gt;"",IF(Formulario!C818=" ","Falta Depto",IF(H810=".","Error En Descripción",Formulario!C818)),IF(H810=".",".","Falta Datos"))</f>
        <v>.</v>
      </c>
      <c r="H810" s="144" t="str">
        <f>IF(Formulario!D818&lt;&gt;"",IF(Formulario!D818=" ",".",Formulario!D818),".")</f>
        <v>.</v>
      </c>
      <c r="I810" s="144" t="str">
        <f>IF(Formulario!E818&lt;&gt;"",IF(Formulario!E818=" "," ",Formulario!E818),IF(G810=".",".","Falta Propietario"))</f>
        <v>.</v>
      </c>
      <c r="J810" s="144" t="str">
        <f>IF(Formulario!F818&lt;&gt;"",IF(Formulario!F818=" "," ",Formulario!F818)," ")</f>
        <v xml:space="preserve"> </v>
      </c>
      <c r="K810" s="144" t="str">
        <f>IF(Formulario!G818&lt;&gt;"",IF(Formulario!G818=" "," ",Formulario!G818)," ")</f>
        <v xml:space="preserve"> </v>
      </c>
      <c r="L810" s="144" t="str">
        <f>IF(Formulario!H818&lt;&gt;"",IF(Formulario!H818=" "," ",Formulario!H818)," ")</f>
        <v xml:space="preserve"> </v>
      </c>
      <c r="M810" s="144" t="str">
        <f>IF(Formulario!I818&lt;&gt;"",IF(Formulario!I818=" "," ",Formulario!I818)," ")</f>
        <v xml:space="preserve"> </v>
      </c>
      <c r="N810" s="145" t="str">
        <f>IF(Formulario!J818&lt;&gt;"",IF(Formulario!J818=" "," ",Formulario!J818),IF(G810=".",".","Falta Fecha"))</f>
        <v>.</v>
      </c>
      <c r="O810" s="155">
        <f>Formulario!L818</f>
        <v>0</v>
      </c>
      <c r="P810" s="146">
        <f>IF(O810=1,"09:00",Formulario!M818)</f>
        <v>0</v>
      </c>
      <c r="Q810" s="146">
        <f>IF(O810=1,"18:30",Formulario!N818)</f>
        <v>0</v>
      </c>
      <c r="R810" s="146" t="str">
        <f>IF(Formulario!O818&lt;&gt;"",IF(Formulario!O818=" ",".",Formulario!O818),".")</f>
        <v>.</v>
      </c>
      <c r="S810" s="141" t="s">
        <v>131</v>
      </c>
    </row>
    <row r="811" spans="1:19">
      <c r="A811" s="141">
        <f>Formulario!B819</f>
        <v>0</v>
      </c>
      <c r="B811" s="144" t="str">
        <f>IF(G811="."," ",Formulario!D$5)</f>
        <v xml:space="preserve"> </v>
      </c>
      <c r="C811" s="144" t="str">
        <f>IF(G811=".","",Formulario!D$6)</f>
        <v/>
      </c>
      <c r="D811" s="144" t="str">
        <f>IF(H811=".","",Formulario!D$7)</f>
        <v/>
      </c>
      <c r="E811" s="144" t="str">
        <f>IF(G811=".","",Formulario!J$5)</f>
        <v/>
      </c>
      <c r="F811" s="145" t="str">
        <f>IF(G811=".","",Formulario!J$6)</f>
        <v/>
      </c>
      <c r="G811" s="180" t="str">
        <f>IF(Formulario!C819&lt;&gt;"",IF(Formulario!C819=" ","Falta Depto",IF(H811=".","Error En Descripción",Formulario!C819)),IF(H811=".",".","Falta Datos"))</f>
        <v>.</v>
      </c>
      <c r="H811" s="144" t="str">
        <f>IF(Formulario!D819&lt;&gt;"",IF(Formulario!D819=" ",".",Formulario!D819),".")</f>
        <v>.</v>
      </c>
      <c r="I811" s="144" t="str">
        <f>IF(Formulario!E819&lt;&gt;"",IF(Formulario!E819=" "," ",Formulario!E819),IF(G811=".",".","Falta Propietario"))</f>
        <v>.</v>
      </c>
      <c r="J811" s="144" t="str">
        <f>IF(Formulario!F819&lt;&gt;"",IF(Formulario!F819=" "," ",Formulario!F819)," ")</f>
        <v xml:space="preserve"> </v>
      </c>
      <c r="K811" s="144" t="str">
        <f>IF(Formulario!G819&lt;&gt;"",IF(Formulario!G819=" "," ",Formulario!G819)," ")</f>
        <v xml:space="preserve"> </v>
      </c>
      <c r="L811" s="144" t="str">
        <f>IF(Formulario!H819&lt;&gt;"",IF(Formulario!H819=" "," ",Formulario!H819)," ")</f>
        <v xml:space="preserve"> </v>
      </c>
      <c r="M811" s="144" t="str">
        <f>IF(Formulario!I819&lt;&gt;"",IF(Formulario!I819=" "," ",Formulario!I819)," ")</f>
        <v xml:space="preserve"> </v>
      </c>
      <c r="N811" s="145" t="str">
        <f>IF(Formulario!J819&lt;&gt;"",IF(Formulario!J819=" "," ",Formulario!J819),IF(G811=".",".","Falta Fecha"))</f>
        <v>.</v>
      </c>
      <c r="O811" s="155">
        <f>Formulario!L819</f>
        <v>0</v>
      </c>
      <c r="P811" s="146">
        <f>IF(O811=1,"09:00",Formulario!M819)</f>
        <v>0</v>
      </c>
      <c r="Q811" s="146">
        <f>IF(O811=1,"18:30",Formulario!N819)</f>
        <v>0</v>
      </c>
      <c r="R811" s="146" t="str">
        <f>IF(Formulario!O819&lt;&gt;"",IF(Formulario!O819=" ",".",Formulario!O819),".")</f>
        <v>.</v>
      </c>
      <c r="S811" s="141" t="s">
        <v>131</v>
      </c>
    </row>
    <row r="812" spans="1:19">
      <c r="A812" s="141">
        <f>Formulario!B820</f>
        <v>0</v>
      </c>
      <c r="B812" s="144" t="str">
        <f>IF(G812="."," ",Formulario!D$5)</f>
        <v xml:space="preserve"> </v>
      </c>
      <c r="C812" s="144" t="str">
        <f>IF(G812=".","",Formulario!D$6)</f>
        <v/>
      </c>
      <c r="D812" s="144" t="str">
        <f>IF(H812=".","",Formulario!D$7)</f>
        <v/>
      </c>
      <c r="E812" s="144" t="str">
        <f>IF(G812=".","",Formulario!J$5)</f>
        <v/>
      </c>
      <c r="F812" s="145" t="str">
        <f>IF(G812=".","",Formulario!J$6)</f>
        <v/>
      </c>
      <c r="G812" s="180" t="str">
        <f>IF(Formulario!C820&lt;&gt;"",IF(Formulario!C820=" ","Falta Depto",IF(H812=".","Error En Descripción",Formulario!C820)),IF(H812=".",".","Falta Datos"))</f>
        <v>.</v>
      </c>
      <c r="H812" s="144" t="str">
        <f>IF(Formulario!D820&lt;&gt;"",IF(Formulario!D820=" ",".",Formulario!D820),".")</f>
        <v>.</v>
      </c>
      <c r="I812" s="144" t="str">
        <f>IF(Formulario!E820&lt;&gt;"",IF(Formulario!E820=" "," ",Formulario!E820),IF(G812=".",".","Falta Propietario"))</f>
        <v>.</v>
      </c>
      <c r="J812" s="144" t="str">
        <f>IF(Formulario!F820&lt;&gt;"",IF(Formulario!F820=" "," ",Formulario!F820)," ")</f>
        <v xml:space="preserve"> </v>
      </c>
      <c r="K812" s="144" t="str">
        <f>IF(Formulario!G820&lt;&gt;"",IF(Formulario!G820=" "," ",Formulario!G820)," ")</f>
        <v xml:space="preserve"> </v>
      </c>
      <c r="L812" s="144" t="str">
        <f>IF(Formulario!H820&lt;&gt;"",IF(Formulario!H820=" "," ",Formulario!H820)," ")</f>
        <v xml:space="preserve"> </v>
      </c>
      <c r="M812" s="144" t="str">
        <f>IF(Formulario!I820&lt;&gt;"",IF(Formulario!I820=" "," ",Formulario!I820)," ")</f>
        <v xml:space="preserve"> </v>
      </c>
      <c r="N812" s="145" t="str">
        <f>IF(Formulario!J820&lt;&gt;"",IF(Formulario!J820=" "," ",Formulario!J820),IF(G812=".",".","Falta Fecha"))</f>
        <v>.</v>
      </c>
      <c r="O812" s="155">
        <f>Formulario!L820</f>
        <v>0</v>
      </c>
      <c r="P812" s="146">
        <f>IF(O812=1,"09:00",Formulario!M820)</f>
        <v>0</v>
      </c>
      <c r="Q812" s="146">
        <f>IF(O812=1,"18:30",Formulario!N820)</f>
        <v>0</v>
      </c>
      <c r="R812" s="146" t="str">
        <f>IF(Formulario!O820&lt;&gt;"",IF(Formulario!O820=" ",".",Formulario!O820),".")</f>
        <v>.</v>
      </c>
      <c r="S812" s="141" t="s">
        <v>131</v>
      </c>
    </row>
    <row r="813" spans="1:19">
      <c r="A813" s="141">
        <f>Formulario!B821</f>
        <v>0</v>
      </c>
      <c r="B813" s="144" t="str">
        <f>IF(G813="."," ",Formulario!D$5)</f>
        <v xml:space="preserve"> </v>
      </c>
      <c r="C813" s="144" t="str">
        <f>IF(G813=".","",Formulario!D$6)</f>
        <v/>
      </c>
      <c r="D813" s="144" t="str">
        <f>IF(H813=".","",Formulario!D$7)</f>
        <v/>
      </c>
      <c r="E813" s="144" t="str">
        <f>IF(G813=".","",Formulario!J$5)</f>
        <v/>
      </c>
      <c r="F813" s="145" t="str">
        <f>IF(G813=".","",Formulario!J$6)</f>
        <v/>
      </c>
      <c r="G813" s="180" t="str">
        <f>IF(Formulario!C821&lt;&gt;"",IF(Formulario!C821=" ","Falta Depto",IF(H813=".","Error En Descripción",Formulario!C821)),IF(H813=".",".","Falta Datos"))</f>
        <v>.</v>
      </c>
      <c r="H813" s="144" t="str">
        <f>IF(Formulario!D821&lt;&gt;"",IF(Formulario!D821=" ",".",Formulario!D821),".")</f>
        <v>.</v>
      </c>
      <c r="I813" s="144" t="str">
        <f>IF(Formulario!E821&lt;&gt;"",IF(Formulario!E821=" "," ",Formulario!E821),IF(G813=".",".","Falta Propietario"))</f>
        <v>.</v>
      </c>
      <c r="J813" s="144" t="str">
        <f>IF(Formulario!F821&lt;&gt;"",IF(Formulario!F821=" "," ",Formulario!F821)," ")</f>
        <v xml:space="preserve"> </v>
      </c>
      <c r="K813" s="144" t="str">
        <f>IF(Formulario!G821&lt;&gt;"",IF(Formulario!G821=" "," ",Formulario!G821)," ")</f>
        <v xml:space="preserve"> </v>
      </c>
      <c r="L813" s="144" t="str">
        <f>IF(Formulario!H821&lt;&gt;"",IF(Formulario!H821=" "," ",Formulario!H821)," ")</f>
        <v xml:space="preserve"> </v>
      </c>
      <c r="M813" s="144" t="str">
        <f>IF(Formulario!I821&lt;&gt;"",IF(Formulario!I821=" "," ",Formulario!I821)," ")</f>
        <v xml:space="preserve"> </v>
      </c>
      <c r="N813" s="145" t="str">
        <f>IF(Formulario!J821&lt;&gt;"",IF(Formulario!J821=" "," ",Formulario!J821),IF(G813=".",".","Falta Fecha"))</f>
        <v>.</v>
      </c>
      <c r="O813" s="155">
        <f>Formulario!L821</f>
        <v>0</v>
      </c>
      <c r="P813" s="146">
        <f>IF(O813=1,"09:00",Formulario!M821)</f>
        <v>0</v>
      </c>
      <c r="Q813" s="146">
        <f>IF(O813=1,"18:30",Formulario!N821)</f>
        <v>0</v>
      </c>
      <c r="R813" s="146" t="str">
        <f>IF(Formulario!O821&lt;&gt;"",IF(Formulario!O821=" ",".",Formulario!O821),".")</f>
        <v>.</v>
      </c>
      <c r="S813" s="141" t="s">
        <v>131</v>
      </c>
    </row>
    <row r="814" spans="1:19">
      <c r="A814" s="141">
        <f>Formulario!B822</f>
        <v>0</v>
      </c>
      <c r="B814" s="144" t="str">
        <f>IF(G814="."," ",Formulario!D$5)</f>
        <v xml:space="preserve"> </v>
      </c>
      <c r="C814" s="144" t="str">
        <f>IF(G814=".","",Formulario!D$6)</f>
        <v/>
      </c>
      <c r="D814" s="144" t="str">
        <f>IF(H814=".","",Formulario!D$7)</f>
        <v/>
      </c>
      <c r="E814" s="144" t="str">
        <f>IF(G814=".","",Formulario!J$5)</f>
        <v/>
      </c>
      <c r="F814" s="145" t="str">
        <f>IF(G814=".","",Formulario!J$6)</f>
        <v/>
      </c>
      <c r="G814" s="180" t="str">
        <f>IF(Formulario!C822&lt;&gt;"",IF(Formulario!C822=" ","Falta Depto",IF(H814=".","Error En Descripción",Formulario!C822)),IF(H814=".",".","Falta Datos"))</f>
        <v>.</v>
      </c>
      <c r="H814" s="144" t="str">
        <f>IF(Formulario!D822&lt;&gt;"",IF(Formulario!D822=" ",".",Formulario!D822),".")</f>
        <v>.</v>
      </c>
      <c r="I814" s="144" t="str">
        <f>IF(Formulario!E822&lt;&gt;"",IF(Formulario!E822=" "," ",Formulario!E822),IF(G814=".",".","Falta Propietario"))</f>
        <v>.</v>
      </c>
      <c r="J814" s="144" t="str">
        <f>IF(Formulario!F822&lt;&gt;"",IF(Formulario!F822=" "," ",Formulario!F822)," ")</f>
        <v xml:space="preserve"> </v>
      </c>
      <c r="K814" s="144" t="str">
        <f>IF(Formulario!G822&lt;&gt;"",IF(Formulario!G822=" "," ",Formulario!G822)," ")</f>
        <v xml:space="preserve"> </v>
      </c>
      <c r="L814" s="144" t="str">
        <f>IF(Formulario!H822&lt;&gt;"",IF(Formulario!H822=" "," ",Formulario!H822)," ")</f>
        <v xml:space="preserve"> </v>
      </c>
      <c r="M814" s="144" t="str">
        <f>IF(Formulario!I822&lt;&gt;"",IF(Formulario!I822=" "," ",Formulario!I822)," ")</f>
        <v xml:space="preserve"> </v>
      </c>
      <c r="N814" s="145" t="str">
        <f>IF(Formulario!J822&lt;&gt;"",IF(Formulario!J822=" "," ",Formulario!J822),IF(G814=".",".","Falta Fecha"))</f>
        <v>.</v>
      </c>
      <c r="O814" s="155">
        <f>Formulario!L822</f>
        <v>0</v>
      </c>
      <c r="P814" s="146">
        <f>IF(O814=1,"09:00",Formulario!M822)</f>
        <v>0</v>
      </c>
      <c r="Q814" s="146">
        <f>IF(O814=1,"18:30",Formulario!N822)</f>
        <v>0</v>
      </c>
      <c r="R814" s="146" t="str">
        <f>IF(Formulario!O822&lt;&gt;"",IF(Formulario!O822=" ",".",Formulario!O822),".")</f>
        <v>.</v>
      </c>
      <c r="S814" s="141" t="s">
        <v>131</v>
      </c>
    </row>
    <row r="815" spans="1:19">
      <c r="A815" s="141">
        <f>Formulario!B823</f>
        <v>0</v>
      </c>
      <c r="B815" s="144" t="str">
        <f>IF(G815="."," ",Formulario!D$5)</f>
        <v xml:space="preserve"> </v>
      </c>
      <c r="C815" s="144" t="str">
        <f>IF(G815=".","",Formulario!D$6)</f>
        <v/>
      </c>
      <c r="D815" s="144" t="str">
        <f>IF(H815=".","",Formulario!D$7)</f>
        <v/>
      </c>
      <c r="E815" s="144" t="str">
        <f>IF(G815=".","",Formulario!J$5)</f>
        <v/>
      </c>
      <c r="F815" s="145" t="str">
        <f>IF(G815=".","",Formulario!J$6)</f>
        <v/>
      </c>
      <c r="G815" s="180" t="str">
        <f>IF(Formulario!C823&lt;&gt;"",IF(Formulario!C823=" ","Falta Depto",IF(H815=".","Error En Descripción",Formulario!C823)),IF(H815=".",".","Falta Datos"))</f>
        <v>.</v>
      </c>
      <c r="H815" s="144" t="str">
        <f>IF(Formulario!D823&lt;&gt;"",IF(Formulario!D823=" ",".",Formulario!D823),".")</f>
        <v>.</v>
      </c>
      <c r="I815" s="144" t="str">
        <f>IF(Formulario!E823&lt;&gt;"",IF(Formulario!E823=" "," ",Formulario!E823),IF(G815=".",".","Falta Propietario"))</f>
        <v>.</v>
      </c>
      <c r="J815" s="144" t="str">
        <f>IF(Formulario!F823&lt;&gt;"",IF(Formulario!F823=" "," ",Formulario!F823)," ")</f>
        <v xml:space="preserve"> </v>
      </c>
      <c r="K815" s="144" t="str">
        <f>IF(Formulario!G823&lt;&gt;"",IF(Formulario!G823=" "," ",Formulario!G823)," ")</f>
        <v xml:space="preserve"> </v>
      </c>
      <c r="L815" s="144" t="str">
        <f>IF(Formulario!H823&lt;&gt;"",IF(Formulario!H823=" "," ",Formulario!H823)," ")</f>
        <v xml:space="preserve"> </v>
      </c>
      <c r="M815" s="144" t="str">
        <f>IF(Formulario!I823&lt;&gt;"",IF(Formulario!I823=" "," ",Formulario!I823)," ")</f>
        <v xml:space="preserve"> </v>
      </c>
      <c r="N815" s="145" t="str">
        <f>IF(Formulario!J823&lt;&gt;"",IF(Formulario!J823=" "," ",Formulario!J823),IF(G815=".",".","Falta Fecha"))</f>
        <v>.</v>
      </c>
      <c r="O815" s="155">
        <f>Formulario!L823</f>
        <v>0</v>
      </c>
      <c r="P815" s="146">
        <f>IF(O815=1,"09:00",Formulario!M823)</f>
        <v>0</v>
      </c>
      <c r="Q815" s="146">
        <f>IF(O815=1,"18:30",Formulario!N823)</f>
        <v>0</v>
      </c>
      <c r="R815" s="146" t="str">
        <f>IF(Formulario!O823&lt;&gt;"",IF(Formulario!O823=" ",".",Formulario!O823),".")</f>
        <v>.</v>
      </c>
      <c r="S815" s="141" t="s">
        <v>131</v>
      </c>
    </row>
    <row r="816" spans="1:19">
      <c r="A816" s="141">
        <f>Formulario!B824</f>
        <v>0</v>
      </c>
      <c r="B816" s="144" t="str">
        <f>IF(G816="."," ",Formulario!D$5)</f>
        <v xml:space="preserve"> </v>
      </c>
      <c r="C816" s="144" t="str">
        <f>IF(G816=".","",Formulario!D$6)</f>
        <v/>
      </c>
      <c r="D816" s="144" t="str">
        <f>IF(H816=".","",Formulario!D$7)</f>
        <v/>
      </c>
      <c r="E816" s="144" t="str">
        <f>IF(G816=".","",Formulario!J$5)</f>
        <v/>
      </c>
      <c r="F816" s="145" t="str">
        <f>IF(G816=".","",Formulario!J$6)</f>
        <v/>
      </c>
      <c r="G816" s="180" t="str">
        <f>IF(Formulario!C824&lt;&gt;"",IF(Formulario!C824=" ","Falta Depto",IF(H816=".","Error En Descripción",Formulario!C824)),IF(H816=".",".","Falta Datos"))</f>
        <v>.</v>
      </c>
      <c r="H816" s="144" t="str">
        <f>IF(Formulario!D824&lt;&gt;"",IF(Formulario!D824=" ",".",Formulario!D824),".")</f>
        <v>.</v>
      </c>
      <c r="I816" s="144" t="str">
        <f>IF(Formulario!E824&lt;&gt;"",IF(Formulario!E824=" "," ",Formulario!E824),IF(G816=".",".","Falta Propietario"))</f>
        <v>.</v>
      </c>
      <c r="J816" s="144" t="str">
        <f>IF(Formulario!F824&lt;&gt;"",IF(Formulario!F824=" "," ",Formulario!F824)," ")</f>
        <v xml:space="preserve"> </v>
      </c>
      <c r="K816" s="144" t="str">
        <f>IF(Formulario!G824&lt;&gt;"",IF(Formulario!G824=" "," ",Formulario!G824)," ")</f>
        <v xml:space="preserve"> </v>
      </c>
      <c r="L816" s="144" t="str">
        <f>IF(Formulario!H824&lt;&gt;"",IF(Formulario!H824=" "," ",Formulario!H824)," ")</f>
        <v xml:space="preserve"> </v>
      </c>
      <c r="M816" s="144" t="str">
        <f>IF(Formulario!I824&lt;&gt;"",IF(Formulario!I824=" "," ",Formulario!I824)," ")</f>
        <v xml:space="preserve"> </v>
      </c>
      <c r="N816" s="145" t="str">
        <f>IF(Formulario!J824&lt;&gt;"",IF(Formulario!J824=" "," ",Formulario!J824),IF(G816=".",".","Falta Fecha"))</f>
        <v>.</v>
      </c>
      <c r="O816" s="155">
        <f>Formulario!L824</f>
        <v>0</v>
      </c>
      <c r="P816" s="146">
        <f>IF(O816=1,"09:00",Formulario!M824)</f>
        <v>0</v>
      </c>
      <c r="Q816" s="146">
        <f>IF(O816=1,"18:30",Formulario!N824)</f>
        <v>0</v>
      </c>
      <c r="R816" s="146" t="str">
        <f>IF(Formulario!O824&lt;&gt;"",IF(Formulario!O824=" ",".",Formulario!O824),".")</f>
        <v>.</v>
      </c>
      <c r="S816" s="141" t="s">
        <v>131</v>
      </c>
    </row>
    <row r="817" spans="1:19">
      <c r="A817" s="141">
        <f>Formulario!B825</f>
        <v>0</v>
      </c>
      <c r="B817" s="144" t="str">
        <f>IF(G817="."," ",Formulario!D$5)</f>
        <v xml:space="preserve"> </v>
      </c>
      <c r="C817" s="144" t="str">
        <f>IF(G817=".","",Formulario!D$6)</f>
        <v/>
      </c>
      <c r="D817" s="144" t="str">
        <f>IF(H817=".","",Formulario!D$7)</f>
        <v/>
      </c>
      <c r="E817" s="144" t="str">
        <f>IF(G817=".","",Formulario!J$5)</f>
        <v/>
      </c>
      <c r="F817" s="145" t="str">
        <f>IF(G817=".","",Formulario!J$6)</f>
        <v/>
      </c>
      <c r="G817" s="180" t="str">
        <f>IF(Formulario!C825&lt;&gt;"",IF(Formulario!C825=" ","Falta Depto",IF(H817=".","Error En Descripción",Formulario!C825)),IF(H817=".",".","Falta Datos"))</f>
        <v>.</v>
      </c>
      <c r="H817" s="144" t="str">
        <f>IF(Formulario!D825&lt;&gt;"",IF(Formulario!D825=" ",".",Formulario!D825),".")</f>
        <v>.</v>
      </c>
      <c r="I817" s="144" t="str">
        <f>IF(Formulario!E825&lt;&gt;"",IF(Formulario!E825=" "," ",Formulario!E825),IF(G817=".",".","Falta Propietario"))</f>
        <v>.</v>
      </c>
      <c r="J817" s="144" t="str">
        <f>IF(Formulario!F825&lt;&gt;"",IF(Formulario!F825=" "," ",Formulario!F825)," ")</f>
        <v xml:space="preserve"> </v>
      </c>
      <c r="K817" s="144" t="str">
        <f>IF(Formulario!G825&lt;&gt;"",IF(Formulario!G825=" "," ",Formulario!G825)," ")</f>
        <v xml:space="preserve"> </v>
      </c>
      <c r="L817" s="144" t="str">
        <f>IF(Formulario!H825&lt;&gt;"",IF(Formulario!H825=" "," ",Formulario!H825)," ")</f>
        <v xml:space="preserve"> </v>
      </c>
      <c r="M817" s="144" t="str">
        <f>IF(Formulario!I825&lt;&gt;"",IF(Formulario!I825=" "," ",Formulario!I825)," ")</f>
        <v xml:space="preserve"> </v>
      </c>
      <c r="N817" s="145" t="str">
        <f>IF(Formulario!J825&lt;&gt;"",IF(Formulario!J825=" "," ",Formulario!J825),IF(G817=".",".","Falta Fecha"))</f>
        <v>.</v>
      </c>
      <c r="O817" s="155">
        <f>Formulario!L825</f>
        <v>0</v>
      </c>
      <c r="P817" s="146">
        <f>IF(O817=1,"09:00",Formulario!M825)</f>
        <v>0</v>
      </c>
      <c r="Q817" s="146">
        <f>IF(O817=1,"18:30",Formulario!N825)</f>
        <v>0</v>
      </c>
      <c r="R817" s="146" t="str">
        <f>IF(Formulario!O825&lt;&gt;"",IF(Formulario!O825=" ",".",Formulario!O825),".")</f>
        <v>.</v>
      </c>
      <c r="S817" s="141" t="s">
        <v>131</v>
      </c>
    </row>
    <row r="818" spans="1:19">
      <c r="A818" s="141">
        <f>Formulario!B826</f>
        <v>0</v>
      </c>
      <c r="B818" s="144" t="str">
        <f>IF(G818="."," ",Formulario!D$5)</f>
        <v xml:space="preserve"> </v>
      </c>
      <c r="C818" s="144" t="str">
        <f>IF(G818=".","",Formulario!D$6)</f>
        <v/>
      </c>
      <c r="D818" s="144" t="str">
        <f>IF(H818=".","",Formulario!D$7)</f>
        <v/>
      </c>
      <c r="E818" s="144" t="str">
        <f>IF(G818=".","",Formulario!J$5)</f>
        <v/>
      </c>
      <c r="F818" s="145" t="str">
        <f>IF(G818=".","",Formulario!J$6)</f>
        <v/>
      </c>
      <c r="G818" s="180" t="str">
        <f>IF(Formulario!C826&lt;&gt;"",IF(Formulario!C826=" ","Falta Depto",IF(H818=".","Error En Descripción",Formulario!C826)),IF(H818=".",".","Falta Datos"))</f>
        <v>.</v>
      </c>
      <c r="H818" s="144" t="str">
        <f>IF(Formulario!D826&lt;&gt;"",IF(Formulario!D826=" ",".",Formulario!D826),".")</f>
        <v>.</v>
      </c>
      <c r="I818" s="144" t="str">
        <f>IF(Formulario!E826&lt;&gt;"",IF(Formulario!E826=" "," ",Formulario!E826),IF(G818=".",".","Falta Propietario"))</f>
        <v>.</v>
      </c>
      <c r="J818" s="144" t="str">
        <f>IF(Formulario!F826&lt;&gt;"",IF(Formulario!F826=" "," ",Formulario!F826)," ")</f>
        <v xml:space="preserve"> </v>
      </c>
      <c r="K818" s="144" t="str">
        <f>IF(Formulario!G826&lt;&gt;"",IF(Formulario!G826=" "," ",Formulario!G826)," ")</f>
        <v xml:space="preserve"> </v>
      </c>
      <c r="L818" s="144" t="str">
        <f>IF(Formulario!H826&lt;&gt;"",IF(Formulario!H826=" "," ",Formulario!H826)," ")</f>
        <v xml:space="preserve"> </v>
      </c>
      <c r="M818" s="144" t="str">
        <f>IF(Formulario!I826&lt;&gt;"",IF(Formulario!I826=" "," ",Formulario!I826)," ")</f>
        <v xml:space="preserve"> </v>
      </c>
      <c r="N818" s="145" t="str">
        <f>IF(Formulario!J826&lt;&gt;"",IF(Formulario!J826=" "," ",Formulario!J826),IF(G818=".",".","Falta Fecha"))</f>
        <v>.</v>
      </c>
      <c r="O818" s="155">
        <f>Formulario!L826</f>
        <v>0</v>
      </c>
      <c r="P818" s="146">
        <f>IF(O818=1,"09:00",Formulario!M826)</f>
        <v>0</v>
      </c>
      <c r="Q818" s="146">
        <f>IF(O818=1,"18:30",Formulario!N826)</f>
        <v>0</v>
      </c>
      <c r="R818" s="146" t="str">
        <f>IF(Formulario!O826&lt;&gt;"",IF(Formulario!O826=" ",".",Formulario!O826),".")</f>
        <v>.</v>
      </c>
      <c r="S818" s="141" t="s">
        <v>131</v>
      </c>
    </row>
    <row r="819" spans="1:19">
      <c r="A819" s="141">
        <f>Formulario!B827</f>
        <v>0</v>
      </c>
      <c r="B819" s="144" t="str">
        <f>IF(G819="."," ",Formulario!D$5)</f>
        <v xml:space="preserve"> </v>
      </c>
      <c r="C819" s="144" t="str">
        <f>IF(G819=".","",Formulario!D$6)</f>
        <v/>
      </c>
      <c r="D819" s="144" t="str">
        <f>IF(H819=".","",Formulario!D$7)</f>
        <v/>
      </c>
      <c r="E819" s="144" t="str">
        <f>IF(G819=".","",Formulario!J$5)</f>
        <v/>
      </c>
      <c r="F819" s="145" t="str">
        <f>IF(G819=".","",Formulario!J$6)</f>
        <v/>
      </c>
      <c r="G819" s="180" t="str">
        <f>IF(Formulario!C827&lt;&gt;"",IF(Formulario!C827=" ","Falta Depto",IF(H819=".","Error En Descripción",Formulario!C827)),IF(H819=".",".","Falta Datos"))</f>
        <v>.</v>
      </c>
      <c r="H819" s="144" t="str">
        <f>IF(Formulario!D827&lt;&gt;"",IF(Formulario!D827=" ",".",Formulario!D827),".")</f>
        <v>.</v>
      </c>
      <c r="I819" s="144" t="str">
        <f>IF(Formulario!E827&lt;&gt;"",IF(Formulario!E827=" "," ",Formulario!E827),IF(G819=".",".","Falta Propietario"))</f>
        <v>.</v>
      </c>
      <c r="J819" s="144" t="str">
        <f>IF(Formulario!F827&lt;&gt;"",IF(Formulario!F827=" "," ",Formulario!F827)," ")</f>
        <v xml:space="preserve"> </v>
      </c>
      <c r="K819" s="144" t="str">
        <f>IF(Formulario!G827&lt;&gt;"",IF(Formulario!G827=" "," ",Formulario!G827)," ")</f>
        <v xml:space="preserve"> </v>
      </c>
      <c r="L819" s="144" t="str">
        <f>IF(Formulario!H827&lt;&gt;"",IF(Formulario!H827=" "," ",Formulario!H827)," ")</f>
        <v xml:space="preserve"> </v>
      </c>
      <c r="M819" s="144" t="str">
        <f>IF(Formulario!I827&lt;&gt;"",IF(Formulario!I827=" "," ",Formulario!I827)," ")</f>
        <v xml:space="preserve"> </v>
      </c>
      <c r="N819" s="145" t="str">
        <f>IF(Formulario!J827&lt;&gt;"",IF(Formulario!J827=" "," ",Formulario!J827),IF(G819=".",".","Falta Fecha"))</f>
        <v>.</v>
      </c>
      <c r="O819" s="155">
        <f>Formulario!L827</f>
        <v>0</v>
      </c>
      <c r="P819" s="146">
        <f>IF(O819=1,"09:00",Formulario!M827)</f>
        <v>0</v>
      </c>
      <c r="Q819" s="146">
        <f>IF(O819=1,"18:30",Formulario!N827)</f>
        <v>0</v>
      </c>
      <c r="R819" s="146" t="str">
        <f>IF(Formulario!O827&lt;&gt;"",IF(Formulario!O827=" ",".",Formulario!O827),".")</f>
        <v>.</v>
      </c>
      <c r="S819" s="141" t="s">
        <v>131</v>
      </c>
    </row>
    <row r="820" spans="1:19">
      <c r="A820" s="141">
        <f>Formulario!B828</f>
        <v>0</v>
      </c>
      <c r="B820" s="144" t="str">
        <f>IF(G820="."," ",Formulario!D$5)</f>
        <v xml:space="preserve"> </v>
      </c>
      <c r="C820" s="144" t="str">
        <f>IF(G820=".","",Formulario!D$6)</f>
        <v/>
      </c>
      <c r="D820" s="144" t="str">
        <f>IF(H820=".","",Formulario!D$7)</f>
        <v/>
      </c>
      <c r="E820" s="144" t="str">
        <f>IF(G820=".","",Formulario!J$5)</f>
        <v/>
      </c>
      <c r="F820" s="145" t="str">
        <f>IF(G820=".","",Formulario!J$6)</f>
        <v/>
      </c>
      <c r="G820" s="180" t="str">
        <f>IF(Formulario!C828&lt;&gt;"",IF(Formulario!C828=" ","Falta Depto",IF(H820=".","Error En Descripción",Formulario!C828)),IF(H820=".",".","Falta Datos"))</f>
        <v>.</v>
      </c>
      <c r="H820" s="144" t="str">
        <f>IF(Formulario!D828&lt;&gt;"",IF(Formulario!D828=" ",".",Formulario!D828),".")</f>
        <v>.</v>
      </c>
      <c r="I820" s="144" t="str">
        <f>IF(Formulario!E828&lt;&gt;"",IF(Formulario!E828=" "," ",Formulario!E828),IF(G820=".",".","Falta Propietario"))</f>
        <v>.</v>
      </c>
      <c r="J820" s="144" t="str">
        <f>IF(Formulario!F828&lt;&gt;"",IF(Formulario!F828=" "," ",Formulario!F828)," ")</f>
        <v xml:space="preserve"> </v>
      </c>
      <c r="K820" s="144" t="str">
        <f>IF(Formulario!G828&lt;&gt;"",IF(Formulario!G828=" "," ",Formulario!G828)," ")</f>
        <v xml:space="preserve"> </v>
      </c>
      <c r="L820" s="144" t="str">
        <f>IF(Formulario!H828&lt;&gt;"",IF(Formulario!H828=" "," ",Formulario!H828)," ")</f>
        <v xml:space="preserve"> </v>
      </c>
      <c r="M820" s="144" t="str">
        <f>IF(Formulario!I828&lt;&gt;"",IF(Formulario!I828=" "," ",Formulario!I828)," ")</f>
        <v xml:space="preserve"> </v>
      </c>
      <c r="N820" s="145" t="str">
        <f>IF(Formulario!J828&lt;&gt;"",IF(Formulario!J828=" "," ",Formulario!J828),IF(G820=".",".","Falta Fecha"))</f>
        <v>.</v>
      </c>
      <c r="O820" s="155">
        <f>Formulario!L828</f>
        <v>0</v>
      </c>
      <c r="P820" s="146">
        <f>IF(O820=1,"09:00",Formulario!M828)</f>
        <v>0</v>
      </c>
      <c r="Q820" s="146">
        <f>IF(O820=1,"18:30",Formulario!N828)</f>
        <v>0</v>
      </c>
      <c r="R820" s="146" t="str">
        <f>IF(Formulario!O828&lt;&gt;"",IF(Formulario!O828=" ",".",Formulario!O828),".")</f>
        <v>.</v>
      </c>
      <c r="S820" s="141" t="s">
        <v>131</v>
      </c>
    </row>
    <row r="821" spans="1:19">
      <c r="A821" s="141">
        <f>Formulario!B829</f>
        <v>0</v>
      </c>
      <c r="B821" s="144" t="str">
        <f>IF(G821="."," ",Formulario!D$5)</f>
        <v xml:space="preserve"> </v>
      </c>
      <c r="C821" s="144" t="str">
        <f>IF(G821=".","",Formulario!D$6)</f>
        <v/>
      </c>
      <c r="D821" s="144" t="str">
        <f>IF(H821=".","",Formulario!D$7)</f>
        <v/>
      </c>
      <c r="E821" s="144" t="str">
        <f>IF(G821=".","",Formulario!J$5)</f>
        <v/>
      </c>
      <c r="F821" s="145" t="str">
        <f>IF(G821=".","",Formulario!J$6)</f>
        <v/>
      </c>
      <c r="G821" s="180" t="str">
        <f>IF(Formulario!C829&lt;&gt;"",IF(Formulario!C829=" ","Falta Depto",IF(H821=".","Error En Descripción",Formulario!C829)),IF(H821=".",".","Falta Datos"))</f>
        <v>.</v>
      </c>
      <c r="H821" s="144" t="str">
        <f>IF(Formulario!D829&lt;&gt;"",IF(Formulario!D829=" ",".",Formulario!D829),".")</f>
        <v>.</v>
      </c>
      <c r="I821" s="144" t="str">
        <f>IF(Formulario!E829&lt;&gt;"",IF(Formulario!E829=" "," ",Formulario!E829),IF(G821=".",".","Falta Propietario"))</f>
        <v>.</v>
      </c>
      <c r="J821" s="144" t="str">
        <f>IF(Formulario!F829&lt;&gt;"",IF(Formulario!F829=" "," ",Formulario!F829)," ")</f>
        <v xml:space="preserve"> </v>
      </c>
      <c r="K821" s="144" t="str">
        <f>IF(Formulario!G829&lt;&gt;"",IF(Formulario!G829=" "," ",Formulario!G829)," ")</f>
        <v xml:space="preserve"> </v>
      </c>
      <c r="L821" s="144" t="str">
        <f>IF(Formulario!H829&lt;&gt;"",IF(Formulario!H829=" "," ",Formulario!H829)," ")</f>
        <v xml:space="preserve"> </v>
      </c>
      <c r="M821" s="144" t="str">
        <f>IF(Formulario!I829&lt;&gt;"",IF(Formulario!I829=" "," ",Formulario!I829)," ")</f>
        <v xml:space="preserve"> </v>
      </c>
      <c r="N821" s="145" t="str">
        <f>IF(Formulario!J829&lt;&gt;"",IF(Formulario!J829=" "," ",Formulario!J829),IF(G821=".",".","Falta Fecha"))</f>
        <v>.</v>
      </c>
      <c r="O821" s="155">
        <f>Formulario!L829</f>
        <v>0</v>
      </c>
      <c r="P821" s="146">
        <f>IF(O821=1,"09:00",Formulario!M829)</f>
        <v>0</v>
      </c>
      <c r="Q821" s="146">
        <f>IF(O821=1,"18:30",Formulario!N829)</f>
        <v>0</v>
      </c>
      <c r="R821" s="146" t="str">
        <f>IF(Formulario!O829&lt;&gt;"",IF(Formulario!O829=" ",".",Formulario!O829),".")</f>
        <v>.</v>
      </c>
      <c r="S821" s="141" t="s">
        <v>131</v>
      </c>
    </row>
    <row r="822" spans="1:19">
      <c r="A822" s="141">
        <f>Formulario!B830</f>
        <v>0</v>
      </c>
      <c r="B822" s="144" t="str">
        <f>IF(G822="."," ",Formulario!D$5)</f>
        <v xml:space="preserve"> </v>
      </c>
      <c r="C822" s="144" t="str">
        <f>IF(G822=".","",Formulario!D$6)</f>
        <v/>
      </c>
      <c r="D822" s="144" t="str">
        <f>IF(H822=".","",Formulario!D$7)</f>
        <v/>
      </c>
      <c r="E822" s="144" t="str">
        <f>IF(G822=".","",Formulario!J$5)</f>
        <v/>
      </c>
      <c r="F822" s="145" t="str">
        <f>IF(G822=".","",Formulario!J$6)</f>
        <v/>
      </c>
      <c r="G822" s="180" t="str">
        <f>IF(Formulario!C830&lt;&gt;"",IF(Formulario!C830=" ","Falta Depto",IF(H822=".","Error En Descripción",Formulario!C830)),IF(H822=".",".","Falta Datos"))</f>
        <v>.</v>
      </c>
      <c r="H822" s="144" t="str">
        <f>IF(Formulario!D830&lt;&gt;"",IF(Formulario!D830=" ",".",Formulario!D830),".")</f>
        <v>.</v>
      </c>
      <c r="I822" s="144" t="str">
        <f>IF(Formulario!E830&lt;&gt;"",IF(Formulario!E830=" "," ",Formulario!E830),IF(G822=".",".","Falta Propietario"))</f>
        <v>.</v>
      </c>
      <c r="J822" s="144" t="str">
        <f>IF(Formulario!F830&lt;&gt;"",IF(Formulario!F830=" "," ",Formulario!F830)," ")</f>
        <v xml:space="preserve"> </v>
      </c>
      <c r="K822" s="144" t="str">
        <f>IF(Formulario!G830&lt;&gt;"",IF(Formulario!G830=" "," ",Formulario!G830)," ")</f>
        <v xml:space="preserve"> </v>
      </c>
      <c r="L822" s="144" t="str">
        <f>IF(Formulario!H830&lt;&gt;"",IF(Formulario!H830=" "," ",Formulario!H830)," ")</f>
        <v xml:space="preserve"> </v>
      </c>
      <c r="M822" s="144" t="str">
        <f>IF(Formulario!I830&lt;&gt;"",IF(Formulario!I830=" "," ",Formulario!I830)," ")</f>
        <v xml:space="preserve"> </v>
      </c>
      <c r="N822" s="145" t="str">
        <f>IF(Formulario!J830&lt;&gt;"",IF(Formulario!J830=" "," ",Formulario!J830),IF(G822=".",".","Falta Fecha"))</f>
        <v>.</v>
      </c>
      <c r="O822" s="155">
        <f>Formulario!L830</f>
        <v>0</v>
      </c>
      <c r="P822" s="146">
        <f>IF(O822=1,"09:00",Formulario!M830)</f>
        <v>0</v>
      </c>
      <c r="Q822" s="146">
        <f>IF(O822=1,"18:30",Formulario!N830)</f>
        <v>0</v>
      </c>
      <c r="R822" s="146" t="str">
        <f>IF(Formulario!O830&lt;&gt;"",IF(Formulario!O830=" ",".",Formulario!O830),".")</f>
        <v>.</v>
      </c>
      <c r="S822" s="141" t="s">
        <v>131</v>
      </c>
    </row>
    <row r="823" spans="1:19">
      <c r="A823" s="141">
        <f>Formulario!B831</f>
        <v>0</v>
      </c>
      <c r="B823" s="144" t="str">
        <f>IF(G823="."," ",Formulario!D$5)</f>
        <v xml:space="preserve"> </v>
      </c>
      <c r="C823" s="144" t="str">
        <f>IF(G823=".","",Formulario!D$6)</f>
        <v/>
      </c>
      <c r="D823" s="144" t="str">
        <f>IF(H823=".","",Formulario!D$7)</f>
        <v/>
      </c>
      <c r="E823" s="144" t="str">
        <f>IF(G823=".","",Formulario!J$5)</f>
        <v/>
      </c>
      <c r="F823" s="145" t="str">
        <f>IF(G823=".","",Formulario!J$6)</f>
        <v/>
      </c>
      <c r="G823" s="180" t="str">
        <f>IF(Formulario!C831&lt;&gt;"",IF(Formulario!C831=" ","Falta Depto",IF(H823=".","Error En Descripción",Formulario!C831)),IF(H823=".",".","Falta Datos"))</f>
        <v>.</v>
      </c>
      <c r="H823" s="144" t="str">
        <f>IF(Formulario!D831&lt;&gt;"",IF(Formulario!D831=" ",".",Formulario!D831),".")</f>
        <v>.</v>
      </c>
      <c r="I823" s="144" t="str">
        <f>IF(Formulario!E831&lt;&gt;"",IF(Formulario!E831=" "," ",Formulario!E831),IF(G823=".",".","Falta Propietario"))</f>
        <v>.</v>
      </c>
      <c r="J823" s="144" t="str">
        <f>IF(Formulario!F831&lt;&gt;"",IF(Formulario!F831=" "," ",Formulario!F831)," ")</f>
        <v xml:space="preserve"> </v>
      </c>
      <c r="K823" s="144" t="str">
        <f>IF(Formulario!G831&lt;&gt;"",IF(Formulario!G831=" "," ",Formulario!G831)," ")</f>
        <v xml:space="preserve"> </v>
      </c>
      <c r="L823" s="144" t="str">
        <f>IF(Formulario!H831&lt;&gt;"",IF(Formulario!H831=" "," ",Formulario!H831)," ")</f>
        <v xml:space="preserve"> </v>
      </c>
      <c r="M823" s="144" t="str">
        <f>IF(Formulario!I831&lt;&gt;"",IF(Formulario!I831=" "," ",Formulario!I831)," ")</f>
        <v xml:space="preserve"> </v>
      </c>
      <c r="N823" s="145" t="str">
        <f>IF(Formulario!J831&lt;&gt;"",IF(Formulario!J831=" "," ",Formulario!J831),IF(G823=".",".","Falta Fecha"))</f>
        <v>.</v>
      </c>
      <c r="O823" s="155">
        <f>Formulario!L831</f>
        <v>0</v>
      </c>
      <c r="P823" s="146">
        <f>IF(O823=1,"09:00",Formulario!M831)</f>
        <v>0</v>
      </c>
      <c r="Q823" s="146">
        <f>IF(O823=1,"18:30",Formulario!N831)</f>
        <v>0</v>
      </c>
      <c r="R823" s="146" t="str">
        <f>IF(Formulario!O831&lt;&gt;"",IF(Formulario!O831=" ",".",Formulario!O831),".")</f>
        <v>.</v>
      </c>
      <c r="S823" s="141" t="s">
        <v>131</v>
      </c>
    </row>
    <row r="824" spans="1:19">
      <c r="A824" s="141">
        <f>Formulario!B832</f>
        <v>0</v>
      </c>
      <c r="B824" s="144" t="str">
        <f>IF(G824="."," ",Formulario!D$5)</f>
        <v xml:space="preserve"> </v>
      </c>
      <c r="C824" s="144" t="str">
        <f>IF(G824=".","",Formulario!D$6)</f>
        <v/>
      </c>
      <c r="D824" s="144" t="str">
        <f>IF(H824=".","",Formulario!D$7)</f>
        <v/>
      </c>
      <c r="E824" s="144" t="str">
        <f>IF(G824=".","",Formulario!J$5)</f>
        <v/>
      </c>
      <c r="F824" s="145" t="str">
        <f>IF(G824=".","",Formulario!J$6)</f>
        <v/>
      </c>
      <c r="G824" s="180" t="str">
        <f>IF(Formulario!C832&lt;&gt;"",IF(Formulario!C832=" ","Falta Depto",IF(H824=".","Error En Descripción",Formulario!C832)),IF(H824=".",".","Falta Datos"))</f>
        <v>.</v>
      </c>
      <c r="H824" s="144" t="str">
        <f>IF(Formulario!D832&lt;&gt;"",IF(Formulario!D832=" ",".",Formulario!D832),".")</f>
        <v>.</v>
      </c>
      <c r="I824" s="144" t="str">
        <f>IF(Formulario!E832&lt;&gt;"",IF(Formulario!E832=" "," ",Formulario!E832),IF(G824=".",".","Falta Propietario"))</f>
        <v>.</v>
      </c>
      <c r="J824" s="144" t="str">
        <f>IF(Formulario!F832&lt;&gt;"",IF(Formulario!F832=" "," ",Formulario!F832)," ")</f>
        <v xml:space="preserve"> </v>
      </c>
      <c r="K824" s="144" t="str">
        <f>IF(Formulario!G832&lt;&gt;"",IF(Formulario!G832=" "," ",Formulario!G832)," ")</f>
        <v xml:space="preserve"> </v>
      </c>
      <c r="L824" s="144" t="str">
        <f>IF(Formulario!H832&lt;&gt;"",IF(Formulario!H832=" "," ",Formulario!H832)," ")</f>
        <v xml:space="preserve"> </v>
      </c>
      <c r="M824" s="144" t="str">
        <f>IF(Formulario!I832&lt;&gt;"",IF(Formulario!I832=" "," ",Formulario!I832)," ")</f>
        <v xml:space="preserve"> </v>
      </c>
      <c r="N824" s="145" t="str">
        <f>IF(Formulario!J832&lt;&gt;"",IF(Formulario!J832=" "," ",Formulario!J832),IF(G824=".",".","Falta Fecha"))</f>
        <v>.</v>
      </c>
      <c r="O824" s="155">
        <f>Formulario!L832</f>
        <v>0</v>
      </c>
      <c r="P824" s="146">
        <f>IF(O824=1,"09:00",Formulario!M832)</f>
        <v>0</v>
      </c>
      <c r="Q824" s="146">
        <f>IF(O824=1,"18:30",Formulario!N832)</f>
        <v>0</v>
      </c>
      <c r="R824" s="146" t="str">
        <f>IF(Formulario!O832&lt;&gt;"",IF(Formulario!O832=" ",".",Formulario!O832),".")</f>
        <v>.</v>
      </c>
      <c r="S824" s="141" t="s">
        <v>131</v>
      </c>
    </row>
    <row r="825" spans="1:19">
      <c r="A825" s="141">
        <f>Formulario!B833</f>
        <v>0</v>
      </c>
      <c r="B825" s="144" t="str">
        <f>IF(G825="."," ",Formulario!D$5)</f>
        <v xml:space="preserve"> </v>
      </c>
      <c r="C825" s="144" t="str">
        <f>IF(G825=".","",Formulario!D$6)</f>
        <v/>
      </c>
      <c r="D825" s="144" t="str">
        <f>IF(H825=".","",Formulario!D$7)</f>
        <v/>
      </c>
      <c r="E825" s="144" t="str">
        <f>IF(G825=".","",Formulario!J$5)</f>
        <v/>
      </c>
      <c r="F825" s="145" t="str">
        <f>IF(G825=".","",Formulario!J$6)</f>
        <v/>
      </c>
      <c r="G825" s="180" t="str">
        <f>IF(Formulario!C833&lt;&gt;"",IF(Formulario!C833=" ","Falta Depto",IF(H825=".","Error En Descripción",Formulario!C833)),IF(H825=".",".","Falta Datos"))</f>
        <v>.</v>
      </c>
      <c r="H825" s="144" t="str">
        <f>IF(Formulario!D833&lt;&gt;"",IF(Formulario!D833=" ",".",Formulario!D833),".")</f>
        <v>.</v>
      </c>
      <c r="I825" s="144" t="str">
        <f>IF(Formulario!E833&lt;&gt;"",IF(Formulario!E833=" "," ",Formulario!E833),IF(G825=".",".","Falta Propietario"))</f>
        <v>.</v>
      </c>
      <c r="J825" s="144" t="str">
        <f>IF(Formulario!F833&lt;&gt;"",IF(Formulario!F833=" "," ",Formulario!F833)," ")</f>
        <v xml:space="preserve"> </v>
      </c>
      <c r="K825" s="144" t="str">
        <f>IF(Formulario!G833&lt;&gt;"",IF(Formulario!G833=" "," ",Formulario!G833)," ")</f>
        <v xml:space="preserve"> </v>
      </c>
      <c r="L825" s="144" t="str">
        <f>IF(Formulario!H833&lt;&gt;"",IF(Formulario!H833=" "," ",Formulario!H833)," ")</f>
        <v xml:space="preserve"> </v>
      </c>
      <c r="M825" s="144" t="str">
        <f>IF(Formulario!I833&lt;&gt;"",IF(Formulario!I833=" "," ",Formulario!I833)," ")</f>
        <v xml:space="preserve"> </v>
      </c>
      <c r="N825" s="145" t="str">
        <f>IF(Formulario!J833&lt;&gt;"",IF(Formulario!J833=" "," ",Formulario!J833),IF(G825=".",".","Falta Fecha"))</f>
        <v>.</v>
      </c>
      <c r="O825" s="155">
        <f>Formulario!L833</f>
        <v>0</v>
      </c>
      <c r="P825" s="146">
        <f>IF(O825=1,"09:00",Formulario!M833)</f>
        <v>0</v>
      </c>
      <c r="Q825" s="146">
        <f>IF(O825=1,"18:30",Formulario!N833)</f>
        <v>0</v>
      </c>
      <c r="R825" s="146" t="str">
        <f>IF(Formulario!O833&lt;&gt;"",IF(Formulario!O833=" ",".",Formulario!O833),".")</f>
        <v>.</v>
      </c>
      <c r="S825" s="141" t="s">
        <v>131</v>
      </c>
    </row>
    <row r="826" spans="1:19">
      <c r="A826" s="141">
        <f>Formulario!B834</f>
        <v>0</v>
      </c>
      <c r="B826" s="144" t="str">
        <f>IF(G826="."," ",Formulario!D$5)</f>
        <v xml:space="preserve"> </v>
      </c>
      <c r="C826" s="144" t="str">
        <f>IF(G826=".","",Formulario!D$6)</f>
        <v/>
      </c>
      <c r="D826" s="144" t="str">
        <f>IF(H826=".","",Formulario!D$7)</f>
        <v/>
      </c>
      <c r="E826" s="144" t="str">
        <f>IF(G826=".","",Formulario!J$5)</f>
        <v/>
      </c>
      <c r="F826" s="145" t="str">
        <f>IF(G826=".","",Formulario!J$6)</f>
        <v/>
      </c>
      <c r="G826" s="180" t="str">
        <f>IF(Formulario!C834&lt;&gt;"",IF(Formulario!C834=" ","Falta Depto",IF(H826=".","Error En Descripción",Formulario!C834)),IF(H826=".",".","Falta Datos"))</f>
        <v>.</v>
      </c>
      <c r="H826" s="144" t="str">
        <f>IF(Formulario!D834&lt;&gt;"",IF(Formulario!D834=" ",".",Formulario!D834),".")</f>
        <v>.</v>
      </c>
      <c r="I826" s="144" t="str">
        <f>IF(Formulario!E834&lt;&gt;"",IF(Formulario!E834=" "," ",Formulario!E834),IF(G826=".",".","Falta Propietario"))</f>
        <v>.</v>
      </c>
      <c r="J826" s="144" t="str">
        <f>IF(Formulario!F834&lt;&gt;"",IF(Formulario!F834=" "," ",Formulario!F834)," ")</f>
        <v xml:space="preserve"> </v>
      </c>
      <c r="K826" s="144" t="str">
        <f>IF(Formulario!G834&lt;&gt;"",IF(Formulario!G834=" "," ",Formulario!G834)," ")</f>
        <v xml:space="preserve"> </v>
      </c>
      <c r="L826" s="144" t="str">
        <f>IF(Formulario!H834&lt;&gt;"",IF(Formulario!H834=" "," ",Formulario!H834)," ")</f>
        <v xml:space="preserve"> </v>
      </c>
      <c r="M826" s="144" t="str">
        <f>IF(Formulario!I834&lt;&gt;"",IF(Formulario!I834=" "," ",Formulario!I834)," ")</f>
        <v xml:space="preserve"> </v>
      </c>
      <c r="N826" s="145" t="str">
        <f>IF(Formulario!J834&lt;&gt;"",IF(Formulario!J834=" "," ",Formulario!J834),IF(G826=".",".","Falta Fecha"))</f>
        <v>.</v>
      </c>
      <c r="O826" s="155">
        <f>Formulario!L834</f>
        <v>0</v>
      </c>
      <c r="P826" s="146">
        <f>IF(O826=1,"09:00",Formulario!M834)</f>
        <v>0</v>
      </c>
      <c r="Q826" s="146">
        <f>IF(O826=1,"18:30",Formulario!N834)</f>
        <v>0</v>
      </c>
      <c r="R826" s="146" t="str">
        <f>IF(Formulario!O834&lt;&gt;"",IF(Formulario!O834=" ",".",Formulario!O834),".")</f>
        <v>.</v>
      </c>
      <c r="S826" s="141" t="s">
        <v>131</v>
      </c>
    </row>
    <row r="827" spans="1:19">
      <c r="A827" s="141">
        <f>Formulario!B835</f>
        <v>0</v>
      </c>
      <c r="B827" s="144" t="str">
        <f>IF(G827="."," ",Formulario!D$5)</f>
        <v xml:space="preserve"> </v>
      </c>
      <c r="C827" s="144" t="str">
        <f>IF(G827=".","",Formulario!D$6)</f>
        <v/>
      </c>
      <c r="D827" s="144" t="str">
        <f>IF(H827=".","",Formulario!D$7)</f>
        <v/>
      </c>
      <c r="E827" s="144" t="str">
        <f>IF(G827=".","",Formulario!J$5)</f>
        <v/>
      </c>
      <c r="F827" s="145" t="str">
        <f>IF(G827=".","",Formulario!J$6)</f>
        <v/>
      </c>
      <c r="G827" s="180" t="str">
        <f>IF(Formulario!C835&lt;&gt;"",IF(Formulario!C835=" ","Falta Depto",IF(H827=".","Error En Descripción",Formulario!C835)),IF(H827=".",".","Falta Datos"))</f>
        <v>.</v>
      </c>
      <c r="H827" s="144" t="str">
        <f>IF(Formulario!D835&lt;&gt;"",IF(Formulario!D835=" ",".",Formulario!D835),".")</f>
        <v>.</v>
      </c>
      <c r="I827" s="144" t="str">
        <f>IF(Formulario!E835&lt;&gt;"",IF(Formulario!E835=" "," ",Formulario!E835),IF(G827=".",".","Falta Propietario"))</f>
        <v>.</v>
      </c>
      <c r="J827" s="144" t="str">
        <f>IF(Formulario!F835&lt;&gt;"",IF(Formulario!F835=" "," ",Formulario!F835)," ")</f>
        <v xml:space="preserve"> </v>
      </c>
      <c r="K827" s="144" t="str">
        <f>IF(Formulario!G835&lt;&gt;"",IF(Formulario!G835=" "," ",Formulario!G835)," ")</f>
        <v xml:space="preserve"> </v>
      </c>
      <c r="L827" s="144" t="str">
        <f>IF(Formulario!H835&lt;&gt;"",IF(Formulario!H835=" "," ",Formulario!H835)," ")</f>
        <v xml:space="preserve"> </v>
      </c>
      <c r="M827" s="144" t="str">
        <f>IF(Formulario!I835&lt;&gt;"",IF(Formulario!I835=" "," ",Formulario!I835)," ")</f>
        <v xml:space="preserve"> </v>
      </c>
      <c r="N827" s="145" t="str">
        <f>IF(Formulario!J835&lt;&gt;"",IF(Formulario!J835=" "," ",Formulario!J835),IF(G827=".",".","Falta Fecha"))</f>
        <v>.</v>
      </c>
      <c r="O827" s="155">
        <f>Formulario!L835</f>
        <v>0</v>
      </c>
      <c r="P827" s="146">
        <f>IF(O827=1,"09:00",Formulario!M835)</f>
        <v>0</v>
      </c>
      <c r="Q827" s="146">
        <f>IF(O827=1,"18:30",Formulario!N835)</f>
        <v>0</v>
      </c>
      <c r="R827" s="146" t="str">
        <f>IF(Formulario!O835&lt;&gt;"",IF(Formulario!O835=" ",".",Formulario!O835),".")</f>
        <v>.</v>
      </c>
      <c r="S827" s="141" t="s">
        <v>131</v>
      </c>
    </row>
    <row r="828" spans="1:19">
      <c r="A828" s="141">
        <f>Formulario!B836</f>
        <v>0</v>
      </c>
      <c r="B828" s="144" t="str">
        <f>IF(G828="."," ",Formulario!D$5)</f>
        <v xml:space="preserve"> </v>
      </c>
      <c r="C828" s="144" t="str">
        <f>IF(G828=".","",Formulario!D$6)</f>
        <v/>
      </c>
      <c r="D828" s="144" t="str">
        <f>IF(H828=".","",Formulario!D$7)</f>
        <v/>
      </c>
      <c r="E828" s="144" t="str">
        <f>IF(G828=".","",Formulario!J$5)</f>
        <v/>
      </c>
      <c r="F828" s="145" t="str">
        <f>IF(G828=".","",Formulario!J$6)</f>
        <v/>
      </c>
      <c r="G828" s="180" t="str">
        <f>IF(Formulario!C836&lt;&gt;"",IF(Formulario!C836=" ","Falta Depto",IF(H828=".","Error En Descripción",Formulario!C836)),IF(H828=".",".","Falta Datos"))</f>
        <v>.</v>
      </c>
      <c r="H828" s="144" t="str">
        <f>IF(Formulario!D836&lt;&gt;"",IF(Formulario!D836=" ",".",Formulario!D836),".")</f>
        <v>.</v>
      </c>
      <c r="I828" s="144" t="str">
        <f>IF(Formulario!E836&lt;&gt;"",IF(Formulario!E836=" "," ",Formulario!E836),IF(G828=".",".","Falta Propietario"))</f>
        <v>.</v>
      </c>
      <c r="J828" s="144" t="str">
        <f>IF(Formulario!F836&lt;&gt;"",IF(Formulario!F836=" "," ",Formulario!F836)," ")</f>
        <v xml:space="preserve"> </v>
      </c>
      <c r="K828" s="144" t="str">
        <f>IF(Formulario!G836&lt;&gt;"",IF(Formulario!G836=" "," ",Formulario!G836)," ")</f>
        <v xml:space="preserve"> </v>
      </c>
      <c r="L828" s="144" t="str">
        <f>IF(Formulario!H836&lt;&gt;"",IF(Formulario!H836=" "," ",Formulario!H836)," ")</f>
        <v xml:space="preserve"> </v>
      </c>
      <c r="M828" s="144" t="str">
        <f>IF(Formulario!I836&lt;&gt;"",IF(Formulario!I836=" "," ",Formulario!I836)," ")</f>
        <v xml:space="preserve"> </v>
      </c>
      <c r="N828" s="145" t="str">
        <f>IF(Formulario!J836&lt;&gt;"",IF(Formulario!J836=" "," ",Formulario!J836),IF(G828=".",".","Falta Fecha"))</f>
        <v>.</v>
      </c>
      <c r="O828" s="155">
        <f>Formulario!L836</f>
        <v>0</v>
      </c>
      <c r="P828" s="146">
        <f>IF(O828=1,"09:00",Formulario!M836)</f>
        <v>0</v>
      </c>
      <c r="Q828" s="146">
        <f>IF(O828=1,"18:30",Formulario!N836)</f>
        <v>0</v>
      </c>
      <c r="R828" s="146" t="str">
        <f>IF(Formulario!O836&lt;&gt;"",IF(Formulario!O836=" ",".",Formulario!O836),".")</f>
        <v>.</v>
      </c>
      <c r="S828" s="141" t="s">
        <v>131</v>
      </c>
    </row>
    <row r="829" spans="1:19">
      <c r="A829" s="141">
        <f>Formulario!B837</f>
        <v>0</v>
      </c>
      <c r="B829" s="144" t="str">
        <f>IF(G829="."," ",Formulario!D$5)</f>
        <v xml:space="preserve"> </v>
      </c>
      <c r="C829" s="144" t="str">
        <f>IF(G829=".","",Formulario!D$6)</f>
        <v/>
      </c>
      <c r="D829" s="144" t="str">
        <f>IF(H829=".","",Formulario!D$7)</f>
        <v/>
      </c>
      <c r="E829" s="144" t="str">
        <f>IF(G829=".","",Formulario!J$5)</f>
        <v/>
      </c>
      <c r="F829" s="145" t="str">
        <f>IF(G829=".","",Formulario!J$6)</f>
        <v/>
      </c>
      <c r="G829" s="180" t="str">
        <f>IF(Formulario!C837&lt;&gt;"",IF(Formulario!C837=" ","Falta Depto",IF(H829=".","Error En Descripción",Formulario!C837)),IF(H829=".",".","Falta Datos"))</f>
        <v>.</v>
      </c>
      <c r="H829" s="144" t="str">
        <f>IF(Formulario!D837&lt;&gt;"",IF(Formulario!D837=" ",".",Formulario!D837),".")</f>
        <v>.</v>
      </c>
      <c r="I829" s="144" t="str">
        <f>IF(Formulario!E837&lt;&gt;"",IF(Formulario!E837=" "," ",Formulario!E837),IF(G829=".",".","Falta Propietario"))</f>
        <v>.</v>
      </c>
      <c r="J829" s="144" t="str">
        <f>IF(Formulario!F837&lt;&gt;"",IF(Formulario!F837=" "," ",Formulario!F837)," ")</f>
        <v xml:space="preserve"> </v>
      </c>
      <c r="K829" s="144" t="str">
        <f>IF(Formulario!G837&lt;&gt;"",IF(Formulario!G837=" "," ",Formulario!G837)," ")</f>
        <v xml:space="preserve"> </v>
      </c>
      <c r="L829" s="144" t="str">
        <f>IF(Formulario!H837&lt;&gt;"",IF(Formulario!H837=" "," ",Formulario!H837)," ")</f>
        <v xml:space="preserve"> </v>
      </c>
      <c r="M829" s="144" t="str">
        <f>IF(Formulario!I837&lt;&gt;"",IF(Formulario!I837=" "," ",Formulario!I837)," ")</f>
        <v xml:space="preserve"> </v>
      </c>
      <c r="N829" s="145" t="str">
        <f>IF(Formulario!J837&lt;&gt;"",IF(Formulario!J837=" "," ",Formulario!J837),IF(G829=".",".","Falta Fecha"))</f>
        <v>.</v>
      </c>
      <c r="O829" s="155">
        <f>Formulario!L837</f>
        <v>0</v>
      </c>
      <c r="P829" s="146">
        <f>IF(O829=1,"09:00",Formulario!M837)</f>
        <v>0</v>
      </c>
      <c r="Q829" s="146">
        <f>IF(O829=1,"18:30",Formulario!N837)</f>
        <v>0</v>
      </c>
      <c r="R829" s="146" t="str">
        <f>IF(Formulario!O837&lt;&gt;"",IF(Formulario!O837=" ",".",Formulario!O837),".")</f>
        <v>.</v>
      </c>
      <c r="S829" s="141" t="s">
        <v>131</v>
      </c>
    </row>
    <row r="830" spans="1:19">
      <c r="A830" s="141">
        <f>Formulario!B838</f>
        <v>0</v>
      </c>
      <c r="B830" s="144" t="str">
        <f>IF(G830="."," ",Formulario!D$5)</f>
        <v xml:space="preserve"> </v>
      </c>
      <c r="C830" s="144" t="str">
        <f>IF(G830=".","",Formulario!D$6)</f>
        <v/>
      </c>
      <c r="D830" s="144" t="str">
        <f>IF(H830=".","",Formulario!D$7)</f>
        <v/>
      </c>
      <c r="E830" s="144" t="str">
        <f>IF(G830=".","",Formulario!J$5)</f>
        <v/>
      </c>
      <c r="F830" s="145" t="str">
        <f>IF(G830=".","",Formulario!J$6)</f>
        <v/>
      </c>
      <c r="G830" s="180" t="str">
        <f>IF(Formulario!C838&lt;&gt;"",IF(Formulario!C838=" ","Falta Depto",IF(H830=".","Error En Descripción",Formulario!C838)),IF(H830=".",".","Falta Datos"))</f>
        <v>.</v>
      </c>
      <c r="H830" s="144" t="str">
        <f>IF(Formulario!D838&lt;&gt;"",IF(Formulario!D838=" ",".",Formulario!D838),".")</f>
        <v>.</v>
      </c>
      <c r="I830" s="144" t="str">
        <f>IF(Formulario!E838&lt;&gt;"",IF(Formulario!E838=" "," ",Formulario!E838),IF(G830=".",".","Falta Propietario"))</f>
        <v>.</v>
      </c>
      <c r="J830" s="144" t="str">
        <f>IF(Formulario!F838&lt;&gt;"",IF(Formulario!F838=" "," ",Formulario!F838)," ")</f>
        <v xml:space="preserve"> </v>
      </c>
      <c r="K830" s="144" t="str">
        <f>IF(Formulario!G838&lt;&gt;"",IF(Formulario!G838=" "," ",Formulario!G838)," ")</f>
        <v xml:space="preserve"> </v>
      </c>
      <c r="L830" s="144" t="str">
        <f>IF(Formulario!H838&lt;&gt;"",IF(Formulario!H838=" "," ",Formulario!H838)," ")</f>
        <v xml:space="preserve"> </v>
      </c>
      <c r="M830" s="144" t="str">
        <f>IF(Formulario!I838&lt;&gt;"",IF(Formulario!I838=" "," ",Formulario!I838)," ")</f>
        <v xml:space="preserve"> </v>
      </c>
      <c r="N830" s="145" t="str">
        <f>IF(Formulario!J838&lt;&gt;"",IF(Formulario!J838=" "," ",Formulario!J838),IF(G830=".",".","Falta Fecha"))</f>
        <v>.</v>
      </c>
      <c r="O830" s="155">
        <f>Formulario!L838</f>
        <v>0</v>
      </c>
      <c r="P830" s="146">
        <f>IF(O830=1,"09:00",Formulario!M838)</f>
        <v>0</v>
      </c>
      <c r="Q830" s="146">
        <f>IF(O830=1,"18:30",Formulario!N838)</f>
        <v>0</v>
      </c>
      <c r="R830" s="146" t="str">
        <f>IF(Formulario!O838&lt;&gt;"",IF(Formulario!O838=" ",".",Formulario!O838),".")</f>
        <v>.</v>
      </c>
      <c r="S830" s="141" t="s">
        <v>131</v>
      </c>
    </row>
    <row r="831" spans="1:19">
      <c r="A831" s="141">
        <f>Formulario!B839</f>
        <v>0</v>
      </c>
      <c r="B831" s="144" t="str">
        <f>IF(G831="."," ",Formulario!D$5)</f>
        <v xml:space="preserve"> </v>
      </c>
      <c r="C831" s="144" t="str">
        <f>IF(G831=".","",Formulario!D$6)</f>
        <v/>
      </c>
      <c r="D831" s="144" t="str">
        <f>IF(H831=".","",Formulario!D$7)</f>
        <v/>
      </c>
      <c r="E831" s="144" t="str">
        <f>IF(G831=".","",Formulario!J$5)</f>
        <v/>
      </c>
      <c r="F831" s="145" t="str">
        <f>IF(G831=".","",Formulario!J$6)</f>
        <v/>
      </c>
      <c r="G831" s="180" t="str">
        <f>IF(Formulario!C839&lt;&gt;"",IF(Formulario!C839=" ","Falta Depto",IF(H831=".","Error En Descripción",Formulario!C839)),IF(H831=".",".","Falta Datos"))</f>
        <v>.</v>
      </c>
      <c r="H831" s="144" t="str">
        <f>IF(Formulario!D839&lt;&gt;"",IF(Formulario!D839=" ",".",Formulario!D839),".")</f>
        <v>.</v>
      </c>
      <c r="I831" s="144" t="str">
        <f>IF(Formulario!E839&lt;&gt;"",IF(Formulario!E839=" "," ",Formulario!E839),IF(G831=".",".","Falta Propietario"))</f>
        <v>.</v>
      </c>
      <c r="J831" s="144" t="str">
        <f>IF(Formulario!F839&lt;&gt;"",IF(Formulario!F839=" "," ",Formulario!F839)," ")</f>
        <v xml:space="preserve"> </v>
      </c>
      <c r="K831" s="144" t="str">
        <f>IF(Formulario!G839&lt;&gt;"",IF(Formulario!G839=" "," ",Formulario!G839)," ")</f>
        <v xml:space="preserve"> </v>
      </c>
      <c r="L831" s="144" t="str">
        <f>IF(Formulario!H839&lt;&gt;"",IF(Formulario!H839=" "," ",Formulario!H839)," ")</f>
        <v xml:space="preserve"> </v>
      </c>
      <c r="M831" s="144" t="str">
        <f>IF(Formulario!I839&lt;&gt;"",IF(Formulario!I839=" "," ",Formulario!I839)," ")</f>
        <v xml:space="preserve"> </v>
      </c>
      <c r="N831" s="145" t="str">
        <f>IF(Formulario!J839&lt;&gt;"",IF(Formulario!J839=" "," ",Formulario!J839),IF(G831=".",".","Falta Fecha"))</f>
        <v>.</v>
      </c>
      <c r="O831" s="155">
        <f>Formulario!L839</f>
        <v>0</v>
      </c>
      <c r="P831" s="146">
        <f>IF(O831=1,"09:00",Formulario!M839)</f>
        <v>0</v>
      </c>
      <c r="Q831" s="146">
        <f>IF(O831=1,"18:30",Formulario!N839)</f>
        <v>0</v>
      </c>
      <c r="R831" s="146" t="str">
        <f>IF(Formulario!O839&lt;&gt;"",IF(Formulario!O839=" ",".",Formulario!O839),".")</f>
        <v>.</v>
      </c>
      <c r="S831" s="141" t="s">
        <v>131</v>
      </c>
    </row>
    <row r="832" spans="1:19">
      <c r="A832" s="141">
        <f>Formulario!B840</f>
        <v>0</v>
      </c>
      <c r="B832" s="144" t="str">
        <f>IF(G832="."," ",Formulario!D$5)</f>
        <v xml:space="preserve"> </v>
      </c>
      <c r="C832" s="144" t="str">
        <f>IF(G832=".","",Formulario!D$6)</f>
        <v/>
      </c>
      <c r="D832" s="144" t="str">
        <f>IF(H832=".","",Formulario!D$7)</f>
        <v/>
      </c>
      <c r="E832" s="144" t="str">
        <f>IF(G832=".","",Formulario!J$5)</f>
        <v/>
      </c>
      <c r="F832" s="145" t="str">
        <f>IF(G832=".","",Formulario!J$6)</f>
        <v/>
      </c>
      <c r="G832" s="180" t="str">
        <f>IF(Formulario!C840&lt;&gt;"",IF(Formulario!C840=" ","Falta Depto",IF(H832=".","Error En Descripción",Formulario!C840)),IF(H832=".",".","Falta Datos"))</f>
        <v>.</v>
      </c>
      <c r="H832" s="144" t="str">
        <f>IF(Formulario!D840&lt;&gt;"",IF(Formulario!D840=" ",".",Formulario!D840),".")</f>
        <v>.</v>
      </c>
      <c r="I832" s="144" t="str">
        <f>IF(Formulario!E840&lt;&gt;"",IF(Formulario!E840=" "," ",Formulario!E840),IF(G832=".",".","Falta Propietario"))</f>
        <v>.</v>
      </c>
      <c r="J832" s="144" t="str">
        <f>IF(Formulario!F840&lt;&gt;"",IF(Formulario!F840=" "," ",Formulario!F840)," ")</f>
        <v xml:space="preserve"> </v>
      </c>
      <c r="K832" s="144" t="str">
        <f>IF(Formulario!G840&lt;&gt;"",IF(Formulario!G840=" "," ",Formulario!G840)," ")</f>
        <v xml:space="preserve"> </v>
      </c>
      <c r="L832" s="144" t="str">
        <f>IF(Formulario!H840&lt;&gt;"",IF(Formulario!H840=" "," ",Formulario!H840)," ")</f>
        <v xml:space="preserve"> </v>
      </c>
      <c r="M832" s="144" t="str">
        <f>IF(Formulario!I840&lt;&gt;"",IF(Formulario!I840=" "," ",Formulario!I840)," ")</f>
        <v xml:space="preserve"> </v>
      </c>
      <c r="N832" s="145" t="str">
        <f>IF(Formulario!J840&lt;&gt;"",IF(Formulario!J840=" "," ",Formulario!J840),IF(G832=".",".","Falta Fecha"))</f>
        <v>.</v>
      </c>
      <c r="O832" s="155">
        <f>Formulario!L840</f>
        <v>0</v>
      </c>
      <c r="P832" s="146">
        <f>IF(O832=1,"09:00",Formulario!M840)</f>
        <v>0</v>
      </c>
      <c r="Q832" s="146">
        <f>IF(O832=1,"18:30",Formulario!N840)</f>
        <v>0</v>
      </c>
      <c r="R832" s="146" t="str">
        <f>IF(Formulario!O840&lt;&gt;"",IF(Formulario!O840=" ",".",Formulario!O840),".")</f>
        <v>.</v>
      </c>
      <c r="S832" s="141" t="s">
        <v>131</v>
      </c>
    </row>
    <row r="833" spans="1:19">
      <c r="A833" s="141">
        <f>Formulario!B841</f>
        <v>0</v>
      </c>
      <c r="B833" s="144" t="str">
        <f>IF(G833="."," ",Formulario!D$5)</f>
        <v xml:space="preserve"> </v>
      </c>
      <c r="C833" s="144" t="str">
        <f>IF(G833=".","",Formulario!D$6)</f>
        <v/>
      </c>
      <c r="D833" s="144" t="str">
        <f>IF(H833=".","",Formulario!D$7)</f>
        <v/>
      </c>
      <c r="E833" s="144" t="str">
        <f>IF(G833=".","",Formulario!J$5)</f>
        <v/>
      </c>
      <c r="F833" s="145" t="str">
        <f>IF(G833=".","",Formulario!J$6)</f>
        <v/>
      </c>
      <c r="G833" s="180" t="str">
        <f>IF(Formulario!C841&lt;&gt;"",IF(Formulario!C841=" ","Falta Depto",IF(H833=".","Error En Descripción",Formulario!C841)),IF(H833=".",".","Falta Datos"))</f>
        <v>.</v>
      </c>
      <c r="H833" s="144" t="str">
        <f>IF(Formulario!D841&lt;&gt;"",IF(Formulario!D841=" ",".",Formulario!D841),".")</f>
        <v>.</v>
      </c>
      <c r="I833" s="144" t="str">
        <f>IF(Formulario!E841&lt;&gt;"",IF(Formulario!E841=" "," ",Formulario!E841),IF(G833=".",".","Falta Propietario"))</f>
        <v>.</v>
      </c>
      <c r="J833" s="144" t="str">
        <f>IF(Formulario!F841&lt;&gt;"",IF(Formulario!F841=" "," ",Formulario!F841)," ")</f>
        <v xml:space="preserve"> </v>
      </c>
      <c r="K833" s="144" t="str">
        <f>IF(Formulario!G841&lt;&gt;"",IF(Formulario!G841=" "," ",Formulario!G841)," ")</f>
        <v xml:space="preserve"> </v>
      </c>
      <c r="L833" s="144" t="str">
        <f>IF(Formulario!H841&lt;&gt;"",IF(Formulario!H841=" "," ",Formulario!H841)," ")</f>
        <v xml:space="preserve"> </v>
      </c>
      <c r="M833" s="144" t="str">
        <f>IF(Formulario!I841&lt;&gt;"",IF(Formulario!I841=" "," ",Formulario!I841)," ")</f>
        <v xml:space="preserve"> </v>
      </c>
      <c r="N833" s="145" t="str">
        <f>IF(Formulario!J841&lt;&gt;"",IF(Formulario!J841=" "," ",Formulario!J841),IF(G833=".",".","Falta Fecha"))</f>
        <v>.</v>
      </c>
      <c r="O833" s="155">
        <f>Formulario!L841</f>
        <v>0</v>
      </c>
      <c r="P833" s="146">
        <f>IF(O833=1,"09:00",Formulario!M841)</f>
        <v>0</v>
      </c>
      <c r="Q833" s="146">
        <f>IF(O833=1,"18:30",Formulario!N841)</f>
        <v>0</v>
      </c>
      <c r="R833" s="146" t="str">
        <f>IF(Formulario!O841&lt;&gt;"",IF(Formulario!O841=" ",".",Formulario!O841),".")</f>
        <v>.</v>
      </c>
      <c r="S833" s="141" t="s">
        <v>131</v>
      </c>
    </row>
    <row r="834" spans="1:19">
      <c r="A834" s="141">
        <f>Formulario!B842</f>
        <v>0</v>
      </c>
      <c r="B834" s="144" t="str">
        <f>IF(G834="."," ",Formulario!D$5)</f>
        <v xml:space="preserve"> </v>
      </c>
      <c r="C834" s="144" t="str">
        <f>IF(G834=".","",Formulario!D$6)</f>
        <v/>
      </c>
      <c r="D834" s="144" t="str">
        <f>IF(H834=".","",Formulario!D$7)</f>
        <v/>
      </c>
      <c r="E834" s="144" t="str">
        <f>IF(G834=".","",Formulario!J$5)</f>
        <v/>
      </c>
      <c r="F834" s="145" t="str">
        <f>IF(G834=".","",Formulario!J$6)</f>
        <v/>
      </c>
      <c r="G834" s="180" t="str">
        <f>IF(Formulario!C842&lt;&gt;"",IF(Formulario!C842=" ","Falta Depto",IF(H834=".","Error En Descripción",Formulario!C842)),IF(H834=".",".","Falta Datos"))</f>
        <v>.</v>
      </c>
      <c r="H834" s="144" t="str">
        <f>IF(Formulario!D842&lt;&gt;"",IF(Formulario!D842=" ",".",Formulario!D842),".")</f>
        <v>.</v>
      </c>
      <c r="I834" s="144" t="str">
        <f>IF(Formulario!E842&lt;&gt;"",IF(Formulario!E842=" "," ",Formulario!E842),IF(G834=".",".","Falta Propietario"))</f>
        <v>.</v>
      </c>
      <c r="J834" s="144" t="str">
        <f>IF(Formulario!F842&lt;&gt;"",IF(Formulario!F842=" "," ",Formulario!F842)," ")</f>
        <v xml:space="preserve"> </v>
      </c>
      <c r="K834" s="144" t="str">
        <f>IF(Formulario!G842&lt;&gt;"",IF(Formulario!G842=" "," ",Formulario!G842)," ")</f>
        <v xml:space="preserve"> </v>
      </c>
      <c r="L834" s="144" t="str">
        <f>IF(Formulario!H842&lt;&gt;"",IF(Formulario!H842=" "," ",Formulario!H842)," ")</f>
        <v xml:space="preserve"> </v>
      </c>
      <c r="M834" s="144" t="str">
        <f>IF(Formulario!I842&lt;&gt;"",IF(Formulario!I842=" "," ",Formulario!I842)," ")</f>
        <v xml:space="preserve"> </v>
      </c>
      <c r="N834" s="145" t="str">
        <f>IF(Formulario!J842&lt;&gt;"",IF(Formulario!J842=" "," ",Formulario!J842),IF(G834=".",".","Falta Fecha"))</f>
        <v>.</v>
      </c>
      <c r="O834" s="155">
        <f>Formulario!L842</f>
        <v>0</v>
      </c>
      <c r="P834" s="146">
        <f>IF(O834=1,"09:00",Formulario!M842)</f>
        <v>0</v>
      </c>
      <c r="Q834" s="146">
        <f>IF(O834=1,"18:30",Formulario!N842)</f>
        <v>0</v>
      </c>
      <c r="R834" s="146" t="str">
        <f>IF(Formulario!O842&lt;&gt;"",IF(Formulario!O842=" ",".",Formulario!O842),".")</f>
        <v>.</v>
      </c>
      <c r="S834" s="141" t="s">
        <v>131</v>
      </c>
    </row>
    <row r="835" spans="1:19">
      <c r="A835" s="141">
        <f>Formulario!B843</f>
        <v>0</v>
      </c>
      <c r="B835" s="144" t="str">
        <f>IF(G835="."," ",Formulario!D$5)</f>
        <v xml:space="preserve"> </v>
      </c>
      <c r="C835" s="144" t="str">
        <f>IF(G835=".","",Formulario!D$6)</f>
        <v/>
      </c>
      <c r="D835" s="144" t="str">
        <f>IF(H835=".","",Formulario!D$7)</f>
        <v/>
      </c>
      <c r="E835" s="144" t="str">
        <f>IF(G835=".","",Formulario!J$5)</f>
        <v/>
      </c>
      <c r="F835" s="145" t="str">
        <f>IF(G835=".","",Formulario!J$6)</f>
        <v/>
      </c>
      <c r="G835" s="180" t="str">
        <f>IF(Formulario!C843&lt;&gt;"",IF(Formulario!C843=" ","Falta Depto",IF(H835=".","Error En Descripción",Formulario!C843)),IF(H835=".",".","Falta Datos"))</f>
        <v>.</v>
      </c>
      <c r="H835" s="144" t="str">
        <f>IF(Formulario!D843&lt;&gt;"",IF(Formulario!D843=" ",".",Formulario!D843),".")</f>
        <v>.</v>
      </c>
      <c r="I835" s="144" t="str">
        <f>IF(Formulario!E843&lt;&gt;"",IF(Formulario!E843=" "," ",Formulario!E843),IF(G835=".",".","Falta Propietario"))</f>
        <v>.</v>
      </c>
      <c r="J835" s="144" t="str">
        <f>IF(Formulario!F843&lt;&gt;"",IF(Formulario!F843=" "," ",Formulario!F843)," ")</f>
        <v xml:space="preserve"> </v>
      </c>
      <c r="K835" s="144" t="str">
        <f>IF(Formulario!G843&lt;&gt;"",IF(Formulario!G843=" "," ",Formulario!G843)," ")</f>
        <v xml:space="preserve"> </v>
      </c>
      <c r="L835" s="144" t="str">
        <f>IF(Formulario!H843&lt;&gt;"",IF(Formulario!H843=" "," ",Formulario!H843)," ")</f>
        <v xml:space="preserve"> </v>
      </c>
      <c r="M835" s="144" t="str">
        <f>IF(Formulario!I843&lt;&gt;"",IF(Formulario!I843=" "," ",Formulario!I843)," ")</f>
        <v xml:space="preserve"> </v>
      </c>
      <c r="N835" s="145" t="str">
        <f>IF(Formulario!J843&lt;&gt;"",IF(Formulario!J843=" "," ",Formulario!J843),IF(G835=".",".","Falta Fecha"))</f>
        <v>.</v>
      </c>
      <c r="O835" s="155">
        <f>Formulario!L843</f>
        <v>0</v>
      </c>
      <c r="P835" s="146">
        <f>IF(O835=1,"09:00",Formulario!M843)</f>
        <v>0</v>
      </c>
      <c r="Q835" s="146">
        <f>IF(O835=1,"18:30",Formulario!N843)</f>
        <v>0</v>
      </c>
      <c r="R835" s="146" t="str">
        <f>IF(Formulario!O843&lt;&gt;"",IF(Formulario!O843=" ",".",Formulario!O843),".")</f>
        <v>.</v>
      </c>
      <c r="S835" s="141" t="s">
        <v>131</v>
      </c>
    </row>
    <row r="836" spans="1:19">
      <c r="A836" s="141">
        <f>Formulario!B844</f>
        <v>0</v>
      </c>
      <c r="B836" s="144" t="str">
        <f>IF(G836="."," ",Formulario!D$5)</f>
        <v xml:space="preserve"> </v>
      </c>
      <c r="C836" s="144" t="str">
        <f>IF(G836=".","",Formulario!D$6)</f>
        <v/>
      </c>
      <c r="D836" s="144" t="str">
        <f>IF(H836=".","",Formulario!D$7)</f>
        <v/>
      </c>
      <c r="E836" s="144" t="str">
        <f>IF(G836=".","",Formulario!J$5)</f>
        <v/>
      </c>
      <c r="F836" s="145" t="str">
        <f>IF(G836=".","",Formulario!J$6)</f>
        <v/>
      </c>
      <c r="G836" s="180" t="str">
        <f>IF(Formulario!C844&lt;&gt;"",IF(Formulario!C844=" ","Falta Depto",IF(H836=".","Error En Descripción",Formulario!C844)),IF(H836=".",".","Falta Datos"))</f>
        <v>.</v>
      </c>
      <c r="H836" s="144" t="str">
        <f>IF(Formulario!D844&lt;&gt;"",IF(Formulario!D844=" ",".",Formulario!D844),".")</f>
        <v>.</v>
      </c>
      <c r="I836" s="144" t="str">
        <f>IF(Formulario!E844&lt;&gt;"",IF(Formulario!E844=" "," ",Formulario!E844),IF(G836=".",".","Falta Propietario"))</f>
        <v>.</v>
      </c>
      <c r="J836" s="144" t="str">
        <f>IF(Formulario!F844&lt;&gt;"",IF(Formulario!F844=" "," ",Formulario!F844)," ")</f>
        <v xml:space="preserve"> </v>
      </c>
      <c r="K836" s="144" t="str">
        <f>IF(Formulario!G844&lt;&gt;"",IF(Formulario!G844=" "," ",Formulario!G844)," ")</f>
        <v xml:space="preserve"> </v>
      </c>
      <c r="L836" s="144" t="str">
        <f>IF(Formulario!H844&lt;&gt;"",IF(Formulario!H844=" "," ",Formulario!H844)," ")</f>
        <v xml:space="preserve"> </v>
      </c>
      <c r="M836" s="144" t="str">
        <f>IF(Formulario!I844&lt;&gt;"",IF(Formulario!I844=" "," ",Formulario!I844)," ")</f>
        <v xml:space="preserve"> </v>
      </c>
      <c r="N836" s="145" t="str">
        <f>IF(Formulario!J844&lt;&gt;"",IF(Formulario!J844=" "," ",Formulario!J844),IF(G836=".",".","Falta Fecha"))</f>
        <v>.</v>
      </c>
      <c r="O836" s="155">
        <f>Formulario!L844</f>
        <v>0</v>
      </c>
      <c r="P836" s="146">
        <f>IF(O836=1,"09:00",Formulario!M844)</f>
        <v>0</v>
      </c>
      <c r="Q836" s="146">
        <f>IF(O836=1,"18:30",Formulario!N844)</f>
        <v>0</v>
      </c>
      <c r="R836" s="146" t="str">
        <f>IF(Formulario!O844&lt;&gt;"",IF(Formulario!O844=" ",".",Formulario!O844),".")</f>
        <v>.</v>
      </c>
      <c r="S836" s="141" t="s">
        <v>131</v>
      </c>
    </row>
    <row r="837" spans="1:19">
      <c r="A837" s="141">
        <f>Formulario!B845</f>
        <v>0</v>
      </c>
      <c r="B837" s="144" t="str">
        <f>IF(G837="."," ",Formulario!D$5)</f>
        <v xml:space="preserve"> </v>
      </c>
      <c r="C837" s="144" t="str">
        <f>IF(G837=".","",Formulario!D$6)</f>
        <v/>
      </c>
      <c r="D837" s="144" t="str">
        <f>IF(H837=".","",Formulario!D$7)</f>
        <v/>
      </c>
      <c r="E837" s="144" t="str">
        <f>IF(G837=".","",Formulario!J$5)</f>
        <v/>
      </c>
      <c r="F837" s="145" t="str">
        <f>IF(G837=".","",Formulario!J$6)</f>
        <v/>
      </c>
      <c r="G837" s="180" t="str">
        <f>IF(Formulario!C845&lt;&gt;"",IF(Formulario!C845=" ","Falta Depto",IF(H837=".","Error En Descripción",Formulario!C845)),IF(H837=".",".","Falta Datos"))</f>
        <v>.</v>
      </c>
      <c r="H837" s="144" t="str">
        <f>IF(Formulario!D845&lt;&gt;"",IF(Formulario!D845=" ",".",Formulario!D845),".")</f>
        <v>.</v>
      </c>
      <c r="I837" s="144" t="str">
        <f>IF(Formulario!E845&lt;&gt;"",IF(Formulario!E845=" "," ",Formulario!E845),IF(G837=".",".","Falta Propietario"))</f>
        <v>.</v>
      </c>
      <c r="J837" s="144" t="str">
        <f>IF(Formulario!F845&lt;&gt;"",IF(Formulario!F845=" "," ",Formulario!F845)," ")</f>
        <v xml:space="preserve"> </v>
      </c>
      <c r="K837" s="144" t="str">
        <f>IF(Formulario!G845&lt;&gt;"",IF(Formulario!G845=" "," ",Formulario!G845)," ")</f>
        <v xml:space="preserve"> </v>
      </c>
      <c r="L837" s="144" t="str">
        <f>IF(Formulario!H845&lt;&gt;"",IF(Formulario!H845=" "," ",Formulario!H845)," ")</f>
        <v xml:space="preserve"> </v>
      </c>
      <c r="M837" s="144" t="str">
        <f>IF(Formulario!I845&lt;&gt;"",IF(Formulario!I845=" "," ",Formulario!I845)," ")</f>
        <v xml:space="preserve"> </v>
      </c>
      <c r="N837" s="145" t="str">
        <f>IF(Formulario!J845&lt;&gt;"",IF(Formulario!J845=" "," ",Formulario!J845),IF(G837=".",".","Falta Fecha"))</f>
        <v>.</v>
      </c>
      <c r="O837" s="155">
        <f>Formulario!L845</f>
        <v>0</v>
      </c>
      <c r="P837" s="146">
        <f>IF(O837=1,"09:00",Formulario!M845)</f>
        <v>0</v>
      </c>
      <c r="Q837" s="146">
        <f>IF(O837=1,"18:30",Formulario!N845)</f>
        <v>0</v>
      </c>
      <c r="R837" s="146" t="str">
        <f>IF(Formulario!O845&lt;&gt;"",IF(Formulario!O845=" ",".",Formulario!O845),".")</f>
        <v>.</v>
      </c>
      <c r="S837" s="141" t="s">
        <v>131</v>
      </c>
    </row>
    <row r="838" spans="1:19">
      <c r="A838" s="141">
        <f>Formulario!B846</f>
        <v>0</v>
      </c>
      <c r="B838" s="144" t="str">
        <f>IF(G838="."," ",Formulario!D$5)</f>
        <v xml:space="preserve"> </v>
      </c>
      <c r="C838" s="144" t="str">
        <f>IF(G838=".","",Formulario!D$6)</f>
        <v/>
      </c>
      <c r="D838" s="144" t="str">
        <f>IF(H838=".","",Formulario!D$7)</f>
        <v/>
      </c>
      <c r="E838" s="144" t="str">
        <f>IF(G838=".","",Formulario!J$5)</f>
        <v/>
      </c>
      <c r="F838" s="145" t="str">
        <f>IF(G838=".","",Formulario!J$6)</f>
        <v/>
      </c>
      <c r="G838" s="180" t="str">
        <f>IF(Formulario!C846&lt;&gt;"",IF(Formulario!C846=" ","Falta Depto",IF(H838=".","Error En Descripción",Formulario!C846)),IF(H838=".",".","Falta Datos"))</f>
        <v>.</v>
      </c>
      <c r="H838" s="144" t="str">
        <f>IF(Formulario!D846&lt;&gt;"",IF(Formulario!D846=" ",".",Formulario!D846),".")</f>
        <v>.</v>
      </c>
      <c r="I838" s="144" t="str">
        <f>IF(Formulario!E846&lt;&gt;"",IF(Formulario!E846=" "," ",Formulario!E846),IF(G838=".",".","Falta Propietario"))</f>
        <v>.</v>
      </c>
      <c r="J838" s="144" t="str">
        <f>IF(Formulario!F846&lt;&gt;"",IF(Formulario!F846=" "," ",Formulario!F846)," ")</f>
        <v xml:space="preserve"> </v>
      </c>
      <c r="K838" s="144" t="str">
        <f>IF(Formulario!G846&lt;&gt;"",IF(Formulario!G846=" "," ",Formulario!G846)," ")</f>
        <v xml:space="preserve"> </v>
      </c>
      <c r="L838" s="144" t="str">
        <f>IF(Formulario!H846&lt;&gt;"",IF(Formulario!H846=" "," ",Formulario!H846)," ")</f>
        <v xml:space="preserve"> </v>
      </c>
      <c r="M838" s="144" t="str">
        <f>IF(Formulario!I846&lt;&gt;"",IF(Formulario!I846=" "," ",Formulario!I846)," ")</f>
        <v xml:space="preserve"> </v>
      </c>
      <c r="N838" s="145" t="str">
        <f>IF(Formulario!J846&lt;&gt;"",IF(Formulario!J846=" "," ",Formulario!J846),IF(G838=".",".","Falta Fecha"))</f>
        <v>.</v>
      </c>
      <c r="O838" s="155">
        <f>Formulario!L846</f>
        <v>0</v>
      </c>
      <c r="P838" s="146">
        <f>IF(O838=1,"09:00",Formulario!M846)</f>
        <v>0</v>
      </c>
      <c r="Q838" s="146">
        <f>IF(O838=1,"18:30",Formulario!N846)</f>
        <v>0</v>
      </c>
      <c r="R838" s="146" t="str">
        <f>IF(Formulario!O846&lt;&gt;"",IF(Formulario!O846=" ",".",Formulario!O846),".")</f>
        <v>.</v>
      </c>
      <c r="S838" s="141" t="s">
        <v>131</v>
      </c>
    </row>
    <row r="839" spans="1:19">
      <c r="A839" s="141">
        <f>Formulario!B847</f>
        <v>0</v>
      </c>
      <c r="B839" s="144" t="str">
        <f>IF(G839="."," ",Formulario!D$5)</f>
        <v xml:space="preserve"> </v>
      </c>
      <c r="C839" s="144" t="str">
        <f>IF(G839=".","",Formulario!D$6)</f>
        <v/>
      </c>
      <c r="D839" s="144" t="str">
        <f>IF(H839=".","",Formulario!D$7)</f>
        <v/>
      </c>
      <c r="E839" s="144" t="str">
        <f>IF(G839=".","",Formulario!J$5)</f>
        <v/>
      </c>
      <c r="F839" s="145" t="str">
        <f>IF(G839=".","",Formulario!J$6)</f>
        <v/>
      </c>
      <c r="G839" s="180" t="str">
        <f>IF(Formulario!C847&lt;&gt;"",IF(Formulario!C847=" ","Falta Depto",IF(H839=".","Error En Descripción",Formulario!C847)),IF(H839=".",".","Falta Datos"))</f>
        <v>.</v>
      </c>
      <c r="H839" s="144" t="str">
        <f>IF(Formulario!D847&lt;&gt;"",IF(Formulario!D847=" ",".",Formulario!D847),".")</f>
        <v>.</v>
      </c>
      <c r="I839" s="144" t="str">
        <f>IF(Formulario!E847&lt;&gt;"",IF(Formulario!E847=" "," ",Formulario!E847),IF(G839=".",".","Falta Propietario"))</f>
        <v>.</v>
      </c>
      <c r="J839" s="144" t="str">
        <f>IF(Formulario!F847&lt;&gt;"",IF(Formulario!F847=" "," ",Formulario!F847)," ")</f>
        <v xml:space="preserve"> </v>
      </c>
      <c r="K839" s="144" t="str">
        <f>IF(Formulario!G847&lt;&gt;"",IF(Formulario!G847=" "," ",Formulario!G847)," ")</f>
        <v xml:space="preserve"> </v>
      </c>
      <c r="L839" s="144" t="str">
        <f>IF(Formulario!H847&lt;&gt;"",IF(Formulario!H847=" "," ",Formulario!H847)," ")</f>
        <v xml:space="preserve"> </v>
      </c>
      <c r="M839" s="144" t="str">
        <f>IF(Formulario!I847&lt;&gt;"",IF(Formulario!I847=" "," ",Formulario!I847)," ")</f>
        <v xml:space="preserve"> </v>
      </c>
      <c r="N839" s="145" t="str">
        <f>IF(Formulario!J847&lt;&gt;"",IF(Formulario!J847=" "," ",Formulario!J847),IF(G839=".",".","Falta Fecha"))</f>
        <v>.</v>
      </c>
      <c r="O839" s="155">
        <f>Formulario!L847</f>
        <v>0</v>
      </c>
      <c r="P839" s="146">
        <f>IF(O839=1,"09:00",Formulario!M847)</f>
        <v>0</v>
      </c>
      <c r="Q839" s="146">
        <f>IF(O839=1,"18:30",Formulario!N847)</f>
        <v>0</v>
      </c>
      <c r="R839" s="146" t="str">
        <f>IF(Formulario!O847&lt;&gt;"",IF(Formulario!O847=" ",".",Formulario!O847),".")</f>
        <v>.</v>
      </c>
      <c r="S839" s="141" t="s">
        <v>131</v>
      </c>
    </row>
    <row r="840" spans="1:19">
      <c r="A840" s="141">
        <f>Formulario!B848</f>
        <v>0</v>
      </c>
      <c r="B840" s="144" t="str">
        <f>IF(G840="."," ",Formulario!D$5)</f>
        <v xml:space="preserve"> </v>
      </c>
      <c r="C840" s="144" t="str">
        <f>IF(G840=".","",Formulario!D$6)</f>
        <v/>
      </c>
      <c r="D840" s="144" t="str">
        <f>IF(H840=".","",Formulario!D$7)</f>
        <v/>
      </c>
      <c r="E840" s="144" t="str">
        <f>IF(G840=".","",Formulario!J$5)</f>
        <v/>
      </c>
      <c r="F840" s="145" t="str">
        <f>IF(G840=".","",Formulario!J$6)</f>
        <v/>
      </c>
      <c r="G840" s="180" t="str">
        <f>IF(Formulario!C848&lt;&gt;"",IF(Formulario!C848=" ","Falta Depto",IF(H840=".","Error En Descripción",Formulario!C848)),IF(H840=".",".","Falta Datos"))</f>
        <v>.</v>
      </c>
      <c r="H840" s="144" t="str">
        <f>IF(Formulario!D848&lt;&gt;"",IF(Formulario!D848=" ",".",Formulario!D848),".")</f>
        <v>.</v>
      </c>
      <c r="I840" s="144" t="str">
        <f>IF(Formulario!E848&lt;&gt;"",IF(Formulario!E848=" "," ",Formulario!E848),IF(G840=".",".","Falta Propietario"))</f>
        <v>.</v>
      </c>
      <c r="J840" s="144" t="str">
        <f>IF(Formulario!F848&lt;&gt;"",IF(Formulario!F848=" "," ",Formulario!F848)," ")</f>
        <v xml:space="preserve"> </v>
      </c>
      <c r="K840" s="144" t="str">
        <f>IF(Formulario!G848&lt;&gt;"",IF(Formulario!G848=" "," ",Formulario!G848)," ")</f>
        <v xml:space="preserve"> </v>
      </c>
      <c r="L840" s="144" t="str">
        <f>IF(Formulario!H848&lt;&gt;"",IF(Formulario!H848=" "," ",Formulario!H848)," ")</f>
        <v xml:space="preserve"> </v>
      </c>
      <c r="M840" s="144" t="str">
        <f>IF(Formulario!I848&lt;&gt;"",IF(Formulario!I848=" "," ",Formulario!I848)," ")</f>
        <v xml:space="preserve"> </v>
      </c>
      <c r="N840" s="145" t="str">
        <f>IF(Formulario!J848&lt;&gt;"",IF(Formulario!J848=" "," ",Formulario!J848),IF(G840=".",".","Falta Fecha"))</f>
        <v>.</v>
      </c>
      <c r="O840" s="155">
        <f>Formulario!L848</f>
        <v>0</v>
      </c>
      <c r="P840" s="146">
        <f>IF(O840=1,"09:00",Formulario!M848)</f>
        <v>0</v>
      </c>
      <c r="Q840" s="146">
        <f>IF(O840=1,"18:30",Formulario!N848)</f>
        <v>0</v>
      </c>
      <c r="R840" s="146" t="str">
        <f>IF(Formulario!O848&lt;&gt;"",IF(Formulario!O848=" ",".",Formulario!O848),".")</f>
        <v>.</v>
      </c>
      <c r="S840" s="141" t="s">
        <v>131</v>
      </c>
    </row>
    <row r="841" spans="1:19">
      <c r="A841" s="141">
        <f>Formulario!B849</f>
        <v>0</v>
      </c>
      <c r="B841" s="144" t="str">
        <f>IF(G841="."," ",Formulario!D$5)</f>
        <v xml:space="preserve"> </v>
      </c>
      <c r="C841" s="144" t="str">
        <f>IF(G841=".","",Formulario!D$6)</f>
        <v/>
      </c>
      <c r="D841" s="144" t="str">
        <f>IF(H841=".","",Formulario!D$7)</f>
        <v/>
      </c>
      <c r="E841" s="144" t="str">
        <f>IF(G841=".","",Formulario!J$5)</f>
        <v/>
      </c>
      <c r="F841" s="145" t="str">
        <f>IF(G841=".","",Formulario!J$6)</f>
        <v/>
      </c>
      <c r="G841" s="180" t="str">
        <f>IF(Formulario!C849&lt;&gt;"",IF(Formulario!C849=" ","Falta Depto",IF(H841=".","Error En Descripción",Formulario!C849)),IF(H841=".",".","Falta Datos"))</f>
        <v>.</v>
      </c>
      <c r="H841" s="144" t="str">
        <f>IF(Formulario!D849&lt;&gt;"",IF(Formulario!D849=" ",".",Formulario!D849),".")</f>
        <v>.</v>
      </c>
      <c r="I841" s="144" t="str">
        <f>IF(Formulario!E849&lt;&gt;"",IF(Formulario!E849=" "," ",Formulario!E849),IF(G841=".",".","Falta Propietario"))</f>
        <v>.</v>
      </c>
      <c r="J841" s="144" t="str">
        <f>IF(Formulario!F849&lt;&gt;"",IF(Formulario!F849=" "," ",Formulario!F849)," ")</f>
        <v xml:space="preserve"> </v>
      </c>
      <c r="K841" s="144" t="str">
        <f>IF(Formulario!G849&lt;&gt;"",IF(Formulario!G849=" "," ",Formulario!G849)," ")</f>
        <v xml:space="preserve"> </v>
      </c>
      <c r="L841" s="144" t="str">
        <f>IF(Formulario!H849&lt;&gt;"",IF(Formulario!H849=" "," ",Formulario!H849)," ")</f>
        <v xml:space="preserve"> </v>
      </c>
      <c r="M841" s="144" t="str">
        <f>IF(Formulario!I849&lt;&gt;"",IF(Formulario!I849=" "," ",Formulario!I849)," ")</f>
        <v xml:space="preserve"> </v>
      </c>
      <c r="N841" s="145" t="str">
        <f>IF(Formulario!J849&lt;&gt;"",IF(Formulario!J849=" "," ",Formulario!J849),IF(G841=".",".","Falta Fecha"))</f>
        <v>.</v>
      </c>
      <c r="O841" s="155">
        <f>Formulario!L849</f>
        <v>0</v>
      </c>
      <c r="P841" s="146">
        <f>IF(O841=1,"09:00",Formulario!M849)</f>
        <v>0</v>
      </c>
      <c r="Q841" s="146">
        <f>IF(O841=1,"18:30",Formulario!N849)</f>
        <v>0</v>
      </c>
      <c r="R841" s="146" t="str">
        <f>IF(Formulario!O849&lt;&gt;"",IF(Formulario!O849=" ",".",Formulario!O849),".")</f>
        <v>.</v>
      </c>
      <c r="S841" s="141" t="s">
        <v>131</v>
      </c>
    </row>
    <row r="842" spans="1:19">
      <c r="A842" s="141">
        <f>Formulario!B850</f>
        <v>0</v>
      </c>
      <c r="B842" s="144" t="str">
        <f>IF(G842="."," ",Formulario!D$5)</f>
        <v xml:space="preserve"> </v>
      </c>
      <c r="C842" s="144" t="str">
        <f>IF(G842=".","",Formulario!D$6)</f>
        <v/>
      </c>
      <c r="D842" s="144" t="str">
        <f>IF(H842=".","",Formulario!D$7)</f>
        <v/>
      </c>
      <c r="E842" s="144" t="str">
        <f>IF(G842=".","",Formulario!J$5)</f>
        <v/>
      </c>
      <c r="F842" s="145" t="str">
        <f>IF(G842=".","",Formulario!J$6)</f>
        <v/>
      </c>
      <c r="G842" s="180" t="str">
        <f>IF(Formulario!C850&lt;&gt;"",IF(Formulario!C850=" ","Falta Depto",IF(H842=".","Error En Descripción",Formulario!C850)),IF(H842=".",".","Falta Datos"))</f>
        <v>.</v>
      </c>
      <c r="H842" s="144" t="str">
        <f>IF(Formulario!D850&lt;&gt;"",IF(Formulario!D850=" ",".",Formulario!D850),".")</f>
        <v>.</v>
      </c>
      <c r="I842" s="144" t="str">
        <f>IF(Formulario!E850&lt;&gt;"",IF(Formulario!E850=" "," ",Formulario!E850),IF(G842=".",".","Falta Propietario"))</f>
        <v>.</v>
      </c>
      <c r="J842" s="144" t="str">
        <f>IF(Formulario!F850&lt;&gt;"",IF(Formulario!F850=" "," ",Formulario!F850)," ")</f>
        <v xml:space="preserve"> </v>
      </c>
      <c r="K842" s="144" t="str">
        <f>IF(Formulario!G850&lt;&gt;"",IF(Formulario!G850=" "," ",Formulario!G850)," ")</f>
        <v xml:space="preserve"> </v>
      </c>
      <c r="L842" s="144" t="str">
        <f>IF(Formulario!H850&lt;&gt;"",IF(Formulario!H850=" "," ",Formulario!H850)," ")</f>
        <v xml:space="preserve"> </v>
      </c>
      <c r="M842" s="144" t="str">
        <f>IF(Formulario!I850&lt;&gt;"",IF(Formulario!I850=" "," ",Formulario!I850)," ")</f>
        <v xml:space="preserve"> </v>
      </c>
      <c r="N842" s="145" t="str">
        <f>IF(Formulario!J850&lt;&gt;"",IF(Formulario!J850=" "," ",Formulario!J850),IF(G842=".",".","Falta Fecha"))</f>
        <v>.</v>
      </c>
      <c r="O842" s="155">
        <f>Formulario!L850</f>
        <v>0</v>
      </c>
      <c r="P842" s="146">
        <f>IF(O842=1,"09:00",Formulario!M850)</f>
        <v>0</v>
      </c>
      <c r="Q842" s="146">
        <f>IF(O842=1,"18:30",Formulario!N850)</f>
        <v>0</v>
      </c>
      <c r="R842" s="146" t="str">
        <f>IF(Formulario!O850&lt;&gt;"",IF(Formulario!O850=" ",".",Formulario!O850),".")</f>
        <v>.</v>
      </c>
      <c r="S842" s="141" t="s">
        <v>131</v>
      </c>
    </row>
    <row r="843" spans="1:19">
      <c r="A843" s="141">
        <f>Formulario!B851</f>
        <v>0</v>
      </c>
      <c r="B843" s="144" t="str">
        <f>IF(G843="."," ",Formulario!D$5)</f>
        <v xml:space="preserve"> </v>
      </c>
      <c r="C843" s="144" t="str">
        <f>IF(G843=".","",Formulario!D$6)</f>
        <v/>
      </c>
      <c r="D843" s="144" t="str">
        <f>IF(H843=".","",Formulario!D$7)</f>
        <v/>
      </c>
      <c r="E843" s="144" t="str">
        <f>IF(G843=".","",Formulario!J$5)</f>
        <v/>
      </c>
      <c r="F843" s="145" t="str">
        <f>IF(G843=".","",Formulario!J$6)</f>
        <v/>
      </c>
      <c r="G843" s="180" t="str">
        <f>IF(Formulario!C851&lt;&gt;"",IF(Formulario!C851=" ","Falta Depto",IF(H843=".","Error En Descripción",Formulario!C851)),IF(H843=".",".","Falta Datos"))</f>
        <v>.</v>
      </c>
      <c r="H843" s="144" t="str">
        <f>IF(Formulario!D851&lt;&gt;"",IF(Formulario!D851=" ",".",Formulario!D851),".")</f>
        <v>.</v>
      </c>
      <c r="I843" s="144" t="str">
        <f>IF(Formulario!E851&lt;&gt;"",IF(Formulario!E851=" "," ",Formulario!E851),IF(G843=".",".","Falta Propietario"))</f>
        <v>.</v>
      </c>
      <c r="J843" s="144" t="str">
        <f>IF(Formulario!F851&lt;&gt;"",IF(Formulario!F851=" "," ",Formulario!F851)," ")</f>
        <v xml:space="preserve"> </v>
      </c>
      <c r="K843" s="144" t="str">
        <f>IF(Formulario!G851&lt;&gt;"",IF(Formulario!G851=" "," ",Formulario!G851)," ")</f>
        <v xml:space="preserve"> </v>
      </c>
      <c r="L843" s="144" t="str">
        <f>IF(Formulario!H851&lt;&gt;"",IF(Formulario!H851=" "," ",Formulario!H851)," ")</f>
        <v xml:space="preserve"> </v>
      </c>
      <c r="M843" s="144" t="str">
        <f>IF(Formulario!I851&lt;&gt;"",IF(Formulario!I851=" "," ",Formulario!I851)," ")</f>
        <v xml:space="preserve"> </v>
      </c>
      <c r="N843" s="145" t="str">
        <f>IF(Formulario!J851&lt;&gt;"",IF(Formulario!J851=" "," ",Formulario!J851),IF(G843=".",".","Falta Fecha"))</f>
        <v>.</v>
      </c>
      <c r="O843" s="155">
        <f>Formulario!L851</f>
        <v>0</v>
      </c>
      <c r="P843" s="146">
        <f>IF(O843=1,"09:00",Formulario!M851)</f>
        <v>0</v>
      </c>
      <c r="Q843" s="146">
        <f>IF(O843=1,"18:30",Formulario!N851)</f>
        <v>0</v>
      </c>
      <c r="R843" s="146" t="str">
        <f>IF(Formulario!O851&lt;&gt;"",IF(Formulario!O851=" ",".",Formulario!O851),".")</f>
        <v>.</v>
      </c>
      <c r="S843" s="141" t="s">
        <v>131</v>
      </c>
    </row>
    <row r="844" spans="1:19">
      <c r="A844" s="141">
        <f>Formulario!B852</f>
        <v>0</v>
      </c>
      <c r="B844" s="144" t="str">
        <f>IF(G844="."," ",Formulario!D$5)</f>
        <v xml:space="preserve"> </v>
      </c>
      <c r="C844" s="144" t="str">
        <f>IF(G844=".","",Formulario!D$6)</f>
        <v/>
      </c>
      <c r="D844" s="144" t="str">
        <f>IF(H844=".","",Formulario!D$7)</f>
        <v/>
      </c>
      <c r="E844" s="144" t="str">
        <f>IF(G844=".","",Formulario!J$5)</f>
        <v/>
      </c>
      <c r="F844" s="145" t="str">
        <f>IF(G844=".","",Formulario!J$6)</f>
        <v/>
      </c>
      <c r="G844" s="180" t="str">
        <f>IF(Formulario!C852&lt;&gt;"",IF(Formulario!C852=" ","Falta Depto",IF(H844=".","Error En Descripción",Formulario!C852)),IF(H844=".",".","Falta Datos"))</f>
        <v>.</v>
      </c>
      <c r="H844" s="144" t="str">
        <f>IF(Formulario!D852&lt;&gt;"",IF(Formulario!D852=" ",".",Formulario!D852),".")</f>
        <v>.</v>
      </c>
      <c r="I844" s="144" t="str">
        <f>IF(Formulario!E852&lt;&gt;"",IF(Formulario!E852=" "," ",Formulario!E852),IF(G844=".",".","Falta Propietario"))</f>
        <v>.</v>
      </c>
      <c r="J844" s="144" t="str">
        <f>IF(Formulario!F852&lt;&gt;"",IF(Formulario!F852=" "," ",Formulario!F852)," ")</f>
        <v xml:space="preserve"> </v>
      </c>
      <c r="K844" s="144" t="str">
        <f>IF(Formulario!G852&lt;&gt;"",IF(Formulario!G852=" "," ",Formulario!G852)," ")</f>
        <v xml:space="preserve"> </v>
      </c>
      <c r="L844" s="144" t="str">
        <f>IF(Formulario!H852&lt;&gt;"",IF(Formulario!H852=" "," ",Formulario!H852)," ")</f>
        <v xml:space="preserve"> </v>
      </c>
      <c r="M844" s="144" t="str">
        <f>IF(Formulario!I852&lt;&gt;"",IF(Formulario!I852=" "," ",Formulario!I852)," ")</f>
        <v xml:space="preserve"> </v>
      </c>
      <c r="N844" s="145" t="str">
        <f>IF(Formulario!J852&lt;&gt;"",IF(Formulario!J852=" "," ",Formulario!J852),IF(G844=".",".","Falta Fecha"))</f>
        <v>.</v>
      </c>
      <c r="O844" s="155">
        <f>Formulario!L852</f>
        <v>0</v>
      </c>
      <c r="P844" s="146">
        <f>IF(O844=1,"09:00",Formulario!M852)</f>
        <v>0</v>
      </c>
      <c r="Q844" s="146">
        <f>IF(O844=1,"18:30",Formulario!N852)</f>
        <v>0</v>
      </c>
      <c r="R844" s="146" t="str">
        <f>IF(Formulario!O852&lt;&gt;"",IF(Formulario!O852=" ",".",Formulario!O852),".")</f>
        <v>.</v>
      </c>
      <c r="S844" s="141" t="s">
        <v>131</v>
      </c>
    </row>
    <row r="845" spans="1:19">
      <c r="A845" s="141">
        <f>Formulario!B853</f>
        <v>0</v>
      </c>
      <c r="B845" s="144" t="str">
        <f>IF(G845="."," ",Formulario!D$5)</f>
        <v xml:space="preserve"> </v>
      </c>
      <c r="C845" s="144" t="str">
        <f>IF(G845=".","",Formulario!D$6)</f>
        <v/>
      </c>
      <c r="D845" s="144" t="str">
        <f>IF(H845=".","",Formulario!D$7)</f>
        <v/>
      </c>
      <c r="E845" s="144" t="str">
        <f>IF(G845=".","",Formulario!J$5)</f>
        <v/>
      </c>
      <c r="F845" s="145" t="str">
        <f>IF(G845=".","",Formulario!J$6)</f>
        <v/>
      </c>
      <c r="G845" s="180" t="str">
        <f>IF(Formulario!C853&lt;&gt;"",IF(Formulario!C853=" ","Falta Depto",IF(H845=".","Error En Descripción",Formulario!C853)),IF(H845=".",".","Falta Datos"))</f>
        <v>.</v>
      </c>
      <c r="H845" s="144" t="str">
        <f>IF(Formulario!D853&lt;&gt;"",IF(Formulario!D853=" ",".",Formulario!D853),".")</f>
        <v>.</v>
      </c>
      <c r="I845" s="144" t="str">
        <f>IF(Formulario!E853&lt;&gt;"",IF(Formulario!E853=" "," ",Formulario!E853),IF(G845=".",".","Falta Propietario"))</f>
        <v>.</v>
      </c>
      <c r="J845" s="144" t="str">
        <f>IF(Formulario!F853&lt;&gt;"",IF(Formulario!F853=" "," ",Formulario!F853)," ")</f>
        <v xml:space="preserve"> </v>
      </c>
      <c r="K845" s="144" t="str">
        <f>IF(Formulario!G853&lt;&gt;"",IF(Formulario!G853=" "," ",Formulario!G853)," ")</f>
        <v xml:space="preserve"> </v>
      </c>
      <c r="L845" s="144" t="str">
        <f>IF(Formulario!H853&lt;&gt;"",IF(Formulario!H853=" "," ",Formulario!H853)," ")</f>
        <v xml:space="preserve"> </v>
      </c>
      <c r="M845" s="144" t="str">
        <f>IF(Formulario!I853&lt;&gt;"",IF(Formulario!I853=" "," ",Formulario!I853)," ")</f>
        <v xml:space="preserve"> </v>
      </c>
      <c r="N845" s="145" t="str">
        <f>IF(Formulario!J853&lt;&gt;"",IF(Formulario!J853=" "," ",Formulario!J853),IF(G845=".",".","Falta Fecha"))</f>
        <v>.</v>
      </c>
      <c r="O845" s="155">
        <f>Formulario!L853</f>
        <v>0</v>
      </c>
      <c r="P845" s="146">
        <f>IF(O845=1,"09:00",Formulario!M853)</f>
        <v>0</v>
      </c>
      <c r="Q845" s="146">
        <f>IF(O845=1,"18:30",Formulario!N853)</f>
        <v>0</v>
      </c>
      <c r="R845" s="146" t="str">
        <f>IF(Formulario!O853&lt;&gt;"",IF(Formulario!O853=" ",".",Formulario!O853),".")</f>
        <v>.</v>
      </c>
      <c r="S845" s="141" t="s">
        <v>131</v>
      </c>
    </row>
    <row r="846" spans="1:19">
      <c r="A846" s="141">
        <f>Formulario!B854</f>
        <v>0</v>
      </c>
      <c r="B846" s="144" t="str">
        <f>IF(G846="."," ",Formulario!D$5)</f>
        <v xml:space="preserve"> </v>
      </c>
      <c r="C846" s="144" t="str">
        <f>IF(G846=".","",Formulario!D$6)</f>
        <v/>
      </c>
      <c r="D846" s="144" t="str">
        <f>IF(H846=".","",Formulario!D$7)</f>
        <v/>
      </c>
      <c r="E846" s="144" t="str">
        <f>IF(G846=".","",Formulario!J$5)</f>
        <v/>
      </c>
      <c r="F846" s="145" t="str">
        <f>IF(G846=".","",Formulario!J$6)</f>
        <v/>
      </c>
      <c r="G846" s="180" t="str">
        <f>IF(Formulario!C854&lt;&gt;"",IF(Formulario!C854=" ","Falta Depto",IF(H846=".","Error En Descripción",Formulario!C854)),IF(H846=".",".","Falta Datos"))</f>
        <v>.</v>
      </c>
      <c r="H846" s="144" t="str">
        <f>IF(Formulario!D854&lt;&gt;"",IF(Formulario!D854=" ",".",Formulario!D854),".")</f>
        <v>.</v>
      </c>
      <c r="I846" s="144" t="str">
        <f>IF(Formulario!E854&lt;&gt;"",IF(Formulario!E854=" "," ",Formulario!E854),IF(G846=".",".","Falta Propietario"))</f>
        <v>.</v>
      </c>
      <c r="J846" s="144" t="str">
        <f>IF(Formulario!F854&lt;&gt;"",IF(Formulario!F854=" "," ",Formulario!F854)," ")</f>
        <v xml:space="preserve"> </v>
      </c>
      <c r="K846" s="144" t="str">
        <f>IF(Formulario!G854&lt;&gt;"",IF(Formulario!G854=" "," ",Formulario!G854)," ")</f>
        <v xml:space="preserve"> </v>
      </c>
      <c r="L846" s="144" t="str">
        <f>IF(Formulario!H854&lt;&gt;"",IF(Formulario!H854=" "," ",Formulario!H854)," ")</f>
        <v xml:space="preserve"> </v>
      </c>
      <c r="M846" s="144" t="str">
        <f>IF(Formulario!I854&lt;&gt;"",IF(Formulario!I854=" "," ",Formulario!I854)," ")</f>
        <v xml:space="preserve"> </v>
      </c>
      <c r="N846" s="145" t="str">
        <f>IF(Formulario!J854&lt;&gt;"",IF(Formulario!J854=" "," ",Formulario!J854),IF(G846=".",".","Falta Fecha"))</f>
        <v>.</v>
      </c>
      <c r="O846" s="155">
        <f>Formulario!L854</f>
        <v>0</v>
      </c>
      <c r="P846" s="146">
        <f>IF(O846=1,"09:00",Formulario!M854)</f>
        <v>0</v>
      </c>
      <c r="Q846" s="146">
        <f>IF(O846=1,"18:30",Formulario!N854)</f>
        <v>0</v>
      </c>
      <c r="R846" s="146" t="str">
        <f>IF(Formulario!O854&lt;&gt;"",IF(Formulario!O854=" ",".",Formulario!O854),".")</f>
        <v>.</v>
      </c>
      <c r="S846" s="141" t="s">
        <v>131</v>
      </c>
    </row>
    <row r="847" spans="1:19">
      <c r="A847" s="141">
        <f>Formulario!B855</f>
        <v>0</v>
      </c>
      <c r="B847" s="144" t="str">
        <f>IF(G847="."," ",Formulario!D$5)</f>
        <v xml:space="preserve"> </v>
      </c>
      <c r="C847" s="144" t="str">
        <f>IF(G847=".","",Formulario!D$6)</f>
        <v/>
      </c>
      <c r="D847" s="144" t="str">
        <f>IF(H847=".","",Formulario!D$7)</f>
        <v/>
      </c>
      <c r="E847" s="144" t="str">
        <f>IF(G847=".","",Formulario!J$5)</f>
        <v/>
      </c>
      <c r="F847" s="145" t="str">
        <f>IF(G847=".","",Formulario!J$6)</f>
        <v/>
      </c>
      <c r="G847" s="180" t="str">
        <f>IF(Formulario!C855&lt;&gt;"",IF(Formulario!C855=" ","Falta Depto",IF(H847=".","Error En Descripción",Formulario!C855)),IF(H847=".",".","Falta Datos"))</f>
        <v>.</v>
      </c>
      <c r="H847" s="144" t="str">
        <f>IF(Formulario!D855&lt;&gt;"",IF(Formulario!D855=" ",".",Formulario!D855),".")</f>
        <v>.</v>
      </c>
      <c r="I847" s="144" t="str">
        <f>IF(Formulario!E855&lt;&gt;"",IF(Formulario!E855=" "," ",Formulario!E855),IF(G847=".",".","Falta Propietario"))</f>
        <v>.</v>
      </c>
      <c r="J847" s="144" t="str">
        <f>IF(Formulario!F855&lt;&gt;"",IF(Formulario!F855=" "," ",Formulario!F855)," ")</f>
        <v xml:space="preserve"> </v>
      </c>
      <c r="K847" s="144" t="str">
        <f>IF(Formulario!G855&lt;&gt;"",IF(Formulario!G855=" "," ",Formulario!G855)," ")</f>
        <v xml:space="preserve"> </v>
      </c>
      <c r="L847" s="144" t="str">
        <f>IF(Formulario!H855&lt;&gt;"",IF(Formulario!H855=" "," ",Formulario!H855)," ")</f>
        <v xml:space="preserve"> </v>
      </c>
      <c r="M847" s="144" t="str">
        <f>IF(Formulario!I855&lt;&gt;"",IF(Formulario!I855=" "," ",Formulario!I855)," ")</f>
        <v xml:space="preserve"> </v>
      </c>
      <c r="N847" s="145" t="str">
        <f>IF(Formulario!J855&lt;&gt;"",IF(Formulario!J855=" "," ",Formulario!J855),IF(G847=".",".","Falta Fecha"))</f>
        <v>.</v>
      </c>
      <c r="O847" s="155">
        <f>Formulario!L855</f>
        <v>0</v>
      </c>
      <c r="P847" s="146">
        <f>IF(O847=1,"09:00",Formulario!M855)</f>
        <v>0</v>
      </c>
      <c r="Q847" s="146">
        <f>IF(O847=1,"18:30",Formulario!N855)</f>
        <v>0</v>
      </c>
      <c r="R847" s="146" t="str">
        <f>IF(Formulario!O855&lt;&gt;"",IF(Formulario!O855=" ",".",Formulario!O855),".")</f>
        <v>.</v>
      </c>
      <c r="S847" s="141" t="s">
        <v>131</v>
      </c>
    </row>
    <row r="848" spans="1:19">
      <c r="A848" s="141">
        <f>Formulario!B856</f>
        <v>0</v>
      </c>
      <c r="B848" s="144" t="str">
        <f>IF(G848="."," ",Formulario!D$5)</f>
        <v xml:space="preserve"> </v>
      </c>
      <c r="C848" s="144" t="str">
        <f>IF(G848=".","",Formulario!D$6)</f>
        <v/>
      </c>
      <c r="D848" s="144" t="str">
        <f>IF(H848=".","",Formulario!D$7)</f>
        <v/>
      </c>
      <c r="E848" s="144" t="str">
        <f>IF(G848=".","",Formulario!J$5)</f>
        <v/>
      </c>
      <c r="F848" s="145" t="str">
        <f>IF(G848=".","",Formulario!J$6)</f>
        <v/>
      </c>
      <c r="G848" s="180" t="str">
        <f>IF(Formulario!C856&lt;&gt;"",IF(Formulario!C856=" ","Falta Depto",IF(H848=".","Error En Descripción",Formulario!C856)),IF(H848=".",".","Falta Datos"))</f>
        <v>.</v>
      </c>
      <c r="H848" s="144" t="str">
        <f>IF(Formulario!D856&lt;&gt;"",IF(Formulario!D856=" ",".",Formulario!D856),".")</f>
        <v>.</v>
      </c>
      <c r="I848" s="144" t="str">
        <f>IF(Formulario!E856&lt;&gt;"",IF(Formulario!E856=" "," ",Formulario!E856),IF(G848=".",".","Falta Propietario"))</f>
        <v>.</v>
      </c>
      <c r="J848" s="144" t="str">
        <f>IF(Formulario!F856&lt;&gt;"",IF(Formulario!F856=" "," ",Formulario!F856)," ")</f>
        <v xml:space="preserve"> </v>
      </c>
      <c r="K848" s="144" t="str">
        <f>IF(Formulario!G856&lt;&gt;"",IF(Formulario!G856=" "," ",Formulario!G856)," ")</f>
        <v xml:space="preserve"> </v>
      </c>
      <c r="L848" s="144" t="str">
        <f>IF(Formulario!H856&lt;&gt;"",IF(Formulario!H856=" "," ",Formulario!H856)," ")</f>
        <v xml:space="preserve"> </v>
      </c>
      <c r="M848" s="144" t="str">
        <f>IF(Formulario!I856&lt;&gt;"",IF(Formulario!I856=" "," ",Formulario!I856)," ")</f>
        <v xml:space="preserve"> </v>
      </c>
      <c r="N848" s="145" t="str">
        <f>IF(Formulario!J856&lt;&gt;"",IF(Formulario!J856=" "," ",Formulario!J856),IF(G848=".",".","Falta Fecha"))</f>
        <v>.</v>
      </c>
      <c r="O848" s="155">
        <f>Formulario!L856</f>
        <v>0</v>
      </c>
      <c r="P848" s="146">
        <f>IF(O848=1,"09:00",Formulario!M856)</f>
        <v>0</v>
      </c>
      <c r="Q848" s="146">
        <f>IF(O848=1,"18:30",Formulario!N856)</f>
        <v>0</v>
      </c>
      <c r="R848" s="146" t="str">
        <f>IF(Formulario!O856&lt;&gt;"",IF(Formulario!O856=" ",".",Formulario!O856),".")</f>
        <v>.</v>
      </c>
      <c r="S848" s="141" t="s">
        <v>131</v>
      </c>
    </row>
    <row r="849" spans="1:19">
      <c r="A849" s="141">
        <f>Formulario!B857</f>
        <v>0</v>
      </c>
      <c r="B849" s="144" t="str">
        <f>IF(G849="."," ",Formulario!D$5)</f>
        <v xml:space="preserve"> </v>
      </c>
      <c r="C849" s="144" t="str">
        <f>IF(G849=".","",Formulario!D$6)</f>
        <v/>
      </c>
      <c r="D849" s="144" t="str">
        <f>IF(H849=".","",Formulario!D$7)</f>
        <v/>
      </c>
      <c r="E849" s="144" t="str">
        <f>IF(G849=".","",Formulario!J$5)</f>
        <v/>
      </c>
      <c r="F849" s="145" t="str">
        <f>IF(G849=".","",Formulario!J$6)</f>
        <v/>
      </c>
      <c r="G849" s="180" t="str">
        <f>IF(Formulario!C857&lt;&gt;"",IF(Formulario!C857=" ","Falta Depto",IF(H849=".","Error En Descripción",Formulario!C857)),IF(H849=".",".","Falta Datos"))</f>
        <v>.</v>
      </c>
      <c r="H849" s="144" t="str">
        <f>IF(Formulario!D857&lt;&gt;"",IF(Formulario!D857=" ",".",Formulario!D857),".")</f>
        <v>.</v>
      </c>
      <c r="I849" s="144" t="str">
        <f>IF(Formulario!E857&lt;&gt;"",IF(Formulario!E857=" "," ",Formulario!E857),IF(G849=".",".","Falta Propietario"))</f>
        <v>.</v>
      </c>
      <c r="J849" s="144" t="str">
        <f>IF(Formulario!F857&lt;&gt;"",IF(Formulario!F857=" "," ",Formulario!F857)," ")</f>
        <v xml:space="preserve"> </v>
      </c>
      <c r="K849" s="144" t="str">
        <f>IF(Formulario!G857&lt;&gt;"",IF(Formulario!G857=" "," ",Formulario!G857)," ")</f>
        <v xml:space="preserve"> </v>
      </c>
      <c r="L849" s="144" t="str">
        <f>IF(Formulario!H857&lt;&gt;"",IF(Formulario!H857=" "," ",Formulario!H857)," ")</f>
        <v xml:space="preserve"> </v>
      </c>
      <c r="M849" s="144" t="str">
        <f>IF(Formulario!I857&lt;&gt;"",IF(Formulario!I857=" "," ",Formulario!I857)," ")</f>
        <v xml:space="preserve"> </v>
      </c>
      <c r="N849" s="145" t="str">
        <f>IF(Formulario!J857&lt;&gt;"",IF(Formulario!J857=" "," ",Formulario!J857),IF(G849=".",".","Falta Fecha"))</f>
        <v>.</v>
      </c>
      <c r="O849" s="155">
        <f>Formulario!L857</f>
        <v>0</v>
      </c>
      <c r="P849" s="146">
        <f>IF(O849=1,"09:00",Formulario!M857)</f>
        <v>0</v>
      </c>
      <c r="Q849" s="146">
        <f>IF(O849=1,"18:30",Formulario!N857)</f>
        <v>0</v>
      </c>
      <c r="R849" s="146" t="str">
        <f>IF(Formulario!O857&lt;&gt;"",IF(Formulario!O857=" ",".",Formulario!O857),".")</f>
        <v>.</v>
      </c>
      <c r="S849" s="141" t="s">
        <v>131</v>
      </c>
    </row>
    <row r="850" spans="1:19">
      <c r="A850" s="141">
        <f>Formulario!B858</f>
        <v>0</v>
      </c>
      <c r="B850" s="144" t="str">
        <f>IF(G850="."," ",Formulario!D$5)</f>
        <v xml:space="preserve"> </v>
      </c>
      <c r="C850" s="144" t="str">
        <f>IF(G850=".","",Formulario!D$6)</f>
        <v/>
      </c>
      <c r="D850" s="144" t="str">
        <f>IF(H850=".","",Formulario!D$7)</f>
        <v/>
      </c>
      <c r="E850" s="144" t="str">
        <f>IF(G850=".","",Formulario!J$5)</f>
        <v/>
      </c>
      <c r="F850" s="145" t="str">
        <f>IF(G850=".","",Formulario!J$6)</f>
        <v/>
      </c>
      <c r="G850" s="180" t="str">
        <f>IF(Formulario!C858&lt;&gt;"",IF(Formulario!C858=" ","Falta Depto",IF(H850=".","Error En Descripción",Formulario!C858)),IF(H850=".",".","Falta Datos"))</f>
        <v>.</v>
      </c>
      <c r="H850" s="144" t="str">
        <f>IF(Formulario!D858&lt;&gt;"",IF(Formulario!D858=" ",".",Formulario!D858),".")</f>
        <v>.</v>
      </c>
      <c r="I850" s="144" t="str">
        <f>IF(Formulario!E858&lt;&gt;"",IF(Formulario!E858=" "," ",Formulario!E858),IF(G850=".",".","Falta Propietario"))</f>
        <v>.</v>
      </c>
      <c r="J850" s="144" t="str">
        <f>IF(Formulario!F858&lt;&gt;"",IF(Formulario!F858=" "," ",Formulario!F858)," ")</f>
        <v xml:space="preserve"> </v>
      </c>
      <c r="K850" s="144" t="str">
        <f>IF(Formulario!G858&lt;&gt;"",IF(Formulario!G858=" "," ",Formulario!G858)," ")</f>
        <v xml:space="preserve"> </v>
      </c>
      <c r="L850" s="144" t="str">
        <f>IF(Formulario!H858&lt;&gt;"",IF(Formulario!H858=" "," ",Formulario!H858)," ")</f>
        <v xml:space="preserve"> </v>
      </c>
      <c r="M850" s="144" t="str">
        <f>IF(Formulario!I858&lt;&gt;"",IF(Formulario!I858=" "," ",Formulario!I858)," ")</f>
        <v xml:space="preserve"> </v>
      </c>
      <c r="N850" s="145" t="str">
        <f>IF(Formulario!J858&lt;&gt;"",IF(Formulario!J858=" "," ",Formulario!J858),IF(G850=".",".","Falta Fecha"))</f>
        <v>.</v>
      </c>
      <c r="O850" s="155">
        <f>Formulario!L858</f>
        <v>0</v>
      </c>
      <c r="P850" s="146">
        <f>IF(O850=1,"09:00",Formulario!M858)</f>
        <v>0</v>
      </c>
      <c r="Q850" s="146">
        <f>IF(O850=1,"18:30",Formulario!N858)</f>
        <v>0</v>
      </c>
      <c r="R850" s="146" t="str">
        <f>IF(Formulario!O858&lt;&gt;"",IF(Formulario!O858=" ",".",Formulario!O858),".")</f>
        <v>.</v>
      </c>
      <c r="S850" s="141" t="s">
        <v>131</v>
      </c>
    </row>
    <row r="851" spans="1:19">
      <c r="A851" s="141">
        <f>Formulario!B859</f>
        <v>0</v>
      </c>
      <c r="B851" s="144" t="str">
        <f>IF(G851="."," ",Formulario!D$5)</f>
        <v xml:space="preserve"> </v>
      </c>
      <c r="C851" s="144" t="str">
        <f>IF(G851=".","",Formulario!D$6)</f>
        <v/>
      </c>
      <c r="D851" s="144" t="str">
        <f>IF(H851=".","",Formulario!D$7)</f>
        <v/>
      </c>
      <c r="E851" s="144" t="str">
        <f>IF(G851=".","",Formulario!J$5)</f>
        <v/>
      </c>
      <c r="F851" s="145" t="str">
        <f>IF(G851=".","",Formulario!J$6)</f>
        <v/>
      </c>
      <c r="G851" s="180" t="str">
        <f>IF(Formulario!C859&lt;&gt;"",IF(Formulario!C859=" ","Falta Depto",IF(H851=".","Error En Descripción",Formulario!C859)),IF(H851=".",".","Falta Datos"))</f>
        <v>.</v>
      </c>
      <c r="H851" s="144" t="str">
        <f>IF(Formulario!D859&lt;&gt;"",IF(Formulario!D859=" ",".",Formulario!D859),".")</f>
        <v>.</v>
      </c>
      <c r="I851" s="144" t="str">
        <f>IF(Formulario!E859&lt;&gt;"",IF(Formulario!E859=" "," ",Formulario!E859),IF(G851=".",".","Falta Propietario"))</f>
        <v>.</v>
      </c>
      <c r="J851" s="144" t="str">
        <f>IF(Formulario!F859&lt;&gt;"",IF(Formulario!F859=" "," ",Formulario!F859)," ")</f>
        <v xml:space="preserve"> </v>
      </c>
      <c r="K851" s="144" t="str">
        <f>IF(Formulario!G859&lt;&gt;"",IF(Formulario!G859=" "," ",Formulario!G859)," ")</f>
        <v xml:space="preserve"> </v>
      </c>
      <c r="L851" s="144" t="str">
        <f>IF(Formulario!H859&lt;&gt;"",IF(Formulario!H859=" "," ",Formulario!H859)," ")</f>
        <v xml:space="preserve"> </v>
      </c>
      <c r="M851" s="144" t="str">
        <f>IF(Formulario!I859&lt;&gt;"",IF(Formulario!I859=" "," ",Formulario!I859)," ")</f>
        <v xml:space="preserve"> </v>
      </c>
      <c r="N851" s="145" t="str">
        <f>IF(Formulario!J859&lt;&gt;"",IF(Formulario!J859=" "," ",Formulario!J859),IF(G851=".",".","Falta Fecha"))</f>
        <v>.</v>
      </c>
      <c r="O851" s="155">
        <f>Formulario!L859</f>
        <v>0</v>
      </c>
      <c r="P851" s="146">
        <f>IF(O851=1,"09:00",Formulario!M859)</f>
        <v>0</v>
      </c>
      <c r="Q851" s="146">
        <f>IF(O851=1,"18:30",Formulario!N859)</f>
        <v>0</v>
      </c>
      <c r="R851" s="146" t="str">
        <f>IF(Formulario!O859&lt;&gt;"",IF(Formulario!O859=" ",".",Formulario!O859),".")</f>
        <v>.</v>
      </c>
      <c r="S851" s="141" t="s">
        <v>131</v>
      </c>
    </row>
    <row r="852" spans="1:19">
      <c r="A852" s="141">
        <f>Formulario!B860</f>
        <v>0</v>
      </c>
      <c r="B852" s="144" t="str">
        <f>IF(G852="."," ",Formulario!D$5)</f>
        <v xml:space="preserve"> </v>
      </c>
      <c r="C852" s="144" t="str">
        <f>IF(G852=".","",Formulario!D$6)</f>
        <v/>
      </c>
      <c r="D852" s="144" t="str">
        <f>IF(H852=".","",Formulario!D$7)</f>
        <v/>
      </c>
      <c r="E852" s="144" t="str">
        <f>IF(G852=".","",Formulario!J$5)</f>
        <v/>
      </c>
      <c r="F852" s="145" t="str">
        <f>IF(G852=".","",Formulario!J$6)</f>
        <v/>
      </c>
      <c r="G852" s="180" t="str">
        <f>IF(Formulario!C860&lt;&gt;"",IF(Formulario!C860=" ","Falta Depto",IF(H852=".","Error En Descripción",Formulario!C860)),IF(H852=".",".","Falta Datos"))</f>
        <v>.</v>
      </c>
      <c r="H852" s="144" t="str">
        <f>IF(Formulario!D860&lt;&gt;"",IF(Formulario!D860=" ",".",Formulario!D860),".")</f>
        <v>.</v>
      </c>
      <c r="I852" s="144" t="str">
        <f>IF(Formulario!E860&lt;&gt;"",IF(Formulario!E860=" "," ",Formulario!E860),IF(G852=".",".","Falta Propietario"))</f>
        <v>.</v>
      </c>
      <c r="J852" s="144" t="str">
        <f>IF(Formulario!F860&lt;&gt;"",IF(Formulario!F860=" "," ",Formulario!F860)," ")</f>
        <v xml:space="preserve"> </v>
      </c>
      <c r="K852" s="144" t="str">
        <f>IF(Formulario!G860&lt;&gt;"",IF(Formulario!G860=" "," ",Formulario!G860)," ")</f>
        <v xml:space="preserve"> </v>
      </c>
      <c r="L852" s="144" t="str">
        <f>IF(Formulario!H860&lt;&gt;"",IF(Formulario!H860=" "," ",Formulario!H860)," ")</f>
        <v xml:space="preserve"> </v>
      </c>
      <c r="M852" s="144" t="str">
        <f>IF(Formulario!I860&lt;&gt;"",IF(Formulario!I860=" "," ",Formulario!I860)," ")</f>
        <v xml:space="preserve"> </v>
      </c>
      <c r="N852" s="145" t="str">
        <f>IF(Formulario!J860&lt;&gt;"",IF(Formulario!J860=" "," ",Formulario!J860),IF(G852=".",".","Falta Fecha"))</f>
        <v>.</v>
      </c>
      <c r="O852" s="155">
        <f>Formulario!L860</f>
        <v>0</v>
      </c>
      <c r="P852" s="146">
        <f>IF(O852=1,"09:00",Formulario!M860)</f>
        <v>0</v>
      </c>
      <c r="Q852" s="146">
        <f>IF(O852=1,"18:30",Formulario!N860)</f>
        <v>0</v>
      </c>
      <c r="R852" s="146" t="str">
        <f>IF(Formulario!O860&lt;&gt;"",IF(Formulario!O860=" ",".",Formulario!O860),".")</f>
        <v>.</v>
      </c>
      <c r="S852" s="141" t="s">
        <v>131</v>
      </c>
    </row>
    <row r="853" spans="1:19">
      <c r="A853" s="141">
        <f>Formulario!B861</f>
        <v>0</v>
      </c>
      <c r="B853" s="144" t="str">
        <f>IF(G853="."," ",Formulario!D$5)</f>
        <v xml:space="preserve"> </v>
      </c>
      <c r="C853" s="144" t="str">
        <f>IF(G853=".","",Formulario!D$6)</f>
        <v/>
      </c>
      <c r="D853" s="144" t="str">
        <f>IF(H853=".","",Formulario!D$7)</f>
        <v/>
      </c>
      <c r="E853" s="144" t="str">
        <f>IF(G853=".","",Formulario!J$5)</f>
        <v/>
      </c>
      <c r="F853" s="145" t="str">
        <f>IF(G853=".","",Formulario!J$6)</f>
        <v/>
      </c>
      <c r="G853" s="180" t="str">
        <f>IF(Formulario!C861&lt;&gt;"",IF(Formulario!C861=" ","Falta Depto",IF(H853=".","Error En Descripción",Formulario!C861)),IF(H853=".",".","Falta Datos"))</f>
        <v>.</v>
      </c>
      <c r="H853" s="144" t="str">
        <f>IF(Formulario!D861&lt;&gt;"",IF(Formulario!D861=" ",".",Formulario!D861),".")</f>
        <v>.</v>
      </c>
      <c r="I853" s="144" t="str">
        <f>IF(Formulario!E861&lt;&gt;"",IF(Formulario!E861=" "," ",Formulario!E861),IF(G853=".",".","Falta Propietario"))</f>
        <v>.</v>
      </c>
      <c r="J853" s="144" t="str">
        <f>IF(Formulario!F861&lt;&gt;"",IF(Formulario!F861=" "," ",Formulario!F861)," ")</f>
        <v xml:space="preserve"> </v>
      </c>
      <c r="K853" s="144" t="str">
        <f>IF(Formulario!G861&lt;&gt;"",IF(Formulario!G861=" "," ",Formulario!G861)," ")</f>
        <v xml:space="preserve"> </v>
      </c>
      <c r="L853" s="144" t="str">
        <f>IF(Formulario!H861&lt;&gt;"",IF(Formulario!H861=" "," ",Formulario!H861)," ")</f>
        <v xml:space="preserve"> </v>
      </c>
      <c r="M853" s="144" t="str">
        <f>IF(Formulario!I861&lt;&gt;"",IF(Formulario!I861=" "," ",Formulario!I861)," ")</f>
        <v xml:space="preserve"> </v>
      </c>
      <c r="N853" s="145" t="str">
        <f>IF(Formulario!J861&lt;&gt;"",IF(Formulario!J861=" "," ",Formulario!J861),IF(G853=".",".","Falta Fecha"))</f>
        <v>.</v>
      </c>
      <c r="O853" s="155">
        <f>Formulario!L861</f>
        <v>0</v>
      </c>
      <c r="P853" s="146">
        <f>IF(O853=1,"09:00",Formulario!M861)</f>
        <v>0</v>
      </c>
      <c r="Q853" s="146">
        <f>IF(O853=1,"18:30",Formulario!N861)</f>
        <v>0</v>
      </c>
      <c r="R853" s="146" t="str">
        <f>IF(Formulario!O861&lt;&gt;"",IF(Formulario!O861=" ",".",Formulario!O861),".")</f>
        <v>.</v>
      </c>
      <c r="S853" s="141" t="s">
        <v>131</v>
      </c>
    </row>
    <row r="854" spans="1:19">
      <c r="A854" s="141">
        <f>Formulario!B862</f>
        <v>0</v>
      </c>
      <c r="B854" s="144" t="str">
        <f>IF(G854="."," ",Formulario!D$5)</f>
        <v xml:space="preserve"> </v>
      </c>
      <c r="C854" s="144" t="str">
        <f>IF(G854=".","",Formulario!D$6)</f>
        <v/>
      </c>
      <c r="D854" s="144" t="str">
        <f>IF(H854=".","",Formulario!D$7)</f>
        <v/>
      </c>
      <c r="E854" s="144" t="str">
        <f>IF(G854=".","",Formulario!J$5)</f>
        <v/>
      </c>
      <c r="F854" s="145" t="str">
        <f>IF(G854=".","",Formulario!J$6)</f>
        <v/>
      </c>
      <c r="G854" s="180" t="str">
        <f>IF(Formulario!C862&lt;&gt;"",IF(Formulario!C862=" ","Falta Depto",IF(H854=".","Error En Descripción",Formulario!C862)),IF(H854=".",".","Falta Datos"))</f>
        <v>.</v>
      </c>
      <c r="H854" s="144" t="str">
        <f>IF(Formulario!D862&lt;&gt;"",IF(Formulario!D862=" ",".",Formulario!D862),".")</f>
        <v>.</v>
      </c>
      <c r="I854" s="144" t="str">
        <f>IF(Formulario!E862&lt;&gt;"",IF(Formulario!E862=" "," ",Formulario!E862),IF(G854=".",".","Falta Propietario"))</f>
        <v>.</v>
      </c>
      <c r="J854" s="144" t="str">
        <f>IF(Formulario!F862&lt;&gt;"",IF(Formulario!F862=" "," ",Formulario!F862)," ")</f>
        <v xml:space="preserve"> </v>
      </c>
      <c r="K854" s="144" t="str">
        <f>IF(Formulario!G862&lt;&gt;"",IF(Formulario!G862=" "," ",Formulario!G862)," ")</f>
        <v xml:space="preserve"> </v>
      </c>
      <c r="L854" s="144" t="str">
        <f>IF(Formulario!H862&lt;&gt;"",IF(Formulario!H862=" "," ",Formulario!H862)," ")</f>
        <v xml:space="preserve"> </v>
      </c>
      <c r="M854" s="144" t="str">
        <f>IF(Formulario!I862&lt;&gt;"",IF(Formulario!I862=" "," ",Formulario!I862)," ")</f>
        <v xml:space="preserve"> </v>
      </c>
      <c r="N854" s="145" t="str">
        <f>IF(Formulario!J862&lt;&gt;"",IF(Formulario!J862=" "," ",Formulario!J862),IF(G854=".",".","Falta Fecha"))</f>
        <v>.</v>
      </c>
      <c r="O854" s="155">
        <f>Formulario!L862</f>
        <v>0</v>
      </c>
      <c r="P854" s="146">
        <f>IF(O854=1,"09:00",Formulario!M862)</f>
        <v>0</v>
      </c>
      <c r="Q854" s="146">
        <f>IF(O854=1,"18:30",Formulario!N862)</f>
        <v>0</v>
      </c>
      <c r="R854" s="146" t="str">
        <f>IF(Formulario!O862&lt;&gt;"",IF(Formulario!O862=" ",".",Formulario!O862),".")</f>
        <v>.</v>
      </c>
      <c r="S854" s="141" t="s">
        <v>131</v>
      </c>
    </row>
    <row r="855" spans="1:19">
      <c r="A855" s="141">
        <f>Formulario!B863</f>
        <v>0</v>
      </c>
      <c r="B855" s="144" t="str">
        <f>IF(G855="."," ",Formulario!D$5)</f>
        <v xml:space="preserve"> </v>
      </c>
      <c r="C855" s="144" t="str">
        <f>IF(G855=".","",Formulario!D$6)</f>
        <v/>
      </c>
      <c r="D855" s="144" t="str">
        <f>IF(H855=".","",Formulario!D$7)</f>
        <v/>
      </c>
      <c r="E855" s="144" t="str">
        <f>IF(G855=".","",Formulario!J$5)</f>
        <v/>
      </c>
      <c r="F855" s="145" t="str">
        <f>IF(G855=".","",Formulario!J$6)</f>
        <v/>
      </c>
      <c r="G855" s="180" t="str">
        <f>IF(Formulario!C863&lt;&gt;"",IF(Formulario!C863=" ","Falta Depto",IF(H855=".","Error En Descripción",Formulario!C863)),IF(H855=".",".","Falta Datos"))</f>
        <v>.</v>
      </c>
      <c r="H855" s="144" t="str">
        <f>IF(Formulario!D863&lt;&gt;"",IF(Formulario!D863=" ",".",Formulario!D863),".")</f>
        <v>.</v>
      </c>
      <c r="I855" s="144" t="str">
        <f>IF(Formulario!E863&lt;&gt;"",IF(Formulario!E863=" "," ",Formulario!E863),IF(G855=".",".","Falta Propietario"))</f>
        <v>.</v>
      </c>
      <c r="J855" s="144" t="str">
        <f>IF(Formulario!F863&lt;&gt;"",IF(Formulario!F863=" "," ",Formulario!F863)," ")</f>
        <v xml:space="preserve"> </v>
      </c>
      <c r="K855" s="144" t="str">
        <f>IF(Formulario!G863&lt;&gt;"",IF(Formulario!G863=" "," ",Formulario!G863)," ")</f>
        <v xml:space="preserve"> </v>
      </c>
      <c r="L855" s="144" t="str">
        <f>IF(Formulario!H863&lt;&gt;"",IF(Formulario!H863=" "," ",Formulario!H863)," ")</f>
        <v xml:space="preserve"> </v>
      </c>
      <c r="M855" s="144" t="str">
        <f>IF(Formulario!I863&lt;&gt;"",IF(Formulario!I863=" "," ",Formulario!I863)," ")</f>
        <v xml:space="preserve"> </v>
      </c>
      <c r="N855" s="145" t="str">
        <f>IF(Formulario!J863&lt;&gt;"",IF(Formulario!J863=" "," ",Formulario!J863),IF(G855=".",".","Falta Fecha"))</f>
        <v>.</v>
      </c>
      <c r="O855" s="155">
        <f>Formulario!L863</f>
        <v>0</v>
      </c>
      <c r="P855" s="146">
        <f>IF(O855=1,"09:00",Formulario!M863)</f>
        <v>0</v>
      </c>
      <c r="Q855" s="146">
        <f>IF(O855=1,"18:30",Formulario!N863)</f>
        <v>0</v>
      </c>
      <c r="R855" s="146" t="str">
        <f>IF(Formulario!O863&lt;&gt;"",IF(Formulario!O863=" ",".",Formulario!O863),".")</f>
        <v>.</v>
      </c>
      <c r="S855" s="141" t="s">
        <v>131</v>
      </c>
    </row>
    <row r="856" spans="1:19">
      <c r="A856" s="141">
        <f>Formulario!B864</f>
        <v>0</v>
      </c>
      <c r="B856" s="144" t="str">
        <f>IF(G856="."," ",Formulario!D$5)</f>
        <v xml:space="preserve"> </v>
      </c>
      <c r="C856" s="144" t="str">
        <f>IF(G856=".","",Formulario!D$6)</f>
        <v/>
      </c>
      <c r="D856" s="144" t="str">
        <f>IF(H856=".","",Formulario!D$7)</f>
        <v/>
      </c>
      <c r="E856" s="144" t="str">
        <f>IF(G856=".","",Formulario!J$5)</f>
        <v/>
      </c>
      <c r="F856" s="145" t="str">
        <f>IF(G856=".","",Formulario!J$6)</f>
        <v/>
      </c>
      <c r="G856" s="180" t="str">
        <f>IF(Formulario!C864&lt;&gt;"",IF(Formulario!C864=" ","Falta Depto",IF(H856=".","Error En Descripción",Formulario!C864)),IF(H856=".",".","Falta Datos"))</f>
        <v>.</v>
      </c>
      <c r="H856" s="144" t="str">
        <f>IF(Formulario!D864&lt;&gt;"",IF(Formulario!D864=" ",".",Formulario!D864),".")</f>
        <v>.</v>
      </c>
      <c r="I856" s="144" t="str">
        <f>IF(Formulario!E864&lt;&gt;"",IF(Formulario!E864=" "," ",Formulario!E864),IF(G856=".",".","Falta Propietario"))</f>
        <v>.</v>
      </c>
      <c r="J856" s="144" t="str">
        <f>IF(Formulario!F864&lt;&gt;"",IF(Formulario!F864=" "," ",Formulario!F864)," ")</f>
        <v xml:space="preserve"> </v>
      </c>
      <c r="K856" s="144" t="str">
        <f>IF(Formulario!G864&lt;&gt;"",IF(Formulario!G864=" "," ",Formulario!G864)," ")</f>
        <v xml:space="preserve"> </v>
      </c>
      <c r="L856" s="144" t="str">
        <f>IF(Formulario!H864&lt;&gt;"",IF(Formulario!H864=" "," ",Formulario!H864)," ")</f>
        <v xml:space="preserve"> </v>
      </c>
      <c r="M856" s="144" t="str">
        <f>IF(Formulario!I864&lt;&gt;"",IF(Formulario!I864=" "," ",Formulario!I864)," ")</f>
        <v xml:space="preserve"> </v>
      </c>
      <c r="N856" s="145" t="str">
        <f>IF(Formulario!J864&lt;&gt;"",IF(Formulario!J864=" "," ",Formulario!J864),IF(G856=".",".","Falta Fecha"))</f>
        <v>.</v>
      </c>
      <c r="O856" s="155">
        <f>Formulario!L864</f>
        <v>0</v>
      </c>
      <c r="P856" s="146">
        <f>IF(O856=1,"09:00",Formulario!M864)</f>
        <v>0</v>
      </c>
      <c r="Q856" s="146">
        <f>IF(O856=1,"18:30",Formulario!N864)</f>
        <v>0</v>
      </c>
      <c r="R856" s="146" t="str">
        <f>IF(Formulario!O864&lt;&gt;"",IF(Formulario!O864=" ",".",Formulario!O864),".")</f>
        <v>.</v>
      </c>
      <c r="S856" s="141" t="s">
        <v>131</v>
      </c>
    </row>
    <row r="857" spans="1:19">
      <c r="A857" s="141">
        <f>Formulario!B865</f>
        <v>0</v>
      </c>
      <c r="B857" s="144" t="str">
        <f>IF(G857="."," ",Formulario!D$5)</f>
        <v xml:space="preserve"> </v>
      </c>
      <c r="C857" s="144" t="str">
        <f>IF(G857=".","",Formulario!D$6)</f>
        <v/>
      </c>
      <c r="D857" s="144" t="str">
        <f>IF(H857=".","",Formulario!D$7)</f>
        <v/>
      </c>
      <c r="E857" s="144" t="str">
        <f>IF(G857=".","",Formulario!J$5)</f>
        <v/>
      </c>
      <c r="F857" s="145" t="str">
        <f>IF(G857=".","",Formulario!J$6)</f>
        <v/>
      </c>
      <c r="G857" s="180" t="str">
        <f>IF(Formulario!C865&lt;&gt;"",IF(Formulario!C865=" ","Falta Depto",IF(H857=".","Error En Descripción",Formulario!C865)),IF(H857=".",".","Falta Datos"))</f>
        <v>.</v>
      </c>
      <c r="H857" s="144" t="str">
        <f>IF(Formulario!D865&lt;&gt;"",IF(Formulario!D865=" ",".",Formulario!D865),".")</f>
        <v>.</v>
      </c>
      <c r="I857" s="144" t="str">
        <f>IF(Formulario!E865&lt;&gt;"",IF(Formulario!E865=" "," ",Formulario!E865),IF(G857=".",".","Falta Propietario"))</f>
        <v>.</v>
      </c>
      <c r="J857" s="144" t="str">
        <f>IF(Formulario!F865&lt;&gt;"",IF(Formulario!F865=" "," ",Formulario!F865)," ")</f>
        <v xml:space="preserve"> </v>
      </c>
      <c r="K857" s="144" t="str">
        <f>IF(Formulario!G865&lt;&gt;"",IF(Formulario!G865=" "," ",Formulario!G865)," ")</f>
        <v xml:space="preserve"> </v>
      </c>
      <c r="L857" s="144" t="str">
        <f>IF(Formulario!H865&lt;&gt;"",IF(Formulario!H865=" "," ",Formulario!H865)," ")</f>
        <v xml:space="preserve"> </v>
      </c>
      <c r="M857" s="144" t="str">
        <f>IF(Formulario!I865&lt;&gt;"",IF(Formulario!I865=" "," ",Formulario!I865)," ")</f>
        <v xml:space="preserve"> </v>
      </c>
      <c r="N857" s="145" t="str">
        <f>IF(Formulario!J865&lt;&gt;"",IF(Formulario!J865=" "," ",Formulario!J865),IF(G857=".",".","Falta Fecha"))</f>
        <v>.</v>
      </c>
      <c r="O857" s="155">
        <f>Formulario!L865</f>
        <v>0</v>
      </c>
      <c r="P857" s="146">
        <f>IF(O857=1,"09:00",Formulario!M865)</f>
        <v>0</v>
      </c>
      <c r="Q857" s="146">
        <f>IF(O857=1,"18:30",Formulario!N865)</f>
        <v>0</v>
      </c>
      <c r="R857" s="146" t="str">
        <f>IF(Formulario!O865&lt;&gt;"",IF(Formulario!O865=" ",".",Formulario!O865),".")</f>
        <v>.</v>
      </c>
      <c r="S857" s="141" t="s">
        <v>131</v>
      </c>
    </row>
    <row r="858" spans="1:19">
      <c r="A858" s="141">
        <f>Formulario!B866</f>
        <v>0</v>
      </c>
      <c r="B858" s="144" t="str">
        <f>IF(G858="."," ",Formulario!D$5)</f>
        <v xml:space="preserve"> </v>
      </c>
      <c r="C858" s="144" t="str">
        <f>IF(G858=".","",Formulario!D$6)</f>
        <v/>
      </c>
      <c r="D858" s="144" t="str">
        <f>IF(H858=".","",Formulario!D$7)</f>
        <v/>
      </c>
      <c r="E858" s="144" t="str">
        <f>IF(G858=".","",Formulario!J$5)</f>
        <v/>
      </c>
      <c r="F858" s="145" t="str">
        <f>IF(G858=".","",Formulario!J$6)</f>
        <v/>
      </c>
      <c r="G858" s="180" t="str">
        <f>IF(Formulario!C866&lt;&gt;"",IF(Formulario!C866=" ","Falta Depto",IF(H858=".","Error En Descripción",Formulario!C866)),IF(H858=".",".","Falta Datos"))</f>
        <v>.</v>
      </c>
      <c r="H858" s="144" t="str">
        <f>IF(Formulario!D866&lt;&gt;"",IF(Formulario!D866=" ",".",Formulario!D866),".")</f>
        <v>.</v>
      </c>
      <c r="I858" s="144" t="str">
        <f>IF(Formulario!E866&lt;&gt;"",IF(Formulario!E866=" "," ",Formulario!E866),IF(G858=".",".","Falta Propietario"))</f>
        <v>.</v>
      </c>
      <c r="J858" s="144" t="str">
        <f>IF(Formulario!F866&lt;&gt;"",IF(Formulario!F866=" "," ",Formulario!F866)," ")</f>
        <v xml:space="preserve"> </v>
      </c>
      <c r="K858" s="144" t="str">
        <f>IF(Formulario!G866&lt;&gt;"",IF(Formulario!G866=" "," ",Formulario!G866)," ")</f>
        <v xml:space="preserve"> </v>
      </c>
      <c r="L858" s="144" t="str">
        <f>IF(Formulario!H866&lt;&gt;"",IF(Formulario!H866=" "," ",Formulario!H866)," ")</f>
        <v xml:space="preserve"> </v>
      </c>
      <c r="M858" s="144" t="str">
        <f>IF(Formulario!I866&lt;&gt;"",IF(Formulario!I866=" "," ",Formulario!I866)," ")</f>
        <v xml:space="preserve"> </v>
      </c>
      <c r="N858" s="145" t="str">
        <f>IF(Formulario!J866&lt;&gt;"",IF(Formulario!J866=" "," ",Formulario!J866),IF(G858=".",".","Falta Fecha"))</f>
        <v>.</v>
      </c>
      <c r="O858" s="155">
        <f>Formulario!L866</f>
        <v>0</v>
      </c>
      <c r="P858" s="146">
        <f>IF(O858=1,"09:00",Formulario!M866)</f>
        <v>0</v>
      </c>
      <c r="Q858" s="146">
        <f>IF(O858=1,"18:30",Formulario!N866)</f>
        <v>0</v>
      </c>
      <c r="R858" s="146" t="str">
        <f>IF(Formulario!O866&lt;&gt;"",IF(Formulario!O866=" ",".",Formulario!O866),".")</f>
        <v>.</v>
      </c>
      <c r="S858" s="141" t="s">
        <v>131</v>
      </c>
    </row>
    <row r="859" spans="1:19">
      <c r="A859" s="141">
        <f>Formulario!B867</f>
        <v>0</v>
      </c>
      <c r="B859" s="144" t="str">
        <f>IF(G859="."," ",Formulario!D$5)</f>
        <v xml:space="preserve"> </v>
      </c>
      <c r="C859" s="144" t="str">
        <f>IF(G859=".","",Formulario!D$6)</f>
        <v/>
      </c>
      <c r="D859" s="144" t="str">
        <f>IF(H859=".","",Formulario!D$7)</f>
        <v/>
      </c>
      <c r="E859" s="144" t="str">
        <f>IF(G859=".","",Formulario!J$5)</f>
        <v/>
      </c>
      <c r="F859" s="145" t="str">
        <f>IF(G859=".","",Formulario!J$6)</f>
        <v/>
      </c>
      <c r="G859" s="180" t="str">
        <f>IF(Formulario!C867&lt;&gt;"",IF(Formulario!C867=" ","Falta Depto",IF(H859=".","Error En Descripción",Formulario!C867)),IF(H859=".",".","Falta Datos"))</f>
        <v>.</v>
      </c>
      <c r="H859" s="144" t="str">
        <f>IF(Formulario!D867&lt;&gt;"",IF(Formulario!D867=" ",".",Formulario!D867),".")</f>
        <v>.</v>
      </c>
      <c r="I859" s="144" t="str">
        <f>IF(Formulario!E867&lt;&gt;"",IF(Formulario!E867=" "," ",Formulario!E867),IF(G859=".",".","Falta Propietario"))</f>
        <v>.</v>
      </c>
      <c r="J859" s="144" t="str">
        <f>IF(Formulario!F867&lt;&gt;"",IF(Formulario!F867=" "," ",Formulario!F867)," ")</f>
        <v xml:space="preserve"> </v>
      </c>
      <c r="K859" s="144" t="str">
        <f>IF(Formulario!G867&lt;&gt;"",IF(Formulario!G867=" "," ",Formulario!G867)," ")</f>
        <v xml:space="preserve"> </v>
      </c>
      <c r="L859" s="144" t="str">
        <f>IF(Formulario!H867&lt;&gt;"",IF(Formulario!H867=" "," ",Formulario!H867)," ")</f>
        <v xml:space="preserve"> </v>
      </c>
      <c r="M859" s="144" t="str">
        <f>IF(Formulario!I867&lt;&gt;"",IF(Formulario!I867=" "," ",Formulario!I867)," ")</f>
        <v xml:space="preserve"> </v>
      </c>
      <c r="N859" s="145" t="str">
        <f>IF(Formulario!J867&lt;&gt;"",IF(Formulario!J867=" "," ",Formulario!J867),IF(G859=".",".","Falta Fecha"))</f>
        <v>.</v>
      </c>
      <c r="O859" s="155">
        <f>Formulario!L867</f>
        <v>0</v>
      </c>
      <c r="P859" s="146">
        <f>IF(O859=1,"09:00",Formulario!M867)</f>
        <v>0</v>
      </c>
      <c r="Q859" s="146">
        <f>IF(O859=1,"18:30",Formulario!N867)</f>
        <v>0</v>
      </c>
      <c r="R859" s="146" t="str">
        <f>IF(Formulario!O867&lt;&gt;"",IF(Formulario!O867=" ",".",Formulario!O867),".")</f>
        <v>.</v>
      </c>
      <c r="S859" s="141" t="s">
        <v>131</v>
      </c>
    </row>
    <row r="860" spans="1:19">
      <c r="A860" s="141">
        <f>Formulario!B868</f>
        <v>0</v>
      </c>
      <c r="B860" s="144" t="str">
        <f>IF(G860="."," ",Formulario!D$5)</f>
        <v xml:space="preserve"> </v>
      </c>
      <c r="C860" s="144" t="str">
        <f>IF(G860=".","",Formulario!D$6)</f>
        <v/>
      </c>
      <c r="D860" s="144" t="str">
        <f>IF(H860=".","",Formulario!D$7)</f>
        <v/>
      </c>
      <c r="E860" s="144" t="str">
        <f>IF(G860=".","",Formulario!J$5)</f>
        <v/>
      </c>
      <c r="F860" s="145" t="str">
        <f>IF(G860=".","",Formulario!J$6)</f>
        <v/>
      </c>
      <c r="G860" s="180" t="str">
        <f>IF(Formulario!C868&lt;&gt;"",IF(Formulario!C868=" ","Falta Depto",IF(H860=".","Error En Descripción",Formulario!C868)),IF(H860=".",".","Falta Datos"))</f>
        <v>.</v>
      </c>
      <c r="H860" s="144" t="str">
        <f>IF(Formulario!D868&lt;&gt;"",IF(Formulario!D868=" ",".",Formulario!D868),".")</f>
        <v>.</v>
      </c>
      <c r="I860" s="144" t="str">
        <f>IF(Formulario!E868&lt;&gt;"",IF(Formulario!E868=" "," ",Formulario!E868),IF(G860=".",".","Falta Propietario"))</f>
        <v>.</v>
      </c>
      <c r="J860" s="144" t="str">
        <f>IF(Formulario!F868&lt;&gt;"",IF(Formulario!F868=" "," ",Formulario!F868)," ")</f>
        <v xml:space="preserve"> </v>
      </c>
      <c r="K860" s="144" t="str">
        <f>IF(Formulario!G868&lt;&gt;"",IF(Formulario!G868=" "," ",Formulario!G868)," ")</f>
        <v xml:space="preserve"> </v>
      </c>
      <c r="L860" s="144" t="str">
        <f>IF(Formulario!H868&lt;&gt;"",IF(Formulario!H868=" "," ",Formulario!H868)," ")</f>
        <v xml:space="preserve"> </v>
      </c>
      <c r="M860" s="144" t="str">
        <f>IF(Formulario!I868&lt;&gt;"",IF(Formulario!I868=" "," ",Formulario!I868)," ")</f>
        <v xml:space="preserve"> </v>
      </c>
      <c r="N860" s="145" t="str">
        <f>IF(Formulario!J868&lt;&gt;"",IF(Formulario!J868=" "," ",Formulario!J868),IF(G860=".",".","Falta Fecha"))</f>
        <v>.</v>
      </c>
      <c r="O860" s="155">
        <f>Formulario!L868</f>
        <v>0</v>
      </c>
      <c r="P860" s="146">
        <f>IF(O860=1,"09:00",Formulario!M868)</f>
        <v>0</v>
      </c>
      <c r="Q860" s="146">
        <f>IF(O860=1,"18:30",Formulario!N868)</f>
        <v>0</v>
      </c>
      <c r="R860" s="146" t="str">
        <f>IF(Formulario!O868&lt;&gt;"",IF(Formulario!O868=" ",".",Formulario!O868),".")</f>
        <v>.</v>
      </c>
      <c r="S860" s="141" t="s">
        <v>131</v>
      </c>
    </row>
    <row r="861" spans="1:19">
      <c r="A861" s="141">
        <f>Formulario!B869</f>
        <v>0</v>
      </c>
      <c r="B861" s="144" t="str">
        <f>IF(G861="."," ",Formulario!D$5)</f>
        <v xml:space="preserve"> </v>
      </c>
      <c r="C861" s="144" t="str">
        <f>IF(G861=".","",Formulario!D$6)</f>
        <v/>
      </c>
      <c r="D861" s="144" t="str">
        <f>IF(H861=".","",Formulario!D$7)</f>
        <v/>
      </c>
      <c r="E861" s="144" t="str">
        <f>IF(G861=".","",Formulario!J$5)</f>
        <v/>
      </c>
      <c r="F861" s="145" t="str">
        <f>IF(G861=".","",Formulario!J$6)</f>
        <v/>
      </c>
      <c r="G861" s="180" t="str">
        <f>IF(Formulario!C869&lt;&gt;"",IF(Formulario!C869=" ","Falta Depto",IF(H861=".","Error En Descripción",Formulario!C869)),IF(H861=".",".","Falta Datos"))</f>
        <v>.</v>
      </c>
      <c r="H861" s="144" t="str">
        <f>IF(Formulario!D869&lt;&gt;"",IF(Formulario!D869=" ",".",Formulario!D869),".")</f>
        <v>.</v>
      </c>
      <c r="I861" s="144" t="str">
        <f>IF(Formulario!E869&lt;&gt;"",IF(Formulario!E869=" "," ",Formulario!E869),IF(G861=".",".","Falta Propietario"))</f>
        <v>.</v>
      </c>
      <c r="J861" s="144" t="str">
        <f>IF(Formulario!F869&lt;&gt;"",IF(Formulario!F869=" "," ",Formulario!F869)," ")</f>
        <v xml:space="preserve"> </v>
      </c>
      <c r="K861" s="144" t="str">
        <f>IF(Formulario!G869&lt;&gt;"",IF(Formulario!G869=" "," ",Formulario!G869)," ")</f>
        <v xml:space="preserve"> </v>
      </c>
      <c r="L861" s="144" t="str">
        <f>IF(Formulario!H869&lt;&gt;"",IF(Formulario!H869=" "," ",Formulario!H869)," ")</f>
        <v xml:space="preserve"> </v>
      </c>
      <c r="M861" s="144" t="str">
        <f>IF(Formulario!I869&lt;&gt;"",IF(Formulario!I869=" "," ",Formulario!I869)," ")</f>
        <v xml:space="preserve"> </v>
      </c>
      <c r="N861" s="145" t="str">
        <f>IF(Formulario!J869&lt;&gt;"",IF(Formulario!J869=" "," ",Formulario!J869),IF(G861=".",".","Falta Fecha"))</f>
        <v>.</v>
      </c>
      <c r="O861" s="155">
        <f>Formulario!L869</f>
        <v>0</v>
      </c>
      <c r="P861" s="146">
        <f>IF(O861=1,"09:00",Formulario!M869)</f>
        <v>0</v>
      </c>
      <c r="Q861" s="146">
        <f>IF(O861=1,"18:30",Formulario!N869)</f>
        <v>0</v>
      </c>
      <c r="R861" s="146" t="str">
        <f>IF(Formulario!O869&lt;&gt;"",IF(Formulario!O869=" ",".",Formulario!O869),".")</f>
        <v>.</v>
      </c>
      <c r="S861" s="141" t="s">
        <v>131</v>
      </c>
    </row>
    <row r="862" spans="1:19">
      <c r="A862" s="141">
        <f>Formulario!B870</f>
        <v>0</v>
      </c>
      <c r="B862" s="144" t="str">
        <f>IF(G862="."," ",Formulario!D$5)</f>
        <v xml:space="preserve"> </v>
      </c>
      <c r="C862" s="144" t="str">
        <f>IF(G862=".","",Formulario!D$6)</f>
        <v/>
      </c>
      <c r="D862" s="144" t="str">
        <f>IF(H862=".","",Formulario!D$7)</f>
        <v/>
      </c>
      <c r="E862" s="144" t="str">
        <f>IF(G862=".","",Formulario!J$5)</f>
        <v/>
      </c>
      <c r="F862" s="145" t="str">
        <f>IF(G862=".","",Formulario!J$6)</f>
        <v/>
      </c>
      <c r="G862" s="180" t="str">
        <f>IF(Formulario!C870&lt;&gt;"",IF(Formulario!C870=" ","Falta Depto",IF(H862=".","Error En Descripción",Formulario!C870)),IF(H862=".",".","Falta Datos"))</f>
        <v>.</v>
      </c>
      <c r="H862" s="144" t="str">
        <f>IF(Formulario!D870&lt;&gt;"",IF(Formulario!D870=" ",".",Formulario!D870),".")</f>
        <v>.</v>
      </c>
      <c r="I862" s="144" t="str">
        <f>IF(Formulario!E870&lt;&gt;"",IF(Formulario!E870=" "," ",Formulario!E870),IF(G862=".",".","Falta Propietario"))</f>
        <v>.</v>
      </c>
      <c r="J862" s="144" t="str">
        <f>IF(Formulario!F870&lt;&gt;"",IF(Formulario!F870=" "," ",Formulario!F870)," ")</f>
        <v xml:space="preserve"> </v>
      </c>
      <c r="K862" s="144" t="str">
        <f>IF(Formulario!G870&lt;&gt;"",IF(Formulario!G870=" "," ",Formulario!G870)," ")</f>
        <v xml:space="preserve"> </v>
      </c>
      <c r="L862" s="144" t="str">
        <f>IF(Formulario!H870&lt;&gt;"",IF(Formulario!H870=" "," ",Formulario!H870)," ")</f>
        <v xml:space="preserve"> </v>
      </c>
      <c r="M862" s="144" t="str">
        <f>IF(Formulario!I870&lt;&gt;"",IF(Formulario!I870=" "," ",Formulario!I870)," ")</f>
        <v xml:space="preserve"> </v>
      </c>
      <c r="N862" s="145" t="str">
        <f>IF(Formulario!J870&lt;&gt;"",IF(Formulario!J870=" "," ",Formulario!J870),IF(G862=".",".","Falta Fecha"))</f>
        <v>.</v>
      </c>
      <c r="O862" s="155">
        <f>Formulario!L870</f>
        <v>0</v>
      </c>
      <c r="P862" s="146">
        <f>IF(O862=1,"09:00",Formulario!M870)</f>
        <v>0</v>
      </c>
      <c r="Q862" s="146">
        <f>IF(O862=1,"18:30",Formulario!N870)</f>
        <v>0</v>
      </c>
      <c r="R862" s="146" t="str">
        <f>IF(Formulario!O870&lt;&gt;"",IF(Formulario!O870=" ",".",Formulario!O870),".")</f>
        <v>.</v>
      </c>
      <c r="S862" s="141" t="s">
        <v>131</v>
      </c>
    </row>
    <row r="863" spans="1:19">
      <c r="A863" s="141">
        <f>Formulario!B871</f>
        <v>0</v>
      </c>
      <c r="B863" s="144" t="str">
        <f>IF(G863="."," ",Formulario!D$5)</f>
        <v xml:space="preserve"> </v>
      </c>
      <c r="C863" s="144" t="str">
        <f>IF(G863=".","",Formulario!D$6)</f>
        <v/>
      </c>
      <c r="D863" s="144" t="str">
        <f>IF(H863=".","",Formulario!D$7)</f>
        <v/>
      </c>
      <c r="E863" s="144" t="str">
        <f>IF(G863=".","",Formulario!J$5)</f>
        <v/>
      </c>
      <c r="F863" s="145" t="str">
        <f>IF(G863=".","",Formulario!J$6)</f>
        <v/>
      </c>
      <c r="G863" s="180" t="str">
        <f>IF(Formulario!C871&lt;&gt;"",IF(Formulario!C871=" ","Falta Depto",IF(H863=".","Error En Descripción",Formulario!C871)),IF(H863=".",".","Falta Datos"))</f>
        <v>.</v>
      </c>
      <c r="H863" s="144" t="str">
        <f>IF(Formulario!D871&lt;&gt;"",IF(Formulario!D871=" ",".",Formulario!D871),".")</f>
        <v>.</v>
      </c>
      <c r="I863" s="144" t="str">
        <f>IF(Formulario!E871&lt;&gt;"",IF(Formulario!E871=" "," ",Formulario!E871),IF(G863=".",".","Falta Propietario"))</f>
        <v>.</v>
      </c>
      <c r="J863" s="144" t="str">
        <f>IF(Formulario!F871&lt;&gt;"",IF(Formulario!F871=" "," ",Formulario!F871)," ")</f>
        <v xml:space="preserve"> </v>
      </c>
      <c r="K863" s="144" t="str">
        <f>IF(Formulario!G871&lt;&gt;"",IF(Formulario!G871=" "," ",Formulario!G871)," ")</f>
        <v xml:space="preserve"> </v>
      </c>
      <c r="L863" s="144" t="str">
        <f>IF(Formulario!H871&lt;&gt;"",IF(Formulario!H871=" "," ",Formulario!H871)," ")</f>
        <v xml:space="preserve"> </v>
      </c>
      <c r="M863" s="144" t="str">
        <f>IF(Formulario!I871&lt;&gt;"",IF(Formulario!I871=" "," ",Formulario!I871)," ")</f>
        <v xml:space="preserve"> </v>
      </c>
      <c r="N863" s="145" t="str">
        <f>IF(Formulario!J871&lt;&gt;"",IF(Formulario!J871=" "," ",Formulario!J871),IF(G863=".",".","Falta Fecha"))</f>
        <v>.</v>
      </c>
      <c r="O863" s="155">
        <f>Formulario!L871</f>
        <v>0</v>
      </c>
      <c r="P863" s="146">
        <f>IF(O863=1,"09:00",Formulario!M871)</f>
        <v>0</v>
      </c>
      <c r="Q863" s="146">
        <f>IF(O863=1,"18:30",Formulario!N871)</f>
        <v>0</v>
      </c>
      <c r="R863" s="146" t="str">
        <f>IF(Formulario!O871&lt;&gt;"",IF(Formulario!O871=" ",".",Formulario!O871),".")</f>
        <v>.</v>
      </c>
      <c r="S863" s="141" t="s">
        <v>131</v>
      </c>
    </row>
    <row r="864" spans="1:19">
      <c r="A864" s="141">
        <f>Formulario!B872</f>
        <v>0</v>
      </c>
      <c r="B864" s="144" t="str">
        <f>IF(G864="."," ",Formulario!D$5)</f>
        <v xml:space="preserve"> </v>
      </c>
      <c r="C864" s="144" t="str">
        <f>IF(G864=".","",Formulario!D$6)</f>
        <v/>
      </c>
      <c r="D864" s="144" t="str">
        <f>IF(H864=".","",Formulario!D$7)</f>
        <v/>
      </c>
      <c r="E864" s="144" t="str">
        <f>IF(G864=".","",Formulario!J$5)</f>
        <v/>
      </c>
      <c r="F864" s="145" t="str">
        <f>IF(G864=".","",Formulario!J$6)</f>
        <v/>
      </c>
      <c r="G864" s="180" t="str">
        <f>IF(Formulario!C872&lt;&gt;"",IF(Formulario!C872=" ","Falta Depto",IF(H864=".","Error En Descripción",Formulario!C872)),IF(H864=".",".","Falta Datos"))</f>
        <v>.</v>
      </c>
      <c r="H864" s="144" t="str">
        <f>IF(Formulario!D872&lt;&gt;"",IF(Formulario!D872=" ",".",Formulario!D872),".")</f>
        <v>.</v>
      </c>
      <c r="I864" s="144" t="str">
        <f>IF(Formulario!E872&lt;&gt;"",IF(Formulario!E872=" "," ",Formulario!E872),IF(G864=".",".","Falta Propietario"))</f>
        <v>.</v>
      </c>
      <c r="J864" s="144" t="str">
        <f>IF(Formulario!F872&lt;&gt;"",IF(Formulario!F872=" "," ",Formulario!F872)," ")</f>
        <v xml:space="preserve"> </v>
      </c>
      <c r="K864" s="144" t="str">
        <f>IF(Formulario!G872&lt;&gt;"",IF(Formulario!G872=" "," ",Formulario!G872)," ")</f>
        <v xml:space="preserve"> </v>
      </c>
      <c r="L864" s="144" t="str">
        <f>IF(Formulario!H872&lt;&gt;"",IF(Formulario!H872=" "," ",Formulario!H872)," ")</f>
        <v xml:space="preserve"> </v>
      </c>
      <c r="M864" s="144" t="str">
        <f>IF(Formulario!I872&lt;&gt;"",IF(Formulario!I872=" "," ",Formulario!I872)," ")</f>
        <v xml:space="preserve"> </v>
      </c>
      <c r="N864" s="145" t="str">
        <f>IF(Formulario!J872&lt;&gt;"",IF(Formulario!J872=" "," ",Formulario!J872),IF(G864=".",".","Falta Fecha"))</f>
        <v>.</v>
      </c>
      <c r="O864" s="155">
        <f>Formulario!L872</f>
        <v>0</v>
      </c>
      <c r="P864" s="146">
        <f>IF(O864=1,"09:00",Formulario!M872)</f>
        <v>0</v>
      </c>
      <c r="Q864" s="146">
        <f>IF(O864=1,"18:30",Formulario!N872)</f>
        <v>0</v>
      </c>
      <c r="R864" s="146" t="str">
        <f>IF(Formulario!O872&lt;&gt;"",IF(Formulario!O872=" ",".",Formulario!O872),".")</f>
        <v>.</v>
      </c>
      <c r="S864" s="141" t="s">
        <v>131</v>
      </c>
    </row>
    <row r="865" spans="1:19">
      <c r="A865" s="141">
        <f>Formulario!B873</f>
        <v>0</v>
      </c>
      <c r="B865" s="144" t="str">
        <f>IF(G865="."," ",Formulario!D$5)</f>
        <v xml:space="preserve"> </v>
      </c>
      <c r="C865" s="144" t="str">
        <f>IF(G865=".","",Formulario!D$6)</f>
        <v/>
      </c>
      <c r="D865" s="144" t="str">
        <f>IF(H865=".","",Formulario!D$7)</f>
        <v/>
      </c>
      <c r="E865" s="144" t="str">
        <f>IF(G865=".","",Formulario!J$5)</f>
        <v/>
      </c>
      <c r="F865" s="145" t="str">
        <f>IF(G865=".","",Formulario!J$6)</f>
        <v/>
      </c>
      <c r="G865" s="180" t="str">
        <f>IF(Formulario!C873&lt;&gt;"",IF(Formulario!C873=" ","Falta Depto",IF(H865=".","Error En Descripción",Formulario!C873)),IF(H865=".",".","Falta Datos"))</f>
        <v>.</v>
      </c>
      <c r="H865" s="144" t="str">
        <f>IF(Formulario!D873&lt;&gt;"",IF(Formulario!D873=" ",".",Formulario!D873),".")</f>
        <v>.</v>
      </c>
      <c r="I865" s="144" t="str">
        <f>IF(Formulario!E873&lt;&gt;"",IF(Formulario!E873=" "," ",Formulario!E873),IF(G865=".",".","Falta Propietario"))</f>
        <v>.</v>
      </c>
      <c r="J865" s="144" t="str">
        <f>IF(Formulario!F873&lt;&gt;"",IF(Formulario!F873=" "," ",Formulario!F873)," ")</f>
        <v xml:space="preserve"> </v>
      </c>
      <c r="K865" s="144" t="str">
        <f>IF(Formulario!G873&lt;&gt;"",IF(Formulario!G873=" "," ",Formulario!G873)," ")</f>
        <v xml:space="preserve"> </v>
      </c>
      <c r="L865" s="144" t="str">
        <f>IF(Formulario!H873&lt;&gt;"",IF(Formulario!H873=" "," ",Formulario!H873)," ")</f>
        <v xml:space="preserve"> </v>
      </c>
      <c r="M865" s="144" t="str">
        <f>IF(Formulario!I873&lt;&gt;"",IF(Formulario!I873=" "," ",Formulario!I873)," ")</f>
        <v xml:space="preserve"> </v>
      </c>
      <c r="N865" s="145" t="str">
        <f>IF(Formulario!J873&lt;&gt;"",IF(Formulario!J873=" "," ",Formulario!J873),IF(G865=".",".","Falta Fecha"))</f>
        <v>.</v>
      </c>
      <c r="O865" s="155">
        <f>Formulario!L873</f>
        <v>0</v>
      </c>
      <c r="P865" s="146">
        <f>IF(O865=1,"09:00",Formulario!M873)</f>
        <v>0</v>
      </c>
      <c r="Q865" s="146">
        <f>IF(O865=1,"18:30",Formulario!N873)</f>
        <v>0</v>
      </c>
      <c r="R865" s="146" t="str">
        <f>IF(Formulario!O873&lt;&gt;"",IF(Formulario!O873=" ",".",Formulario!O873),".")</f>
        <v>.</v>
      </c>
      <c r="S865" s="141" t="s">
        <v>131</v>
      </c>
    </row>
    <row r="866" spans="1:19">
      <c r="A866" s="141">
        <f>Formulario!B874</f>
        <v>0</v>
      </c>
      <c r="B866" s="144" t="str">
        <f>IF(G866="."," ",Formulario!D$5)</f>
        <v xml:space="preserve"> </v>
      </c>
      <c r="C866" s="144" t="str">
        <f>IF(G866=".","",Formulario!D$6)</f>
        <v/>
      </c>
      <c r="D866" s="144" t="str">
        <f>IF(H866=".","",Formulario!D$7)</f>
        <v/>
      </c>
      <c r="E866" s="144" t="str">
        <f>IF(G866=".","",Formulario!J$5)</f>
        <v/>
      </c>
      <c r="F866" s="145" t="str">
        <f>IF(G866=".","",Formulario!J$6)</f>
        <v/>
      </c>
      <c r="G866" s="180" t="str">
        <f>IF(Formulario!C874&lt;&gt;"",IF(Formulario!C874=" ","Falta Depto",IF(H866=".","Error En Descripción",Formulario!C874)),IF(H866=".",".","Falta Datos"))</f>
        <v>.</v>
      </c>
      <c r="H866" s="144" t="str">
        <f>IF(Formulario!D874&lt;&gt;"",IF(Formulario!D874=" ",".",Formulario!D874),".")</f>
        <v>.</v>
      </c>
      <c r="I866" s="144" t="str">
        <f>IF(Formulario!E874&lt;&gt;"",IF(Formulario!E874=" "," ",Formulario!E874),IF(G866=".",".","Falta Propietario"))</f>
        <v>.</v>
      </c>
      <c r="J866" s="144" t="str">
        <f>IF(Formulario!F874&lt;&gt;"",IF(Formulario!F874=" "," ",Formulario!F874)," ")</f>
        <v xml:space="preserve"> </v>
      </c>
      <c r="K866" s="144" t="str">
        <f>IF(Formulario!G874&lt;&gt;"",IF(Formulario!G874=" "," ",Formulario!G874)," ")</f>
        <v xml:space="preserve"> </v>
      </c>
      <c r="L866" s="144" t="str">
        <f>IF(Formulario!H874&lt;&gt;"",IF(Formulario!H874=" "," ",Formulario!H874)," ")</f>
        <v xml:space="preserve"> </v>
      </c>
      <c r="M866" s="144" t="str">
        <f>IF(Formulario!I874&lt;&gt;"",IF(Formulario!I874=" "," ",Formulario!I874)," ")</f>
        <v xml:space="preserve"> </v>
      </c>
      <c r="N866" s="145" t="str">
        <f>IF(Formulario!J874&lt;&gt;"",IF(Formulario!J874=" "," ",Formulario!J874),IF(G866=".",".","Falta Fecha"))</f>
        <v>.</v>
      </c>
      <c r="O866" s="155">
        <f>Formulario!L874</f>
        <v>0</v>
      </c>
      <c r="P866" s="146">
        <f>IF(O866=1,"09:00",Formulario!M874)</f>
        <v>0</v>
      </c>
      <c r="Q866" s="146">
        <f>IF(O866=1,"18:30",Formulario!N874)</f>
        <v>0</v>
      </c>
      <c r="R866" s="146" t="str">
        <f>IF(Formulario!O874&lt;&gt;"",IF(Formulario!O874=" ",".",Formulario!O874),".")</f>
        <v>.</v>
      </c>
      <c r="S866" s="141" t="s">
        <v>131</v>
      </c>
    </row>
    <row r="867" spans="1:19">
      <c r="A867" s="141">
        <f>Formulario!B875</f>
        <v>0</v>
      </c>
      <c r="B867" s="144" t="str">
        <f>IF(G867="."," ",Formulario!D$5)</f>
        <v xml:space="preserve"> </v>
      </c>
      <c r="C867" s="144" t="str">
        <f>IF(G867=".","",Formulario!D$6)</f>
        <v/>
      </c>
      <c r="D867" s="144" t="str">
        <f>IF(H867=".","",Formulario!D$7)</f>
        <v/>
      </c>
      <c r="E867" s="144" t="str">
        <f>IF(G867=".","",Formulario!J$5)</f>
        <v/>
      </c>
      <c r="F867" s="145" t="str">
        <f>IF(G867=".","",Formulario!J$6)</f>
        <v/>
      </c>
      <c r="G867" s="180" t="str">
        <f>IF(Formulario!C875&lt;&gt;"",IF(Formulario!C875=" ","Falta Depto",IF(H867=".","Error En Descripción",Formulario!C875)),IF(H867=".",".","Falta Datos"))</f>
        <v>.</v>
      </c>
      <c r="H867" s="144" t="str">
        <f>IF(Formulario!D875&lt;&gt;"",IF(Formulario!D875=" ",".",Formulario!D875),".")</f>
        <v>.</v>
      </c>
      <c r="I867" s="144" t="str">
        <f>IF(Formulario!E875&lt;&gt;"",IF(Formulario!E875=" "," ",Formulario!E875),IF(G867=".",".","Falta Propietario"))</f>
        <v>.</v>
      </c>
      <c r="J867" s="144" t="str">
        <f>IF(Formulario!F875&lt;&gt;"",IF(Formulario!F875=" "," ",Formulario!F875)," ")</f>
        <v xml:space="preserve"> </v>
      </c>
      <c r="K867" s="144" t="str">
        <f>IF(Formulario!G875&lt;&gt;"",IF(Formulario!G875=" "," ",Formulario!G875)," ")</f>
        <v xml:space="preserve"> </v>
      </c>
      <c r="L867" s="144" t="str">
        <f>IF(Formulario!H875&lt;&gt;"",IF(Formulario!H875=" "," ",Formulario!H875)," ")</f>
        <v xml:space="preserve"> </v>
      </c>
      <c r="M867" s="144" t="str">
        <f>IF(Formulario!I875&lt;&gt;"",IF(Formulario!I875=" "," ",Formulario!I875)," ")</f>
        <v xml:space="preserve"> </v>
      </c>
      <c r="N867" s="145" t="str">
        <f>IF(Formulario!J875&lt;&gt;"",IF(Formulario!J875=" "," ",Formulario!J875),IF(G867=".",".","Falta Fecha"))</f>
        <v>.</v>
      </c>
      <c r="O867" s="155">
        <f>Formulario!L875</f>
        <v>0</v>
      </c>
      <c r="P867" s="146">
        <f>IF(O867=1,"09:00",Formulario!M875)</f>
        <v>0</v>
      </c>
      <c r="Q867" s="146">
        <f>IF(O867=1,"18:30",Formulario!N875)</f>
        <v>0</v>
      </c>
      <c r="R867" s="146" t="str">
        <f>IF(Formulario!O875&lt;&gt;"",IF(Formulario!O875=" ",".",Formulario!O875),".")</f>
        <v>.</v>
      </c>
      <c r="S867" s="141" t="s">
        <v>131</v>
      </c>
    </row>
    <row r="868" spans="1:19">
      <c r="A868" s="141">
        <f>Formulario!B876</f>
        <v>0</v>
      </c>
      <c r="B868" s="144" t="str">
        <f>IF(G868="."," ",Formulario!D$5)</f>
        <v xml:space="preserve"> </v>
      </c>
      <c r="C868" s="144" t="str">
        <f>IF(G868=".","",Formulario!D$6)</f>
        <v/>
      </c>
      <c r="D868" s="144" t="str">
        <f>IF(H868=".","",Formulario!D$7)</f>
        <v/>
      </c>
      <c r="E868" s="144" t="str">
        <f>IF(G868=".","",Formulario!J$5)</f>
        <v/>
      </c>
      <c r="F868" s="145" t="str">
        <f>IF(G868=".","",Formulario!J$6)</f>
        <v/>
      </c>
      <c r="G868" s="180" t="str">
        <f>IF(Formulario!C876&lt;&gt;"",IF(Formulario!C876=" ","Falta Depto",IF(H868=".","Error En Descripción",Formulario!C876)),IF(H868=".",".","Falta Datos"))</f>
        <v>.</v>
      </c>
      <c r="H868" s="144" t="str">
        <f>IF(Formulario!D876&lt;&gt;"",IF(Formulario!D876=" ",".",Formulario!D876),".")</f>
        <v>.</v>
      </c>
      <c r="I868" s="144" t="str">
        <f>IF(Formulario!E876&lt;&gt;"",IF(Formulario!E876=" "," ",Formulario!E876),IF(G868=".",".","Falta Propietario"))</f>
        <v>.</v>
      </c>
      <c r="J868" s="144" t="str">
        <f>IF(Formulario!F876&lt;&gt;"",IF(Formulario!F876=" "," ",Formulario!F876)," ")</f>
        <v xml:space="preserve"> </v>
      </c>
      <c r="K868" s="144" t="str">
        <f>IF(Formulario!G876&lt;&gt;"",IF(Formulario!G876=" "," ",Formulario!G876)," ")</f>
        <v xml:space="preserve"> </v>
      </c>
      <c r="L868" s="144" t="str">
        <f>IF(Formulario!H876&lt;&gt;"",IF(Formulario!H876=" "," ",Formulario!H876)," ")</f>
        <v xml:space="preserve"> </v>
      </c>
      <c r="M868" s="144" t="str">
        <f>IF(Formulario!I876&lt;&gt;"",IF(Formulario!I876=" "," ",Formulario!I876)," ")</f>
        <v xml:space="preserve"> </v>
      </c>
      <c r="N868" s="145" t="str">
        <f>IF(Formulario!J876&lt;&gt;"",IF(Formulario!J876=" "," ",Formulario!J876),IF(G868=".",".","Falta Fecha"))</f>
        <v>.</v>
      </c>
      <c r="O868" s="155">
        <f>Formulario!L876</f>
        <v>0</v>
      </c>
      <c r="P868" s="146">
        <f>IF(O868=1,"09:00",Formulario!M876)</f>
        <v>0</v>
      </c>
      <c r="Q868" s="146">
        <f>IF(O868=1,"18:30",Formulario!N876)</f>
        <v>0</v>
      </c>
      <c r="R868" s="146" t="str">
        <f>IF(Formulario!O876&lt;&gt;"",IF(Formulario!O876=" ",".",Formulario!O876),".")</f>
        <v>.</v>
      </c>
      <c r="S868" s="141" t="s">
        <v>131</v>
      </c>
    </row>
    <row r="869" spans="1:19">
      <c r="A869" s="141">
        <f>Formulario!B877</f>
        <v>0</v>
      </c>
      <c r="B869" s="144" t="str">
        <f>IF(G869="."," ",Formulario!D$5)</f>
        <v xml:space="preserve"> </v>
      </c>
      <c r="C869" s="144" t="str">
        <f>IF(G869=".","",Formulario!D$6)</f>
        <v/>
      </c>
      <c r="D869" s="144" t="str">
        <f>IF(H869=".","",Formulario!D$7)</f>
        <v/>
      </c>
      <c r="E869" s="144" t="str">
        <f>IF(G869=".","",Formulario!J$5)</f>
        <v/>
      </c>
      <c r="F869" s="145" t="str">
        <f>IF(G869=".","",Formulario!J$6)</f>
        <v/>
      </c>
      <c r="G869" s="180" t="str">
        <f>IF(Formulario!C877&lt;&gt;"",IF(Formulario!C877=" ","Falta Depto",IF(H869=".","Error En Descripción",Formulario!C877)),IF(H869=".",".","Falta Datos"))</f>
        <v>.</v>
      </c>
      <c r="H869" s="144" t="str">
        <f>IF(Formulario!D877&lt;&gt;"",IF(Formulario!D877=" ",".",Formulario!D877),".")</f>
        <v>.</v>
      </c>
      <c r="I869" s="144" t="str">
        <f>IF(Formulario!E877&lt;&gt;"",IF(Formulario!E877=" "," ",Formulario!E877),IF(G869=".",".","Falta Propietario"))</f>
        <v>.</v>
      </c>
      <c r="J869" s="144" t="str">
        <f>IF(Formulario!F877&lt;&gt;"",IF(Formulario!F877=" "," ",Formulario!F877)," ")</f>
        <v xml:space="preserve"> </v>
      </c>
      <c r="K869" s="144" t="str">
        <f>IF(Formulario!G877&lt;&gt;"",IF(Formulario!G877=" "," ",Formulario!G877)," ")</f>
        <v xml:space="preserve"> </v>
      </c>
      <c r="L869" s="144" t="str">
        <f>IF(Formulario!H877&lt;&gt;"",IF(Formulario!H877=" "," ",Formulario!H877)," ")</f>
        <v xml:space="preserve"> </v>
      </c>
      <c r="M869" s="144" t="str">
        <f>IF(Formulario!I877&lt;&gt;"",IF(Formulario!I877=" "," ",Formulario!I877)," ")</f>
        <v xml:space="preserve"> </v>
      </c>
      <c r="N869" s="145" t="str">
        <f>IF(Formulario!J877&lt;&gt;"",IF(Formulario!J877=" "," ",Formulario!J877),IF(G869=".",".","Falta Fecha"))</f>
        <v>.</v>
      </c>
      <c r="O869" s="155">
        <f>Formulario!L877</f>
        <v>0</v>
      </c>
      <c r="P869" s="146">
        <f>IF(O869=1,"09:00",Formulario!M877)</f>
        <v>0</v>
      </c>
      <c r="Q869" s="146">
        <f>IF(O869=1,"18:30",Formulario!N877)</f>
        <v>0</v>
      </c>
      <c r="R869" s="146" t="str">
        <f>IF(Formulario!O877&lt;&gt;"",IF(Formulario!O877=" ",".",Formulario!O877),".")</f>
        <v>.</v>
      </c>
      <c r="S869" s="141" t="s">
        <v>131</v>
      </c>
    </row>
    <row r="870" spans="1:19">
      <c r="A870" s="141">
        <f>Formulario!B878</f>
        <v>0</v>
      </c>
      <c r="B870" s="144" t="str">
        <f>IF(G870="."," ",Formulario!D$5)</f>
        <v xml:space="preserve"> </v>
      </c>
      <c r="C870" s="144" t="str">
        <f>IF(G870=".","",Formulario!D$6)</f>
        <v/>
      </c>
      <c r="D870" s="144" t="str">
        <f>IF(H870=".","",Formulario!D$7)</f>
        <v/>
      </c>
      <c r="E870" s="144" t="str">
        <f>IF(G870=".","",Formulario!J$5)</f>
        <v/>
      </c>
      <c r="F870" s="145" t="str">
        <f>IF(G870=".","",Formulario!J$6)</f>
        <v/>
      </c>
      <c r="G870" s="180" t="str">
        <f>IF(Formulario!C878&lt;&gt;"",IF(Formulario!C878=" ","Falta Depto",IF(H870=".","Error En Descripción",Formulario!C878)),IF(H870=".",".","Falta Datos"))</f>
        <v>.</v>
      </c>
      <c r="H870" s="144" t="str">
        <f>IF(Formulario!D878&lt;&gt;"",IF(Formulario!D878=" ",".",Formulario!D878),".")</f>
        <v>.</v>
      </c>
      <c r="I870" s="144" t="str">
        <f>IF(Formulario!E878&lt;&gt;"",IF(Formulario!E878=" "," ",Formulario!E878),IF(G870=".",".","Falta Propietario"))</f>
        <v>.</v>
      </c>
      <c r="J870" s="144" t="str">
        <f>IF(Formulario!F878&lt;&gt;"",IF(Formulario!F878=" "," ",Formulario!F878)," ")</f>
        <v xml:space="preserve"> </v>
      </c>
      <c r="K870" s="144" t="str">
        <f>IF(Formulario!G878&lt;&gt;"",IF(Formulario!G878=" "," ",Formulario!G878)," ")</f>
        <v xml:space="preserve"> </v>
      </c>
      <c r="L870" s="144" t="str">
        <f>IF(Formulario!H878&lt;&gt;"",IF(Formulario!H878=" "," ",Formulario!H878)," ")</f>
        <v xml:space="preserve"> </v>
      </c>
      <c r="M870" s="144" t="str">
        <f>IF(Formulario!I878&lt;&gt;"",IF(Formulario!I878=" "," ",Formulario!I878)," ")</f>
        <v xml:space="preserve"> </v>
      </c>
      <c r="N870" s="145" t="str">
        <f>IF(Formulario!J878&lt;&gt;"",IF(Formulario!J878=" "," ",Formulario!J878),IF(G870=".",".","Falta Fecha"))</f>
        <v>.</v>
      </c>
      <c r="O870" s="155">
        <f>Formulario!L878</f>
        <v>0</v>
      </c>
      <c r="P870" s="146">
        <f>IF(O870=1,"09:00",Formulario!M878)</f>
        <v>0</v>
      </c>
      <c r="Q870" s="146">
        <f>IF(O870=1,"18:30",Formulario!N878)</f>
        <v>0</v>
      </c>
      <c r="R870" s="146" t="str">
        <f>IF(Formulario!O878&lt;&gt;"",IF(Formulario!O878=" ",".",Formulario!O878),".")</f>
        <v>.</v>
      </c>
      <c r="S870" s="141" t="s">
        <v>131</v>
      </c>
    </row>
    <row r="871" spans="1:19">
      <c r="A871" s="141">
        <f>Formulario!B879</f>
        <v>0</v>
      </c>
      <c r="B871" s="144" t="str">
        <f>IF(G871="."," ",Formulario!D$5)</f>
        <v xml:space="preserve"> </v>
      </c>
      <c r="C871" s="144" t="str">
        <f>IF(G871=".","",Formulario!D$6)</f>
        <v/>
      </c>
      <c r="D871" s="144" t="str">
        <f>IF(H871=".","",Formulario!D$7)</f>
        <v/>
      </c>
      <c r="E871" s="144" t="str">
        <f>IF(G871=".","",Formulario!J$5)</f>
        <v/>
      </c>
      <c r="F871" s="145" t="str">
        <f>IF(G871=".","",Formulario!J$6)</f>
        <v/>
      </c>
      <c r="G871" s="180" t="str">
        <f>IF(Formulario!C879&lt;&gt;"",IF(Formulario!C879=" ","Falta Depto",IF(H871=".","Error En Descripción",Formulario!C879)),IF(H871=".",".","Falta Datos"))</f>
        <v>.</v>
      </c>
      <c r="H871" s="144" t="str">
        <f>IF(Formulario!D879&lt;&gt;"",IF(Formulario!D879=" ",".",Formulario!D879),".")</f>
        <v>.</v>
      </c>
      <c r="I871" s="144" t="str">
        <f>IF(Formulario!E879&lt;&gt;"",IF(Formulario!E879=" "," ",Formulario!E879),IF(G871=".",".","Falta Propietario"))</f>
        <v>.</v>
      </c>
      <c r="J871" s="144" t="str">
        <f>IF(Formulario!F879&lt;&gt;"",IF(Formulario!F879=" "," ",Formulario!F879)," ")</f>
        <v xml:space="preserve"> </v>
      </c>
      <c r="K871" s="144" t="str">
        <f>IF(Formulario!G879&lt;&gt;"",IF(Formulario!G879=" "," ",Formulario!G879)," ")</f>
        <v xml:space="preserve"> </v>
      </c>
      <c r="L871" s="144" t="str">
        <f>IF(Formulario!H879&lt;&gt;"",IF(Formulario!H879=" "," ",Formulario!H879)," ")</f>
        <v xml:space="preserve"> </v>
      </c>
      <c r="M871" s="144" t="str">
        <f>IF(Formulario!I879&lt;&gt;"",IF(Formulario!I879=" "," ",Formulario!I879)," ")</f>
        <v xml:space="preserve"> </v>
      </c>
      <c r="N871" s="145" t="str">
        <f>IF(Formulario!J879&lt;&gt;"",IF(Formulario!J879=" "," ",Formulario!J879),IF(G871=".",".","Falta Fecha"))</f>
        <v>.</v>
      </c>
      <c r="O871" s="155">
        <f>Formulario!L879</f>
        <v>0</v>
      </c>
      <c r="P871" s="146">
        <f>IF(O871=1,"09:00",Formulario!M879)</f>
        <v>0</v>
      </c>
      <c r="Q871" s="146">
        <f>IF(O871=1,"18:30",Formulario!N879)</f>
        <v>0</v>
      </c>
      <c r="R871" s="146" t="str">
        <f>IF(Formulario!O879&lt;&gt;"",IF(Formulario!O879=" ",".",Formulario!O879),".")</f>
        <v>.</v>
      </c>
      <c r="S871" s="141" t="s">
        <v>131</v>
      </c>
    </row>
    <row r="872" spans="1:19">
      <c r="A872" s="141">
        <f>Formulario!B880</f>
        <v>0</v>
      </c>
      <c r="B872" s="144" t="str">
        <f>IF(G872="."," ",Formulario!D$5)</f>
        <v xml:space="preserve"> </v>
      </c>
      <c r="C872" s="144" t="str">
        <f>IF(G872=".","",Formulario!D$6)</f>
        <v/>
      </c>
      <c r="D872" s="144" t="str">
        <f>IF(H872=".","",Formulario!D$7)</f>
        <v/>
      </c>
      <c r="E872" s="144" t="str">
        <f>IF(G872=".","",Formulario!J$5)</f>
        <v/>
      </c>
      <c r="F872" s="145" t="str">
        <f>IF(G872=".","",Formulario!J$6)</f>
        <v/>
      </c>
      <c r="G872" s="180" t="str">
        <f>IF(Formulario!C880&lt;&gt;"",IF(Formulario!C880=" ","Falta Depto",IF(H872=".","Error En Descripción",Formulario!C880)),IF(H872=".",".","Falta Datos"))</f>
        <v>.</v>
      </c>
      <c r="H872" s="144" t="str">
        <f>IF(Formulario!D880&lt;&gt;"",IF(Formulario!D880=" ",".",Formulario!D880),".")</f>
        <v>.</v>
      </c>
      <c r="I872" s="144" t="str">
        <f>IF(Formulario!E880&lt;&gt;"",IF(Formulario!E880=" "," ",Formulario!E880),IF(G872=".",".","Falta Propietario"))</f>
        <v>.</v>
      </c>
      <c r="J872" s="144" t="str">
        <f>IF(Formulario!F880&lt;&gt;"",IF(Formulario!F880=" "," ",Formulario!F880)," ")</f>
        <v xml:space="preserve"> </v>
      </c>
      <c r="K872" s="144" t="str">
        <f>IF(Formulario!G880&lt;&gt;"",IF(Formulario!G880=" "," ",Formulario!G880)," ")</f>
        <v xml:space="preserve"> </v>
      </c>
      <c r="L872" s="144" t="str">
        <f>IF(Formulario!H880&lt;&gt;"",IF(Formulario!H880=" "," ",Formulario!H880)," ")</f>
        <v xml:space="preserve"> </v>
      </c>
      <c r="M872" s="144" t="str">
        <f>IF(Formulario!I880&lt;&gt;"",IF(Formulario!I880=" "," ",Formulario!I880)," ")</f>
        <v xml:space="preserve"> </v>
      </c>
      <c r="N872" s="145" t="str">
        <f>IF(Formulario!J880&lt;&gt;"",IF(Formulario!J880=" "," ",Formulario!J880),IF(G872=".",".","Falta Fecha"))</f>
        <v>.</v>
      </c>
      <c r="O872" s="155">
        <f>Formulario!L880</f>
        <v>0</v>
      </c>
      <c r="P872" s="146">
        <f>IF(O872=1,"09:00",Formulario!M880)</f>
        <v>0</v>
      </c>
      <c r="Q872" s="146">
        <f>IF(O872=1,"18:30",Formulario!N880)</f>
        <v>0</v>
      </c>
      <c r="R872" s="146" t="str">
        <f>IF(Formulario!O880&lt;&gt;"",IF(Formulario!O880=" ",".",Formulario!O880),".")</f>
        <v>.</v>
      </c>
      <c r="S872" s="141" t="s">
        <v>131</v>
      </c>
    </row>
    <row r="873" spans="1:19">
      <c r="A873" s="141">
        <f>Formulario!B881</f>
        <v>0</v>
      </c>
      <c r="B873" s="144" t="str">
        <f>IF(G873="."," ",Formulario!D$5)</f>
        <v xml:space="preserve"> </v>
      </c>
      <c r="C873" s="144" t="str">
        <f>IF(G873=".","",Formulario!D$6)</f>
        <v/>
      </c>
      <c r="D873" s="144" t="str">
        <f>IF(H873=".","",Formulario!D$7)</f>
        <v/>
      </c>
      <c r="E873" s="144" t="str">
        <f>IF(G873=".","",Formulario!J$5)</f>
        <v/>
      </c>
      <c r="F873" s="145" t="str">
        <f>IF(G873=".","",Formulario!J$6)</f>
        <v/>
      </c>
      <c r="G873" s="180" t="str">
        <f>IF(Formulario!C881&lt;&gt;"",IF(Formulario!C881=" ","Falta Depto",IF(H873=".","Error En Descripción",Formulario!C881)),IF(H873=".",".","Falta Datos"))</f>
        <v>.</v>
      </c>
      <c r="H873" s="144" t="str">
        <f>IF(Formulario!D881&lt;&gt;"",IF(Formulario!D881=" ",".",Formulario!D881),".")</f>
        <v>.</v>
      </c>
      <c r="I873" s="144" t="str">
        <f>IF(Formulario!E881&lt;&gt;"",IF(Formulario!E881=" "," ",Formulario!E881),IF(G873=".",".","Falta Propietario"))</f>
        <v>.</v>
      </c>
      <c r="J873" s="144" t="str">
        <f>IF(Formulario!F881&lt;&gt;"",IF(Formulario!F881=" "," ",Formulario!F881)," ")</f>
        <v xml:space="preserve"> </v>
      </c>
      <c r="K873" s="144" t="str">
        <f>IF(Formulario!G881&lt;&gt;"",IF(Formulario!G881=" "," ",Formulario!G881)," ")</f>
        <v xml:space="preserve"> </v>
      </c>
      <c r="L873" s="144" t="str">
        <f>IF(Formulario!H881&lt;&gt;"",IF(Formulario!H881=" "," ",Formulario!H881)," ")</f>
        <v xml:space="preserve"> </v>
      </c>
      <c r="M873" s="144" t="str">
        <f>IF(Formulario!I881&lt;&gt;"",IF(Formulario!I881=" "," ",Formulario!I881)," ")</f>
        <v xml:space="preserve"> </v>
      </c>
      <c r="N873" s="145" t="str">
        <f>IF(Formulario!J881&lt;&gt;"",IF(Formulario!J881=" "," ",Formulario!J881),IF(G873=".",".","Falta Fecha"))</f>
        <v>.</v>
      </c>
      <c r="O873" s="155">
        <f>Formulario!L881</f>
        <v>0</v>
      </c>
      <c r="P873" s="146">
        <f>IF(O873=1,"09:00",Formulario!M881)</f>
        <v>0</v>
      </c>
      <c r="Q873" s="146">
        <f>IF(O873=1,"18:30",Formulario!N881)</f>
        <v>0</v>
      </c>
      <c r="R873" s="146" t="str">
        <f>IF(Formulario!O881&lt;&gt;"",IF(Formulario!O881=" ",".",Formulario!O881),".")</f>
        <v>.</v>
      </c>
      <c r="S873" s="141" t="s">
        <v>131</v>
      </c>
    </row>
    <row r="874" spans="1:19">
      <c r="A874" s="141">
        <f>Formulario!B882</f>
        <v>0</v>
      </c>
      <c r="B874" s="144" t="str">
        <f>IF(G874="."," ",Formulario!D$5)</f>
        <v xml:space="preserve"> </v>
      </c>
      <c r="C874" s="144" t="str">
        <f>IF(G874=".","",Formulario!D$6)</f>
        <v/>
      </c>
      <c r="D874" s="144" t="str">
        <f>IF(H874=".","",Formulario!D$7)</f>
        <v/>
      </c>
      <c r="E874" s="144" t="str">
        <f>IF(G874=".","",Formulario!J$5)</f>
        <v/>
      </c>
      <c r="F874" s="145" t="str">
        <f>IF(G874=".","",Formulario!J$6)</f>
        <v/>
      </c>
      <c r="G874" s="180" t="str">
        <f>IF(Formulario!C882&lt;&gt;"",IF(Formulario!C882=" ","Falta Depto",IF(H874=".","Error En Descripción",Formulario!C882)),IF(H874=".",".","Falta Datos"))</f>
        <v>.</v>
      </c>
      <c r="H874" s="144" t="str">
        <f>IF(Formulario!D882&lt;&gt;"",IF(Formulario!D882=" ",".",Formulario!D882),".")</f>
        <v>.</v>
      </c>
      <c r="I874" s="144" t="str">
        <f>IF(Formulario!E882&lt;&gt;"",IF(Formulario!E882=" "," ",Formulario!E882),IF(G874=".",".","Falta Propietario"))</f>
        <v>.</v>
      </c>
      <c r="J874" s="144" t="str">
        <f>IF(Formulario!F882&lt;&gt;"",IF(Formulario!F882=" "," ",Formulario!F882)," ")</f>
        <v xml:space="preserve"> </v>
      </c>
      <c r="K874" s="144" t="str">
        <f>IF(Formulario!G882&lt;&gt;"",IF(Formulario!G882=" "," ",Formulario!G882)," ")</f>
        <v xml:space="preserve"> </v>
      </c>
      <c r="L874" s="144" t="str">
        <f>IF(Formulario!H882&lt;&gt;"",IF(Formulario!H882=" "," ",Formulario!H882)," ")</f>
        <v xml:space="preserve"> </v>
      </c>
      <c r="M874" s="144" t="str">
        <f>IF(Formulario!I882&lt;&gt;"",IF(Formulario!I882=" "," ",Formulario!I882)," ")</f>
        <v xml:space="preserve"> </v>
      </c>
      <c r="N874" s="145" t="str">
        <f>IF(Formulario!J882&lt;&gt;"",IF(Formulario!J882=" "," ",Formulario!J882),IF(G874=".",".","Falta Fecha"))</f>
        <v>.</v>
      </c>
      <c r="O874" s="155">
        <f>Formulario!L882</f>
        <v>0</v>
      </c>
      <c r="P874" s="146">
        <f>IF(O874=1,"09:00",Formulario!M882)</f>
        <v>0</v>
      </c>
      <c r="Q874" s="146">
        <f>IF(O874=1,"18:30",Formulario!N882)</f>
        <v>0</v>
      </c>
      <c r="R874" s="146" t="str">
        <f>IF(Formulario!O882&lt;&gt;"",IF(Formulario!O882=" ",".",Formulario!O882),".")</f>
        <v>.</v>
      </c>
      <c r="S874" s="141" t="s">
        <v>131</v>
      </c>
    </row>
    <row r="875" spans="1:19">
      <c r="A875" s="141">
        <f>Formulario!B883</f>
        <v>0</v>
      </c>
      <c r="B875" s="144" t="str">
        <f>IF(G875="."," ",Formulario!D$5)</f>
        <v xml:space="preserve"> </v>
      </c>
      <c r="C875" s="144" t="str">
        <f>IF(G875=".","",Formulario!D$6)</f>
        <v/>
      </c>
      <c r="D875" s="144" t="str">
        <f>IF(H875=".","",Formulario!D$7)</f>
        <v/>
      </c>
      <c r="E875" s="144" t="str">
        <f>IF(G875=".","",Formulario!J$5)</f>
        <v/>
      </c>
      <c r="F875" s="145" t="str">
        <f>IF(G875=".","",Formulario!J$6)</f>
        <v/>
      </c>
      <c r="G875" s="180" t="str">
        <f>IF(Formulario!C883&lt;&gt;"",IF(Formulario!C883=" ","Falta Depto",IF(H875=".","Error En Descripción",Formulario!C883)),IF(H875=".",".","Falta Datos"))</f>
        <v>.</v>
      </c>
      <c r="H875" s="144" t="str">
        <f>IF(Formulario!D883&lt;&gt;"",IF(Formulario!D883=" ",".",Formulario!D883),".")</f>
        <v>.</v>
      </c>
      <c r="I875" s="144" t="str">
        <f>IF(Formulario!E883&lt;&gt;"",IF(Formulario!E883=" "," ",Formulario!E883),IF(G875=".",".","Falta Propietario"))</f>
        <v>.</v>
      </c>
      <c r="J875" s="144" t="str">
        <f>IF(Formulario!F883&lt;&gt;"",IF(Formulario!F883=" "," ",Formulario!F883)," ")</f>
        <v xml:space="preserve"> </v>
      </c>
      <c r="K875" s="144" t="str">
        <f>IF(Formulario!G883&lt;&gt;"",IF(Formulario!G883=" "," ",Formulario!G883)," ")</f>
        <v xml:space="preserve"> </v>
      </c>
      <c r="L875" s="144" t="str">
        <f>IF(Formulario!H883&lt;&gt;"",IF(Formulario!H883=" "," ",Formulario!H883)," ")</f>
        <v xml:space="preserve"> </v>
      </c>
      <c r="M875" s="144" t="str">
        <f>IF(Formulario!I883&lt;&gt;"",IF(Formulario!I883=" "," ",Formulario!I883)," ")</f>
        <v xml:space="preserve"> </v>
      </c>
      <c r="N875" s="145" t="str">
        <f>IF(Formulario!J883&lt;&gt;"",IF(Formulario!J883=" "," ",Formulario!J883),IF(G875=".",".","Falta Fecha"))</f>
        <v>.</v>
      </c>
      <c r="O875" s="155">
        <f>Formulario!L883</f>
        <v>0</v>
      </c>
      <c r="P875" s="146">
        <f>IF(O875=1,"09:00",Formulario!M883)</f>
        <v>0</v>
      </c>
      <c r="Q875" s="146">
        <f>IF(O875=1,"18:30",Formulario!N883)</f>
        <v>0</v>
      </c>
      <c r="R875" s="146" t="str">
        <f>IF(Formulario!O883&lt;&gt;"",IF(Formulario!O883=" ",".",Formulario!O883),".")</f>
        <v>.</v>
      </c>
      <c r="S875" s="141" t="s">
        <v>131</v>
      </c>
    </row>
    <row r="876" spans="1:19">
      <c r="A876" s="141">
        <f>Formulario!B884</f>
        <v>0</v>
      </c>
      <c r="B876" s="144" t="str">
        <f>IF(G876="."," ",Formulario!D$5)</f>
        <v xml:space="preserve"> </v>
      </c>
      <c r="C876" s="144" t="str">
        <f>IF(G876=".","",Formulario!D$6)</f>
        <v/>
      </c>
      <c r="D876" s="144" t="str">
        <f>IF(H876=".","",Formulario!D$7)</f>
        <v/>
      </c>
      <c r="E876" s="144" t="str">
        <f>IF(G876=".","",Formulario!J$5)</f>
        <v/>
      </c>
      <c r="F876" s="145" t="str">
        <f>IF(G876=".","",Formulario!J$6)</f>
        <v/>
      </c>
      <c r="G876" s="180" t="str">
        <f>IF(Formulario!C884&lt;&gt;"",IF(Formulario!C884=" ","Falta Depto",IF(H876=".","Error En Descripción",Formulario!C884)),IF(H876=".",".","Falta Datos"))</f>
        <v>.</v>
      </c>
      <c r="H876" s="144" t="str">
        <f>IF(Formulario!D884&lt;&gt;"",IF(Formulario!D884=" ",".",Formulario!D884),".")</f>
        <v>.</v>
      </c>
      <c r="I876" s="144" t="str">
        <f>IF(Formulario!E884&lt;&gt;"",IF(Formulario!E884=" "," ",Formulario!E884),IF(G876=".",".","Falta Propietario"))</f>
        <v>.</v>
      </c>
      <c r="J876" s="144" t="str">
        <f>IF(Formulario!F884&lt;&gt;"",IF(Formulario!F884=" "," ",Formulario!F884)," ")</f>
        <v xml:space="preserve"> </v>
      </c>
      <c r="K876" s="144" t="str">
        <f>IF(Formulario!G884&lt;&gt;"",IF(Formulario!G884=" "," ",Formulario!G884)," ")</f>
        <v xml:space="preserve"> </v>
      </c>
      <c r="L876" s="144" t="str">
        <f>IF(Formulario!H884&lt;&gt;"",IF(Formulario!H884=" "," ",Formulario!H884)," ")</f>
        <v xml:space="preserve"> </v>
      </c>
      <c r="M876" s="144" t="str">
        <f>IF(Formulario!I884&lt;&gt;"",IF(Formulario!I884=" "," ",Formulario!I884)," ")</f>
        <v xml:space="preserve"> </v>
      </c>
      <c r="N876" s="145" t="str">
        <f>IF(Formulario!J884&lt;&gt;"",IF(Formulario!J884=" "," ",Formulario!J884),IF(G876=".",".","Falta Fecha"))</f>
        <v>.</v>
      </c>
      <c r="O876" s="155">
        <f>Formulario!L884</f>
        <v>0</v>
      </c>
      <c r="P876" s="146">
        <f>IF(O876=1,"09:00",Formulario!M884)</f>
        <v>0</v>
      </c>
      <c r="Q876" s="146">
        <f>IF(O876=1,"18:30",Formulario!N884)</f>
        <v>0</v>
      </c>
      <c r="R876" s="146" t="str">
        <f>IF(Formulario!O884&lt;&gt;"",IF(Formulario!O884=" ",".",Formulario!O884),".")</f>
        <v>.</v>
      </c>
      <c r="S876" s="141" t="s">
        <v>131</v>
      </c>
    </row>
    <row r="877" spans="1:19">
      <c r="A877" s="141">
        <f>Formulario!B885</f>
        <v>0</v>
      </c>
      <c r="B877" s="144" t="str">
        <f>IF(G877="."," ",Formulario!D$5)</f>
        <v xml:space="preserve"> </v>
      </c>
      <c r="C877" s="144" t="str">
        <f>IF(G877=".","",Formulario!D$6)</f>
        <v/>
      </c>
      <c r="D877" s="144" t="str">
        <f>IF(H877=".","",Formulario!D$7)</f>
        <v/>
      </c>
      <c r="E877" s="144" t="str">
        <f>IF(G877=".","",Formulario!J$5)</f>
        <v/>
      </c>
      <c r="F877" s="145" t="str">
        <f>IF(G877=".","",Formulario!J$6)</f>
        <v/>
      </c>
      <c r="G877" s="180" t="str">
        <f>IF(Formulario!C885&lt;&gt;"",IF(Formulario!C885=" ","Falta Depto",IF(H877=".","Error En Descripción",Formulario!C885)),IF(H877=".",".","Falta Datos"))</f>
        <v>.</v>
      </c>
      <c r="H877" s="144" t="str">
        <f>IF(Formulario!D885&lt;&gt;"",IF(Formulario!D885=" ",".",Formulario!D885),".")</f>
        <v>.</v>
      </c>
      <c r="I877" s="144" t="str">
        <f>IF(Formulario!E885&lt;&gt;"",IF(Formulario!E885=" "," ",Formulario!E885),IF(G877=".",".","Falta Propietario"))</f>
        <v>.</v>
      </c>
      <c r="J877" s="144" t="str">
        <f>IF(Formulario!F885&lt;&gt;"",IF(Formulario!F885=" "," ",Formulario!F885)," ")</f>
        <v xml:space="preserve"> </v>
      </c>
      <c r="K877" s="144" t="str">
        <f>IF(Formulario!G885&lt;&gt;"",IF(Formulario!G885=" "," ",Formulario!G885)," ")</f>
        <v xml:space="preserve"> </v>
      </c>
      <c r="L877" s="144" t="str">
        <f>IF(Formulario!H885&lt;&gt;"",IF(Formulario!H885=" "," ",Formulario!H885)," ")</f>
        <v xml:space="preserve"> </v>
      </c>
      <c r="M877" s="144" t="str">
        <f>IF(Formulario!I885&lt;&gt;"",IF(Formulario!I885=" "," ",Formulario!I885)," ")</f>
        <v xml:space="preserve"> </v>
      </c>
      <c r="N877" s="145" t="str">
        <f>IF(Formulario!J885&lt;&gt;"",IF(Formulario!J885=" "," ",Formulario!J885),IF(G877=".",".","Falta Fecha"))</f>
        <v>.</v>
      </c>
      <c r="O877" s="155">
        <f>Formulario!L885</f>
        <v>0</v>
      </c>
      <c r="P877" s="146">
        <f>IF(O877=1,"09:00",Formulario!M885)</f>
        <v>0</v>
      </c>
      <c r="Q877" s="146">
        <f>IF(O877=1,"18:30",Formulario!N885)</f>
        <v>0</v>
      </c>
      <c r="R877" s="146" t="str">
        <f>IF(Formulario!O885&lt;&gt;"",IF(Formulario!O885=" ",".",Formulario!O885),".")</f>
        <v>.</v>
      </c>
      <c r="S877" s="141" t="s">
        <v>131</v>
      </c>
    </row>
    <row r="878" spans="1:19">
      <c r="A878" s="141">
        <f>Formulario!B886</f>
        <v>0</v>
      </c>
      <c r="B878" s="144" t="str">
        <f>IF(G878="."," ",Formulario!D$5)</f>
        <v xml:space="preserve"> </v>
      </c>
      <c r="C878" s="144" t="str">
        <f>IF(G878=".","",Formulario!D$6)</f>
        <v/>
      </c>
      <c r="D878" s="144" t="str">
        <f>IF(H878=".","",Formulario!D$7)</f>
        <v/>
      </c>
      <c r="E878" s="144" t="str">
        <f>IF(G878=".","",Formulario!J$5)</f>
        <v/>
      </c>
      <c r="F878" s="145" t="str">
        <f>IF(G878=".","",Formulario!J$6)</f>
        <v/>
      </c>
      <c r="G878" s="180" t="str">
        <f>IF(Formulario!C886&lt;&gt;"",IF(Formulario!C886=" ","Falta Depto",IF(H878=".","Error En Descripción",Formulario!C886)),IF(H878=".",".","Falta Datos"))</f>
        <v>.</v>
      </c>
      <c r="H878" s="144" t="str">
        <f>IF(Formulario!D886&lt;&gt;"",IF(Formulario!D886=" ",".",Formulario!D886),".")</f>
        <v>.</v>
      </c>
      <c r="I878" s="144" t="str">
        <f>IF(Formulario!E886&lt;&gt;"",IF(Formulario!E886=" "," ",Formulario!E886),IF(G878=".",".","Falta Propietario"))</f>
        <v>.</v>
      </c>
      <c r="J878" s="144" t="str">
        <f>IF(Formulario!F886&lt;&gt;"",IF(Formulario!F886=" "," ",Formulario!F886)," ")</f>
        <v xml:space="preserve"> </v>
      </c>
      <c r="K878" s="144" t="str">
        <f>IF(Formulario!G886&lt;&gt;"",IF(Formulario!G886=" "," ",Formulario!G886)," ")</f>
        <v xml:space="preserve"> </v>
      </c>
      <c r="L878" s="144" t="str">
        <f>IF(Formulario!H886&lt;&gt;"",IF(Formulario!H886=" "," ",Formulario!H886)," ")</f>
        <v xml:space="preserve"> </v>
      </c>
      <c r="M878" s="144" t="str">
        <f>IF(Formulario!I886&lt;&gt;"",IF(Formulario!I886=" "," ",Formulario!I886)," ")</f>
        <v xml:space="preserve"> </v>
      </c>
      <c r="N878" s="145" t="str">
        <f>IF(Formulario!J886&lt;&gt;"",IF(Formulario!J886=" "," ",Formulario!J886),IF(G878=".",".","Falta Fecha"))</f>
        <v>.</v>
      </c>
      <c r="O878" s="155">
        <f>Formulario!L886</f>
        <v>0</v>
      </c>
      <c r="P878" s="146">
        <f>IF(O878=1,"09:00",Formulario!M886)</f>
        <v>0</v>
      </c>
      <c r="Q878" s="146">
        <f>IF(O878=1,"18:30",Formulario!N886)</f>
        <v>0</v>
      </c>
      <c r="R878" s="146" t="str">
        <f>IF(Formulario!O886&lt;&gt;"",IF(Formulario!O886=" ",".",Formulario!O886),".")</f>
        <v>.</v>
      </c>
      <c r="S878" s="141" t="s">
        <v>131</v>
      </c>
    </row>
    <row r="879" spans="1:19">
      <c r="A879" s="141">
        <f>Formulario!B887</f>
        <v>0</v>
      </c>
      <c r="B879" s="144" t="str">
        <f>IF(G879="."," ",Formulario!D$5)</f>
        <v xml:space="preserve"> </v>
      </c>
      <c r="C879" s="144" t="str">
        <f>IF(G879=".","",Formulario!D$6)</f>
        <v/>
      </c>
      <c r="D879" s="144" t="str">
        <f>IF(H879=".","",Formulario!D$7)</f>
        <v/>
      </c>
      <c r="E879" s="144" t="str">
        <f>IF(G879=".","",Formulario!J$5)</f>
        <v/>
      </c>
      <c r="F879" s="145" t="str">
        <f>IF(G879=".","",Formulario!J$6)</f>
        <v/>
      </c>
      <c r="G879" s="180" t="str">
        <f>IF(Formulario!C887&lt;&gt;"",IF(Formulario!C887=" ","Falta Depto",IF(H879=".","Error En Descripción",Formulario!C887)),IF(H879=".",".","Falta Datos"))</f>
        <v>.</v>
      </c>
      <c r="H879" s="144" t="str">
        <f>IF(Formulario!D887&lt;&gt;"",IF(Formulario!D887=" ",".",Formulario!D887),".")</f>
        <v>.</v>
      </c>
      <c r="I879" s="144" t="str">
        <f>IF(Formulario!E887&lt;&gt;"",IF(Formulario!E887=" "," ",Formulario!E887),IF(G879=".",".","Falta Propietario"))</f>
        <v>.</v>
      </c>
      <c r="J879" s="144" t="str">
        <f>IF(Formulario!F887&lt;&gt;"",IF(Formulario!F887=" "," ",Formulario!F887)," ")</f>
        <v xml:space="preserve"> </v>
      </c>
      <c r="K879" s="144" t="str">
        <f>IF(Formulario!G887&lt;&gt;"",IF(Formulario!G887=" "," ",Formulario!G887)," ")</f>
        <v xml:space="preserve"> </v>
      </c>
      <c r="L879" s="144" t="str">
        <f>IF(Formulario!H887&lt;&gt;"",IF(Formulario!H887=" "," ",Formulario!H887)," ")</f>
        <v xml:space="preserve"> </v>
      </c>
      <c r="M879" s="144" t="str">
        <f>IF(Formulario!I887&lt;&gt;"",IF(Formulario!I887=" "," ",Formulario!I887)," ")</f>
        <v xml:space="preserve"> </v>
      </c>
      <c r="N879" s="145" t="str">
        <f>IF(Formulario!J887&lt;&gt;"",IF(Formulario!J887=" "," ",Formulario!J887),IF(G879=".",".","Falta Fecha"))</f>
        <v>.</v>
      </c>
      <c r="O879" s="155">
        <f>Formulario!L887</f>
        <v>0</v>
      </c>
      <c r="P879" s="146">
        <f>IF(O879=1,"09:00",Formulario!M887)</f>
        <v>0</v>
      </c>
      <c r="Q879" s="146">
        <f>IF(O879=1,"18:30",Formulario!N887)</f>
        <v>0</v>
      </c>
      <c r="R879" s="146" t="str">
        <f>IF(Formulario!O887&lt;&gt;"",IF(Formulario!O887=" ",".",Formulario!O887),".")</f>
        <v>.</v>
      </c>
      <c r="S879" s="141" t="s">
        <v>131</v>
      </c>
    </row>
    <row r="880" spans="1:19">
      <c r="A880" s="141">
        <f>Formulario!B888</f>
        <v>0</v>
      </c>
      <c r="B880" s="144" t="str">
        <f>IF(G880="."," ",Formulario!D$5)</f>
        <v xml:space="preserve"> </v>
      </c>
      <c r="C880" s="144" t="str">
        <f>IF(G880=".","",Formulario!D$6)</f>
        <v/>
      </c>
      <c r="D880" s="144" t="str">
        <f>IF(H880=".","",Formulario!D$7)</f>
        <v/>
      </c>
      <c r="E880" s="144" t="str">
        <f>IF(G880=".","",Formulario!J$5)</f>
        <v/>
      </c>
      <c r="F880" s="145" t="str">
        <f>IF(G880=".","",Formulario!J$6)</f>
        <v/>
      </c>
      <c r="G880" s="180" t="str">
        <f>IF(Formulario!C888&lt;&gt;"",IF(Formulario!C888=" ","Falta Depto",IF(H880=".","Error En Descripción",Formulario!C888)),IF(H880=".",".","Falta Datos"))</f>
        <v>.</v>
      </c>
      <c r="H880" s="144" t="str">
        <f>IF(Formulario!D888&lt;&gt;"",IF(Formulario!D888=" ",".",Formulario!D888),".")</f>
        <v>.</v>
      </c>
      <c r="I880" s="144" t="str">
        <f>IF(Formulario!E888&lt;&gt;"",IF(Formulario!E888=" "," ",Formulario!E888),IF(G880=".",".","Falta Propietario"))</f>
        <v>.</v>
      </c>
      <c r="J880" s="144" t="str">
        <f>IF(Formulario!F888&lt;&gt;"",IF(Formulario!F888=" "," ",Formulario!F888)," ")</f>
        <v xml:space="preserve"> </v>
      </c>
      <c r="K880" s="144" t="str">
        <f>IF(Formulario!G888&lt;&gt;"",IF(Formulario!G888=" "," ",Formulario!G888)," ")</f>
        <v xml:space="preserve"> </v>
      </c>
      <c r="L880" s="144" t="str">
        <f>IF(Formulario!H888&lt;&gt;"",IF(Formulario!H888=" "," ",Formulario!H888)," ")</f>
        <v xml:space="preserve"> </v>
      </c>
      <c r="M880" s="144" t="str">
        <f>IF(Formulario!I888&lt;&gt;"",IF(Formulario!I888=" "," ",Formulario!I888)," ")</f>
        <v xml:space="preserve"> </v>
      </c>
      <c r="N880" s="145" t="str">
        <f>IF(Formulario!J888&lt;&gt;"",IF(Formulario!J888=" "," ",Formulario!J888),IF(G880=".",".","Falta Fecha"))</f>
        <v>.</v>
      </c>
      <c r="O880" s="155">
        <f>Formulario!L888</f>
        <v>0</v>
      </c>
      <c r="P880" s="146">
        <f>IF(O880=1,"09:00",Formulario!M888)</f>
        <v>0</v>
      </c>
      <c r="Q880" s="146">
        <f>IF(O880=1,"18:30",Formulario!N888)</f>
        <v>0</v>
      </c>
      <c r="R880" s="146" t="str">
        <f>IF(Formulario!O888&lt;&gt;"",IF(Formulario!O888=" ",".",Formulario!O888),".")</f>
        <v>.</v>
      </c>
      <c r="S880" s="141" t="s">
        <v>131</v>
      </c>
    </row>
    <row r="881" spans="1:19">
      <c r="A881" s="141">
        <f>Formulario!B889</f>
        <v>0</v>
      </c>
      <c r="B881" s="144" t="str">
        <f>IF(G881="."," ",Formulario!D$5)</f>
        <v xml:space="preserve"> </v>
      </c>
      <c r="C881" s="144" t="str">
        <f>IF(G881=".","",Formulario!D$6)</f>
        <v/>
      </c>
      <c r="D881" s="144" t="str">
        <f>IF(H881=".","",Formulario!D$7)</f>
        <v/>
      </c>
      <c r="E881" s="144" t="str">
        <f>IF(G881=".","",Formulario!J$5)</f>
        <v/>
      </c>
      <c r="F881" s="145" t="str">
        <f>IF(G881=".","",Formulario!J$6)</f>
        <v/>
      </c>
      <c r="G881" s="180" t="str">
        <f>IF(Formulario!C889&lt;&gt;"",IF(Formulario!C889=" ","Falta Depto",IF(H881=".","Error En Descripción",Formulario!C889)),IF(H881=".",".","Falta Datos"))</f>
        <v>.</v>
      </c>
      <c r="H881" s="144" t="str">
        <f>IF(Formulario!D889&lt;&gt;"",IF(Formulario!D889=" ",".",Formulario!D889),".")</f>
        <v>.</v>
      </c>
      <c r="I881" s="144" t="str">
        <f>IF(Formulario!E889&lt;&gt;"",IF(Formulario!E889=" "," ",Formulario!E889),IF(G881=".",".","Falta Propietario"))</f>
        <v>.</v>
      </c>
      <c r="J881" s="144" t="str">
        <f>IF(Formulario!F889&lt;&gt;"",IF(Formulario!F889=" "," ",Formulario!F889)," ")</f>
        <v xml:space="preserve"> </v>
      </c>
      <c r="K881" s="144" t="str">
        <f>IF(Formulario!G889&lt;&gt;"",IF(Formulario!G889=" "," ",Formulario!G889)," ")</f>
        <v xml:space="preserve"> </v>
      </c>
      <c r="L881" s="144" t="str">
        <f>IF(Formulario!H889&lt;&gt;"",IF(Formulario!H889=" "," ",Formulario!H889)," ")</f>
        <v xml:space="preserve"> </v>
      </c>
      <c r="M881" s="144" t="str">
        <f>IF(Formulario!I889&lt;&gt;"",IF(Formulario!I889=" "," ",Formulario!I889)," ")</f>
        <v xml:space="preserve"> </v>
      </c>
      <c r="N881" s="145" t="str">
        <f>IF(Formulario!J889&lt;&gt;"",IF(Formulario!J889=" "," ",Formulario!J889),IF(G881=".",".","Falta Fecha"))</f>
        <v>.</v>
      </c>
      <c r="O881" s="155">
        <f>Formulario!L889</f>
        <v>0</v>
      </c>
      <c r="P881" s="146">
        <f>IF(O881=1,"09:00",Formulario!M889)</f>
        <v>0</v>
      </c>
      <c r="Q881" s="146">
        <f>IF(O881=1,"18:30",Formulario!N889)</f>
        <v>0</v>
      </c>
      <c r="R881" s="146" t="str">
        <f>IF(Formulario!O889&lt;&gt;"",IF(Formulario!O889=" ",".",Formulario!O889),".")</f>
        <v>.</v>
      </c>
      <c r="S881" s="141" t="s">
        <v>131</v>
      </c>
    </row>
    <row r="882" spans="1:19">
      <c r="A882" s="141">
        <f>Formulario!B890</f>
        <v>0</v>
      </c>
      <c r="B882" s="144" t="str">
        <f>IF(G882="."," ",Formulario!D$5)</f>
        <v xml:space="preserve"> </v>
      </c>
      <c r="C882" s="144" t="str">
        <f>IF(G882=".","",Formulario!D$6)</f>
        <v/>
      </c>
      <c r="D882" s="144" t="str">
        <f>IF(H882=".","",Formulario!D$7)</f>
        <v/>
      </c>
      <c r="E882" s="144" t="str">
        <f>IF(G882=".","",Formulario!J$5)</f>
        <v/>
      </c>
      <c r="F882" s="145" t="str">
        <f>IF(G882=".","",Formulario!J$6)</f>
        <v/>
      </c>
      <c r="G882" s="180" t="str">
        <f>IF(Formulario!C890&lt;&gt;"",IF(Formulario!C890=" ","Falta Depto",IF(H882=".","Error En Descripción",Formulario!C890)),IF(H882=".",".","Falta Datos"))</f>
        <v>.</v>
      </c>
      <c r="H882" s="144" t="str">
        <f>IF(Formulario!D890&lt;&gt;"",IF(Formulario!D890=" ",".",Formulario!D890),".")</f>
        <v>.</v>
      </c>
      <c r="I882" s="144" t="str">
        <f>IF(Formulario!E890&lt;&gt;"",IF(Formulario!E890=" "," ",Formulario!E890),IF(G882=".",".","Falta Propietario"))</f>
        <v>.</v>
      </c>
      <c r="J882" s="144" t="str">
        <f>IF(Formulario!F890&lt;&gt;"",IF(Formulario!F890=" "," ",Formulario!F890)," ")</f>
        <v xml:space="preserve"> </v>
      </c>
      <c r="K882" s="144" t="str">
        <f>IF(Formulario!G890&lt;&gt;"",IF(Formulario!G890=" "," ",Formulario!G890)," ")</f>
        <v xml:space="preserve"> </v>
      </c>
      <c r="L882" s="144" t="str">
        <f>IF(Formulario!H890&lt;&gt;"",IF(Formulario!H890=" "," ",Formulario!H890)," ")</f>
        <v xml:space="preserve"> </v>
      </c>
      <c r="M882" s="144" t="str">
        <f>IF(Formulario!I890&lt;&gt;"",IF(Formulario!I890=" "," ",Formulario!I890)," ")</f>
        <v xml:space="preserve"> </v>
      </c>
      <c r="N882" s="145" t="str">
        <f>IF(Formulario!J890&lt;&gt;"",IF(Formulario!J890=" "," ",Formulario!J890),IF(G882=".",".","Falta Fecha"))</f>
        <v>.</v>
      </c>
      <c r="O882" s="155">
        <f>Formulario!L890</f>
        <v>0</v>
      </c>
      <c r="P882" s="146">
        <f>IF(O882=1,"09:00",Formulario!M890)</f>
        <v>0</v>
      </c>
      <c r="Q882" s="146">
        <f>IF(O882=1,"18:30",Formulario!N890)</f>
        <v>0</v>
      </c>
      <c r="R882" s="146" t="str">
        <f>IF(Formulario!O890&lt;&gt;"",IF(Formulario!O890=" ",".",Formulario!O890),".")</f>
        <v>.</v>
      </c>
      <c r="S882" s="141" t="s">
        <v>131</v>
      </c>
    </row>
    <row r="883" spans="1:19">
      <c r="A883" s="141">
        <f>Formulario!B891</f>
        <v>0</v>
      </c>
      <c r="B883" s="144" t="str">
        <f>IF(G883="."," ",Formulario!D$5)</f>
        <v xml:space="preserve"> </v>
      </c>
      <c r="C883" s="144" t="str">
        <f>IF(G883=".","",Formulario!D$6)</f>
        <v/>
      </c>
      <c r="D883" s="144" t="str">
        <f>IF(H883=".","",Formulario!D$7)</f>
        <v/>
      </c>
      <c r="E883" s="144" t="str">
        <f>IF(G883=".","",Formulario!J$5)</f>
        <v/>
      </c>
      <c r="F883" s="145" t="str">
        <f>IF(G883=".","",Formulario!J$6)</f>
        <v/>
      </c>
      <c r="G883" s="180" t="str">
        <f>IF(Formulario!C891&lt;&gt;"",IF(Formulario!C891=" ","Falta Depto",IF(H883=".","Error En Descripción",Formulario!C891)),IF(H883=".",".","Falta Datos"))</f>
        <v>.</v>
      </c>
      <c r="H883" s="144" t="str">
        <f>IF(Formulario!D891&lt;&gt;"",IF(Formulario!D891=" ",".",Formulario!D891),".")</f>
        <v>.</v>
      </c>
      <c r="I883" s="144" t="str">
        <f>IF(Formulario!E891&lt;&gt;"",IF(Formulario!E891=" "," ",Formulario!E891),IF(G883=".",".","Falta Propietario"))</f>
        <v>.</v>
      </c>
      <c r="J883" s="144" t="str">
        <f>IF(Formulario!F891&lt;&gt;"",IF(Formulario!F891=" "," ",Formulario!F891)," ")</f>
        <v xml:space="preserve"> </v>
      </c>
      <c r="K883" s="144" t="str">
        <f>IF(Formulario!G891&lt;&gt;"",IF(Formulario!G891=" "," ",Formulario!G891)," ")</f>
        <v xml:space="preserve"> </v>
      </c>
      <c r="L883" s="144" t="str">
        <f>IF(Formulario!H891&lt;&gt;"",IF(Formulario!H891=" "," ",Formulario!H891)," ")</f>
        <v xml:space="preserve"> </v>
      </c>
      <c r="M883" s="144" t="str">
        <f>IF(Formulario!I891&lt;&gt;"",IF(Formulario!I891=" "," ",Formulario!I891)," ")</f>
        <v xml:space="preserve"> </v>
      </c>
      <c r="N883" s="145" t="str">
        <f>IF(Formulario!J891&lt;&gt;"",IF(Formulario!J891=" "," ",Formulario!J891),IF(G883=".",".","Falta Fecha"))</f>
        <v>.</v>
      </c>
      <c r="O883" s="155">
        <f>Formulario!L891</f>
        <v>0</v>
      </c>
      <c r="P883" s="146">
        <f>IF(O883=1,"09:00",Formulario!M891)</f>
        <v>0</v>
      </c>
      <c r="Q883" s="146">
        <f>IF(O883=1,"18:30",Formulario!N891)</f>
        <v>0</v>
      </c>
      <c r="R883" s="146" t="str">
        <f>IF(Formulario!O891&lt;&gt;"",IF(Formulario!O891=" ",".",Formulario!O891),".")</f>
        <v>.</v>
      </c>
      <c r="S883" s="141" t="s">
        <v>131</v>
      </c>
    </row>
    <row r="884" spans="1:19">
      <c r="A884" s="141">
        <f>Formulario!B892</f>
        <v>0</v>
      </c>
      <c r="B884" s="144" t="str">
        <f>IF(G884="."," ",Formulario!D$5)</f>
        <v xml:space="preserve"> </v>
      </c>
      <c r="C884" s="144" t="str">
        <f>IF(G884=".","",Formulario!D$6)</f>
        <v/>
      </c>
      <c r="D884" s="144" t="str">
        <f>IF(H884=".","",Formulario!D$7)</f>
        <v/>
      </c>
      <c r="E884" s="144" t="str">
        <f>IF(G884=".","",Formulario!J$5)</f>
        <v/>
      </c>
      <c r="F884" s="145" t="str">
        <f>IF(G884=".","",Formulario!J$6)</f>
        <v/>
      </c>
      <c r="G884" s="180" t="str">
        <f>IF(Formulario!C892&lt;&gt;"",IF(Formulario!C892=" ","Falta Depto",IF(H884=".","Error En Descripción",Formulario!C892)),IF(H884=".",".","Falta Datos"))</f>
        <v>.</v>
      </c>
      <c r="H884" s="144" t="str">
        <f>IF(Formulario!D892&lt;&gt;"",IF(Formulario!D892=" ",".",Formulario!D892),".")</f>
        <v>.</v>
      </c>
      <c r="I884" s="144" t="str">
        <f>IF(Formulario!E892&lt;&gt;"",IF(Formulario!E892=" "," ",Formulario!E892),IF(G884=".",".","Falta Propietario"))</f>
        <v>.</v>
      </c>
      <c r="J884" s="144" t="str">
        <f>IF(Formulario!F892&lt;&gt;"",IF(Formulario!F892=" "," ",Formulario!F892)," ")</f>
        <v xml:space="preserve"> </v>
      </c>
      <c r="K884" s="144" t="str">
        <f>IF(Formulario!G892&lt;&gt;"",IF(Formulario!G892=" "," ",Formulario!G892)," ")</f>
        <v xml:space="preserve"> </v>
      </c>
      <c r="L884" s="144" t="str">
        <f>IF(Formulario!H892&lt;&gt;"",IF(Formulario!H892=" "," ",Formulario!H892)," ")</f>
        <v xml:space="preserve"> </v>
      </c>
      <c r="M884" s="144" t="str">
        <f>IF(Formulario!I892&lt;&gt;"",IF(Formulario!I892=" "," ",Formulario!I892)," ")</f>
        <v xml:space="preserve"> </v>
      </c>
      <c r="N884" s="145" t="str">
        <f>IF(Formulario!J892&lt;&gt;"",IF(Formulario!J892=" "," ",Formulario!J892),IF(G884=".",".","Falta Fecha"))</f>
        <v>.</v>
      </c>
      <c r="O884" s="155">
        <f>Formulario!L892</f>
        <v>0</v>
      </c>
      <c r="P884" s="146">
        <f>IF(O884=1,"09:00",Formulario!M892)</f>
        <v>0</v>
      </c>
      <c r="Q884" s="146">
        <f>IF(O884=1,"18:30",Formulario!N892)</f>
        <v>0</v>
      </c>
      <c r="R884" s="146" t="str">
        <f>IF(Formulario!O892&lt;&gt;"",IF(Formulario!O892=" ",".",Formulario!O892),".")</f>
        <v>.</v>
      </c>
      <c r="S884" s="141" t="s">
        <v>131</v>
      </c>
    </row>
    <row r="885" spans="1:19">
      <c r="A885" s="141">
        <f>Formulario!B893</f>
        <v>0</v>
      </c>
      <c r="B885" s="144" t="str">
        <f>IF(G885="."," ",Formulario!D$5)</f>
        <v xml:space="preserve"> </v>
      </c>
      <c r="C885" s="144" t="str">
        <f>IF(G885=".","",Formulario!D$6)</f>
        <v/>
      </c>
      <c r="D885" s="144" t="str">
        <f>IF(H885=".","",Formulario!D$7)</f>
        <v/>
      </c>
      <c r="E885" s="144" t="str">
        <f>IF(G885=".","",Formulario!J$5)</f>
        <v/>
      </c>
      <c r="F885" s="145" t="str">
        <f>IF(G885=".","",Formulario!J$6)</f>
        <v/>
      </c>
      <c r="G885" s="180" t="str">
        <f>IF(Formulario!C893&lt;&gt;"",IF(Formulario!C893=" ","Falta Depto",IF(H885=".","Error En Descripción",Formulario!C893)),IF(H885=".",".","Falta Datos"))</f>
        <v>.</v>
      </c>
      <c r="H885" s="144" t="str">
        <f>IF(Formulario!D893&lt;&gt;"",IF(Formulario!D893=" ",".",Formulario!D893),".")</f>
        <v>.</v>
      </c>
      <c r="I885" s="144" t="str">
        <f>IF(Formulario!E893&lt;&gt;"",IF(Formulario!E893=" "," ",Formulario!E893),IF(G885=".",".","Falta Propietario"))</f>
        <v>.</v>
      </c>
      <c r="J885" s="144" t="str">
        <f>IF(Formulario!F893&lt;&gt;"",IF(Formulario!F893=" "," ",Formulario!F893)," ")</f>
        <v xml:space="preserve"> </v>
      </c>
      <c r="K885" s="144" t="str">
        <f>IF(Formulario!G893&lt;&gt;"",IF(Formulario!G893=" "," ",Formulario!G893)," ")</f>
        <v xml:space="preserve"> </v>
      </c>
      <c r="L885" s="144" t="str">
        <f>IF(Formulario!H893&lt;&gt;"",IF(Formulario!H893=" "," ",Formulario!H893)," ")</f>
        <v xml:space="preserve"> </v>
      </c>
      <c r="M885" s="144" t="str">
        <f>IF(Formulario!I893&lt;&gt;"",IF(Formulario!I893=" "," ",Formulario!I893)," ")</f>
        <v xml:space="preserve"> </v>
      </c>
      <c r="N885" s="145" t="str">
        <f>IF(Formulario!J893&lt;&gt;"",IF(Formulario!J893=" "," ",Formulario!J893),IF(G885=".",".","Falta Fecha"))</f>
        <v>.</v>
      </c>
      <c r="O885" s="155">
        <f>Formulario!L893</f>
        <v>0</v>
      </c>
      <c r="P885" s="146">
        <f>IF(O885=1,"09:00",Formulario!M893)</f>
        <v>0</v>
      </c>
      <c r="Q885" s="146">
        <f>IF(O885=1,"18:30",Formulario!N893)</f>
        <v>0</v>
      </c>
      <c r="R885" s="146" t="str">
        <f>IF(Formulario!O893&lt;&gt;"",IF(Formulario!O893=" ",".",Formulario!O893),".")</f>
        <v>.</v>
      </c>
      <c r="S885" s="141" t="s">
        <v>131</v>
      </c>
    </row>
    <row r="886" spans="1:19">
      <c r="A886" s="141">
        <f>Formulario!B894</f>
        <v>0</v>
      </c>
      <c r="B886" s="144" t="str">
        <f>IF(G886="."," ",Formulario!D$5)</f>
        <v xml:space="preserve"> </v>
      </c>
      <c r="C886" s="144" t="str">
        <f>IF(G886=".","",Formulario!D$6)</f>
        <v/>
      </c>
      <c r="D886" s="144" t="str">
        <f>IF(H886=".","",Formulario!D$7)</f>
        <v/>
      </c>
      <c r="E886" s="144" t="str">
        <f>IF(G886=".","",Formulario!J$5)</f>
        <v/>
      </c>
      <c r="F886" s="145" t="str">
        <f>IF(G886=".","",Formulario!J$6)</f>
        <v/>
      </c>
      <c r="G886" s="180" t="str">
        <f>IF(Formulario!C894&lt;&gt;"",IF(Formulario!C894=" ","Falta Depto",IF(H886=".","Error En Descripción",Formulario!C894)),IF(H886=".",".","Falta Datos"))</f>
        <v>.</v>
      </c>
      <c r="H886" s="144" t="str">
        <f>IF(Formulario!D894&lt;&gt;"",IF(Formulario!D894=" ",".",Formulario!D894),".")</f>
        <v>.</v>
      </c>
      <c r="I886" s="144" t="str">
        <f>IF(Formulario!E894&lt;&gt;"",IF(Formulario!E894=" "," ",Formulario!E894),IF(G886=".",".","Falta Propietario"))</f>
        <v>.</v>
      </c>
      <c r="J886" s="144" t="str">
        <f>IF(Formulario!F894&lt;&gt;"",IF(Formulario!F894=" "," ",Formulario!F894)," ")</f>
        <v xml:space="preserve"> </v>
      </c>
      <c r="K886" s="144" t="str">
        <f>IF(Formulario!G894&lt;&gt;"",IF(Formulario!G894=" "," ",Formulario!G894)," ")</f>
        <v xml:space="preserve"> </v>
      </c>
      <c r="L886" s="144" t="str">
        <f>IF(Formulario!H894&lt;&gt;"",IF(Formulario!H894=" "," ",Formulario!H894)," ")</f>
        <v xml:space="preserve"> </v>
      </c>
      <c r="M886" s="144" t="str">
        <f>IF(Formulario!I894&lt;&gt;"",IF(Formulario!I894=" "," ",Formulario!I894)," ")</f>
        <v xml:space="preserve"> </v>
      </c>
      <c r="N886" s="145" t="str">
        <f>IF(Formulario!J894&lt;&gt;"",IF(Formulario!J894=" "," ",Formulario!J894),IF(G886=".",".","Falta Fecha"))</f>
        <v>.</v>
      </c>
      <c r="O886" s="155">
        <f>Formulario!L894</f>
        <v>0</v>
      </c>
      <c r="P886" s="146">
        <f>IF(O886=1,"09:00",Formulario!M894)</f>
        <v>0</v>
      </c>
      <c r="Q886" s="146">
        <f>IF(O886=1,"18:30",Formulario!N894)</f>
        <v>0</v>
      </c>
      <c r="R886" s="146" t="str">
        <f>IF(Formulario!O894&lt;&gt;"",IF(Formulario!O894=" ",".",Formulario!O894),".")</f>
        <v>.</v>
      </c>
      <c r="S886" s="141" t="s">
        <v>131</v>
      </c>
    </row>
    <row r="887" spans="1:19">
      <c r="A887" s="141">
        <f>Formulario!B895</f>
        <v>0</v>
      </c>
      <c r="B887" s="144" t="str">
        <f>IF(G887="."," ",Formulario!D$5)</f>
        <v xml:space="preserve"> </v>
      </c>
      <c r="C887" s="144" t="str">
        <f>IF(G887=".","",Formulario!D$6)</f>
        <v/>
      </c>
      <c r="D887" s="144" t="str">
        <f>IF(H887=".","",Formulario!D$7)</f>
        <v/>
      </c>
      <c r="E887" s="144" t="str">
        <f>IF(G887=".","",Formulario!J$5)</f>
        <v/>
      </c>
      <c r="F887" s="145" t="str">
        <f>IF(G887=".","",Formulario!J$6)</f>
        <v/>
      </c>
      <c r="G887" s="180" t="str">
        <f>IF(Formulario!C895&lt;&gt;"",IF(Formulario!C895=" ","Falta Depto",IF(H887=".","Error En Descripción",Formulario!C895)),IF(H887=".",".","Falta Datos"))</f>
        <v>.</v>
      </c>
      <c r="H887" s="144" t="str">
        <f>IF(Formulario!D895&lt;&gt;"",IF(Formulario!D895=" ",".",Formulario!D895),".")</f>
        <v>.</v>
      </c>
      <c r="I887" s="144" t="str">
        <f>IF(Formulario!E895&lt;&gt;"",IF(Formulario!E895=" "," ",Formulario!E895),IF(G887=".",".","Falta Propietario"))</f>
        <v>.</v>
      </c>
      <c r="J887" s="144" t="str">
        <f>IF(Formulario!F895&lt;&gt;"",IF(Formulario!F895=" "," ",Formulario!F895)," ")</f>
        <v xml:space="preserve"> </v>
      </c>
      <c r="K887" s="144" t="str">
        <f>IF(Formulario!G895&lt;&gt;"",IF(Formulario!G895=" "," ",Formulario!G895)," ")</f>
        <v xml:space="preserve"> </v>
      </c>
      <c r="L887" s="144" t="str">
        <f>IF(Formulario!H895&lt;&gt;"",IF(Formulario!H895=" "," ",Formulario!H895)," ")</f>
        <v xml:space="preserve"> </v>
      </c>
      <c r="M887" s="144" t="str">
        <f>IF(Formulario!I895&lt;&gt;"",IF(Formulario!I895=" "," ",Formulario!I895)," ")</f>
        <v xml:space="preserve"> </v>
      </c>
      <c r="N887" s="145" t="str">
        <f>IF(Formulario!J895&lt;&gt;"",IF(Formulario!J895=" "," ",Formulario!J895),IF(G887=".",".","Falta Fecha"))</f>
        <v>.</v>
      </c>
      <c r="O887" s="155">
        <f>Formulario!L895</f>
        <v>0</v>
      </c>
      <c r="P887" s="146">
        <f>IF(O887=1,"09:00",Formulario!M895)</f>
        <v>0</v>
      </c>
      <c r="Q887" s="146">
        <f>IF(O887=1,"18:30",Formulario!N895)</f>
        <v>0</v>
      </c>
      <c r="R887" s="146" t="str">
        <f>IF(Formulario!O895&lt;&gt;"",IF(Formulario!O895=" ",".",Formulario!O895),".")</f>
        <v>.</v>
      </c>
      <c r="S887" s="141" t="s">
        <v>131</v>
      </c>
    </row>
    <row r="888" spans="1:19">
      <c r="A888" s="141">
        <f>Formulario!B896</f>
        <v>0</v>
      </c>
      <c r="B888" s="144" t="str">
        <f>IF(G888="."," ",Formulario!D$5)</f>
        <v xml:space="preserve"> </v>
      </c>
      <c r="C888" s="144" t="str">
        <f>IF(G888=".","",Formulario!D$6)</f>
        <v/>
      </c>
      <c r="D888" s="144" t="str">
        <f>IF(H888=".","",Formulario!D$7)</f>
        <v/>
      </c>
      <c r="E888" s="144" t="str">
        <f>IF(G888=".","",Formulario!J$5)</f>
        <v/>
      </c>
      <c r="F888" s="145" t="str">
        <f>IF(G888=".","",Formulario!J$6)</f>
        <v/>
      </c>
      <c r="G888" s="180" t="str">
        <f>IF(Formulario!C896&lt;&gt;"",IF(Formulario!C896=" ","Falta Depto",IF(H888=".","Error En Descripción",Formulario!C896)),IF(H888=".",".","Falta Datos"))</f>
        <v>.</v>
      </c>
      <c r="H888" s="144" t="str">
        <f>IF(Formulario!D896&lt;&gt;"",IF(Formulario!D896=" ",".",Formulario!D896),".")</f>
        <v>.</v>
      </c>
      <c r="I888" s="144" t="str">
        <f>IF(Formulario!E896&lt;&gt;"",IF(Formulario!E896=" "," ",Formulario!E896),IF(G888=".",".","Falta Propietario"))</f>
        <v>.</v>
      </c>
      <c r="J888" s="144" t="str">
        <f>IF(Formulario!F896&lt;&gt;"",IF(Formulario!F896=" "," ",Formulario!F896)," ")</f>
        <v xml:space="preserve"> </v>
      </c>
      <c r="K888" s="144" t="str">
        <f>IF(Formulario!G896&lt;&gt;"",IF(Formulario!G896=" "," ",Formulario!G896)," ")</f>
        <v xml:space="preserve"> </v>
      </c>
      <c r="L888" s="144" t="str">
        <f>IF(Formulario!H896&lt;&gt;"",IF(Formulario!H896=" "," ",Formulario!H896)," ")</f>
        <v xml:space="preserve"> </v>
      </c>
      <c r="M888" s="144" t="str">
        <f>IF(Formulario!I896&lt;&gt;"",IF(Formulario!I896=" "," ",Formulario!I896)," ")</f>
        <v xml:space="preserve"> </v>
      </c>
      <c r="N888" s="145" t="str">
        <f>IF(Formulario!J896&lt;&gt;"",IF(Formulario!J896=" "," ",Formulario!J896),IF(G888=".",".","Falta Fecha"))</f>
        <v>.</v>
      </c>
      <c r="O888" s="155">
        <f>Formulario!L896</f>
        <v>0</v>
      </c>
      <c r="P888" s="146">
        <f>IF(O888=1,"09:00",Formulario!M896)</f>
        <v>0</v>
      </c>
      <c r="Q888" s="146">
        <f>IF(O888=1,"18:30",Formulario!N896)</f>
        <v>0</v>
      </c>
      <c r="R888" s="146" t="str">
        <f>IF(Formulario!O896&lt;&gt;"",IF(Formulario!O896=" ",".",Formulario!O896),".")</f>
        <v>.</v>
      </c>
      <c r="S888" s="141" t="s">
        <v>131</v>
      </c>
    </row>
    <row r="889" spans="1:19">
      <c r="A889" s="141">
        <f>Formulario!B897</f>
        <v>0</v>
      </c>
      <c r="B889" s="144" t="str">
        <f>IF(G889="."," ",Formulario!D$5)</f>
        <v xml:space="preserve"> </v>
      </c>
      <c r="C889" s="144" t="str">
        <f>IF(G889=".","",Formulario!D$6)</f>
        <v/>
      </c>
      <c r="D889" s="144" t="str">
        <f>IF(H889=".","",Formulario!D$7)</f>
        <v/>
      </c>
      <c r="E889" s="144" t="str">
        <f>IF(G889=".","",Formulario!J$5)</f>
        <v/>
      </c>
      <c r="F889" s="145" t="str">
        <f>IF(G889=".","",Formulario!J$6)</f>
        <v/>
      </c>
      <c r="G889" s="180" t="str">
        <f>IF(Formulario!C897&lt;&gt;"",IF(Formulario!C897=" ","Falta Depto",IF(H889=".","Error En Descripción",Formulario!C897)),IF(H889=".",".","Falta Datos"))</f>
        <v>.</v>
      </c>
      <c r="H889" s="144" t="str">
        <f>IF(Formulario!D897&lt;&gt;"",IF(Formulario!D897=" ",".",Formulario!D897),".")</f>
        <v>.</v>
      </c>
      <c r="I889" s="144" t="str">
        <f>IF(Formulario!E897&lt;&gt;"",IF(Formulario!E897=" "," ",Formulario!E897),IF(G889=".",".","Falta Propietario"))</f>
        <v>.</v>
      </c>
      <c r="J889" s="144" t="str">
        <f>IF(Formulario!F897&lt;&gt;"",IF(Formulario!F897=" "," ",Formulario!F897)," ")</f>
        <v xml:space="preserve"> </v>
      </c>
      <c r="K889" s="144" t="str">
        <f>IF(Formulario!G897&lt;&gt;"",IF(Formulario!G897=" "," ",Formulario!G897)," ")</f>
        <v xml:space="preserve"> </v>
      </c>
      <c r="L889" s="144" t="str">
        <f>IF(Formulario!H897&lt;&gt;"",IF(Formulario!H897=" "," ",Formulario!H897)," ")</f>
        <v xml:space="preserve"> </v>
      </c>
      <c r="M889" s="144" t="str">
        <f>IF(Formulario!I897&lt;&gt;"",IF(Formulario!I897=" "," ",Formulario!I897)," ")</f>
        <v xml:space="preserve"> </v>
      </c>
      <c r="N889" s="145" t="str">
        <f>IF(Formulario!J897&lt;&gt;"",IF(Formulario!J897=" "," ",Formulario!J897),IF(G889=".",".","Falta Fecha"))</f>
        <v>.</v>
      </c>
      <c r="O889" s="155">
        <f>Formulario!L897</f>
        <v>0</v>
      </c>
      <c r="P889" s="146">
        <f>IF(O889=1,"09:00",Formulario!M897)</f>
        <v>0</v>
      </c>
      <c r="Q889" s="146">
        <f>IF(O889=1,"18:30",Formulario!N897)</f>
        <v>0</v>
      </c>
      <c r="R889" s="146" t="str">
        <f>IF(Formulario!O897&lt;&gt;"",IF(Formulario!O897=" ",".",Formulario!O897),".")</f>
        <v>.</v>
      </c>
      <c r="S889" s="141" t="s">
        <v>131</v>
      </c>
    </row>
    <row r="890" spans="1:19">
      <c r="A890" s="141">
        <f>Formulario!B898</f>
        <v>0</v>
      </c>
      <c r="B890" s="144" t="str">
        <f>IF(G890="."," ",Formulario!D$5)</f>
        <v xml:space="preserve"> </v>
      </c>
      <c r="C890" s="144" t="str">
        <f>IF(G890=".","",Formulario!D$6)</f>
        <v/>
      </c>
      <c r="D890" s="144" t="str">
        <f>IF(H890=".","",Formulario!D$7)</f>
        <v/>
      </c>
      <c r="E890" s="144" t="str">
        <f>IF(G890=".","",Formulario!J$5)</f>
        <v/>
      </c>
      <c r="F890" s="145" t="str">
        <f>IF(G890=".","",Formulario!J$6)</f>
        <v/>
      </c>
      <c r="G890" s="180" t="str">
        <f>IF(Formulario!C898&lt;&gt;"",IF(Formulario!C898=" ","Falta Depto",IF(H890=".","Error En Descripción",Formulario!C898)),IF(H890=".",".","Falta Datos"))</f>
        <v>.</v>
      </c>
      <c r="H890" s="144" t="str">
        <f>IF(Formulario!D898&lt;&gt;"",IF(Formulario!D898=" ",".",Formulario!D898),".")</f>
        <v>.</v>
      </c>
      <c r="I890" s="144" t="str">
        <f>IF(Formulario!E898&lt;&gt;"",IF(Formulario!E898=" "," ",Formulario!E898),IF(G890=".",".","Falta Propietario"))</f>
        <v>.</v>
      </c>
      <c r="J890" s="144" t="str">
        <f>IF(Formulario!F898&lt;&gt;"",IF(Formulario!F898=" "," ",Formulario!F898)," ")</f>
        <v xml:space="preserve"> </v>
      </c>
      <c r="K890" s="144" t="str">
        <f>IF(Formulario!G898&lt;&gt;"",IF(Formulario!G898=" "," ",Formulario!G898)," ")</f>
        <v xml:space="preserve"> </v>
      </c>
      <c r="L890" s="144" t="str">
        <f>IF(Formulario!H898&lt;&gt;"",IF(Formulario!H898=" "," ",Formulario!H898)," ")</f>
        <v xml:space="preserve"> </v>
      </c>
      <c r="M890" s="144" t="str">
        <f>IF(Formulario!I898&lt;&gt;"",IF(Formulario!I898=" "," ",Formulario!I898)," ")</f>
        <v xml:space="preserve"> </v>
      </c>
      <c r="N890" s="145" t="str">
        <f>IF(Formulario!J898&lt;&gt;"",IF(Formulario!J898=" "," ",Formulario!J898),IF(G890=".",".","Falta Fecha"))</f>
        <v>.</v>
      </c>
      <c r="O890" s="155">
        <f>Formulario!L898</f>
        <v>0</v>
      </c>
      <c r="P890" s="146">
        <f>IF(O890=1,"09:00",Formulario!M898)</f>
        <v>0</v>
      </c>
      <c r="Q890" s="146">
        <f>IF(O890=1,"18:30",Formulario!N898)</f>
        <v>0</v>
      </c>
      <c r="R890" s="146" t="str">
        <f>IF(Formulario!O898&lt;&gt;"",IF(Formulario!O898=" ",".",Formulario!O898),".")</f>
        <v>.</v>
      </c>
      <c r="S890" s="141" t="s">
        <v>131</v>
      </c>
    </row>
    <row r="891" spans="1:19">
      <c r="A891" s="141">
        <f>Formulario!B899</f>
        <v>0</v>
      </c>
      <c r="B891" s="144" t="str">
        <f>IF(G891="."," ",Formulario!D$5)</f>
        <v xml:space="preserve"> </v>
      </c>
      <c r="C891" s="144" t="str">
        <f>IF(G891=".","",Formulario!D$6)</f>
        <v/>
      </c>
      <c r="D891" s="144" t="str">
        <f>IF(H891=".","",Formulario!D$7)</f>
        <v/>
      </c>
      <c r="E891" s="144" t="str">
        <f>IF(G891=".","",Formulario!J$5)</f>
        <v/>
      </c>
      <c r="F891" s="145" t="str">
        <f>IF(G891=".","",Formulario!J$6)</f>
        <v/>
      </c>
      <c r="G891" s="180" t="str">
        <f>IF(Formulario!C899&lt;&gt;"",IF(Formulario!C899=" ","Falta Depto",IF(H891=".","Error En Descripción",Formulario!C899)),IF(H891=".",".","Falta Datos"))</f>
        <v>.</v>
      </c>
      <c r="H891" s="144" t="str">
        <f>IF(Formulario!D899&lt;&gt;"",IF(Formulario!D899=" ",".",Formulario!D899),".")</f>
        <v>.</v>
      </c>
      <c r="I891" s="144" t="str">
        <f>IF(Formulario!E899&lt;&gt;"",IF(Formulario!E899=" "," ",Formulario!E899),IF(G891=".",".","Falta Propietario"))</f>
        <v>.</v>
      </c>
      <c r="J891" s="144" t="str">
        <f>IF(Formulario!F899&lt;&gt;"",IF(Formulario!F899=" "," ",Formulario!F899)," ")</f>
        <v xml:space="preserve"> </v>
      </c>
      <c r="K891" s="144" t="str">
        <f>IF(Formulario!G899&lt;&gt;"",IF(Formulario!G899=" "," ",Formulario!G899)," ")</f>
        <v xml:space="preserve"> </v>
      </c>
      <c r="L891" s="144" t="str">
        <f>IF(Formulario!H899&lt;&gt;"",IF(Formulario!H899=" "," ",Formulario!H899)," ")</f>
        <v xml:space="preserve"> </v>
      </c>
      <c r="M891" s="144" t="str">
        <f>IF(Formulario!I899&lt;&gt;"",IF(Formulario!I899=" "," ",Formulario!I899)," ")</f>
        <v xml:space="preserve"> </v>
      </c>
      <c r="N891" s="145" t="str">
        <f>IF(Formulario!J899&lt;&gt;"",IF(Formulario!J899=" "," ",Formulario!J899),IF(G891=".",".","Falta Fecha"))</f>
        <v>.</v>
      </c>
      <c r="O891" s="155">
        <f>Formulario!L899</f>
        <v>0</v>
      </c>
      <c r="P891" s="146">
        <f>IF(O891=1,"09:00",Formulario!M899)</f>
        <v>0</v>
      </c>
      <c r="Q891" s="146">
        <f>IF(O891=1,"18:30",Formulario!N899)</f>
        <v>0</v>
      </c>
      <c r="R891" s="146" t="str">
        <f>IF(Formulario!O899&lt;&gt;"",IF(Formulario!O899=" ",".",Formulario!O899),".")</f>
        <v>.</v>
      </c>
      <c r="S891" s="141" t="s">
        <v>131</v>
      </c>
    </row>
    <row r="892" spans="1:19">
      <c r="A892" s="141">
        <f>Formulario!B900</f>
        <v>0</v>
      </c>
      <c r="B892" s="144" t="str">
        <f>IF(G892="."," ",Formulario!D$5)</f>
        <v xml:space="preserve"> </v>
      </c>
      <c r="C892" s="144" t="str">
        <f>IF(G892=".","",Formulario!D$6)</f>
        <v/>
      </c>
      <c r="D892" s="144" t="str">
        <f>IF(H892=".","",Formulario!D$7)</f>
        <v/>
      </c>
      <c r="E892" s="144" t="str">
        <f>IF(G892=".","",Formulario!J$5)</f>
        <v/>
      </c>
      <c r="F892" s="145" t="str">
        <f>IF(G892=".","",Formulario!J$6)</f>
        <v/>
      </c>
      <c r="G892" s="180" t="str">
        <f>IF(Formulario!C900&lt;&gt;"",IF(Formulario!C900=" ","Falta Depto",IF(H892=".","Error En Descripción",Formulario!C900)),IF(H892=".",".","Falta Datos"))</f>
        <v>.</v>
      </c>
      <c r="H892" s="144" t="str">
        <f>IF(Formulario!D900&lt;&gt;"",IF(Formulario!D900=" ",".",Formulario!D900),".")</f>
        <v>.</v>
      </c>
      <c r="I892" s="144" t="str">
        <f>IF(Formulario!E900&lt;&gt;"",IF(Formulario!E900=" "," ",Formulario!E900),IF(G892=".",".","Falta Propietario"))</f>
        <v>.</v>
      </c>
      <c r="J892" s="144" t="str">
        <f>IF(Formulario!F900&lt;&gt;"",IF(Formulario!F900=" "," ",Formulario!F900)," ")</f>
        <v xml:space="preserve"> </v>
      </c>
      <c r="K892" s="144" t="str">
        <f>IF(Formulario!G900&lt;&gt;"",IF(Formulario!G900=" "," ",Formulario!G900)," ")</f>
        <v xml:space="preserve"> </v>
      </c>
      <c r="L892" s="144" t="str">
        <f>IF(Formulario!H900&lt;&gt;"",IF(Formulario!H900=" "," ",Formulario!H900)," ")</f>
        <v xml:space="preserve"> </v>
      </c>
      <c r="M892" s="144" t="str">
        <f>IF(Formulario!I900&lt;&gt;"",IF(Formulario!I900=" "," ",Formulario!I900)," ")</f>
        <v xml:space="preserve"> </v>
      </c>
      <c r="N892" s="145" t="str">
        <f>IF(Formulario!J900&lt;&gt;"",IF(Formulario!J900=" "," ",Formulario!J900),IF(G892=".",".","Falta Fecha"))</f>
        <v>.</v>
      </c>
      <c r="O892" s="155">
        <f>Formulario!L900</f>
        <v>0</v>
      </c>
      <c r="P892" s="146">
        <f>IF(O892=1,"09:00",Formulario!M900)</f>
        <v>0</v>
      </c>
      <c r="Q892" s="146">
        <f>IF(O892=1,"18:30",Formulario!N900)</f>
        <v>0</v>
      </c>
      <c r="R892" s="146" t="str">
        <f>IF(Formulario!O900&lt;&gt;"",IF(Formulario!O900=" ",".",Formulario!O900),".")</f>
        <v>.</v>
      </c>
      <c r="S892" s="141" t="s">
        <v>131</v>
      </c>
    </row>
    <row r="893" spans="1:19">
      <c r="A893" s="141">
        <f>Formulario!B901</f>
        <v>0</v>
      </c>
      <c r="B893" s="144" t="str">
        <f>IF(G893="."," ",Formulario!D$5)</f>
        <v xml:space="preserve"> </v>
      </c>
      <c r="C893" s="144" t="str">
        <f>IF(G893=".","",Formulario!D$6)</f>
        <v/>
      </c>
      <c r="D893" s="144" t="str">
        <f>IF(H893=".","",Formulario!D$7)</f>
        <v/>
      </c>
      <c r="E893" s="144" t="str">
        <f>IF(G893=".","",Formulario!J$5)</f>
        <v/>
      </c>
      <c r="F893" s="145" t="str">
        <f>IF(G893=".","",Formulario!J$6)</f>
        <v/>
      </c>
      <c r="G893" s="180" t="str">
        <f>IF(Formulario!C901&lt;&gt;"",IF(Formulario!C901=" ","Falta Depto",IF(H893=".","Error En Descripción",Formulario!C901)),IF(H893=".",".","Falta Datos"))</f>
        <v>.</v>
      </c>
      <c r="H893" s="144" t="str">
        <f>IF(Formulario!D901&lt;&gt;"",IF(Formulario!D901=" ",".",Formulario!D901),".")</f>
        <v>.</v>
      </c>
      <c r="I893" s="144" t="str">
        <f>IF(Formulario!E901&lt;&gt;"",IF(Formulario!E901=" "," ",Formulario!E901),IF(G893=".",".","Falta Propietario"))</f>
        <v>.</v>
      </c>
      <c r="J893" s="144" t="str">
        <f>IF(Formulario!F901&lt;&gt;"",IF(Formulario!F901=" "," ",Formulario!F901)," ")</f>
        <v xml:space="preserve"> </v>
      </c>
      <c r="K893" s="144" t="str">
        <f>IF(Formulario!G901&lt;&gt;"",IF(Formulario!G901=" "," ",Formulario!G901)," ")</f>
        <v xml:space="preserve"> </v>
      </c>
      <c r="L893" s="144" t="str">
        <f>IF(Formulario!H901&lt;&gt;"",IF(Formulario!H901=" "," ",Formulario!H901)," ")</f>
        <v xml:space="preserve"> </v>
      </c>
      <c r="M893" s="144" t="str">
        <f>IF(Formulario!I901&lt;&gt;"",IF(Formulario!I901=" "," ",Formulario!I901)," ")</f>
        <v xml:space="preserve"> </v>
      </c>
      <c r="N893" s="145" t="str">
        <f>IF(Formulario!J901&lt;&gt;"",IF(Formulario!J901=" "," ",Formulario!J901),IF(G893=".",".","Falta Fecha"))</f>
        <v>.</v>
      </c>
      <c r="O893" s="155">
        <f>Formulario!L901</f>
        <v>0</v>
      </c>
      <c r="P893" s="146">
        <f>IF(O893=1,"09:00",Formulario!M901)</f>
        <v>0</v>
      </c>
      <c r="Q893" s="146">
        <f>IF(O893=1,"18:30",Formulario!N901)</f>
        <v>0</v>
      </c>
      <c r="R893" s="146" t="str">
        <f>IF(Formulario!O901&lt;&gt;"",IF(Formulario!O901=" ",".",Formulario!O901),".")</f>
        <v>.</v>
      </c>
      <c r="S893" s="141" t="s">
        <v>131</v>
      </c>
    </row>
    <row r="894" spans="1:19">
      <c r="A894" s="141">
        <f>Formulario!B902</f>
        <v>0</v>
      </c>
      <c r="B894" s="144" t="str">
        <f>IF(G894="."," ",Formulario!D$5)</f>
        <v xml:space="preserve"> </v>
      </c>
      <c r="C894" s="144" t="str">
        <f>IF(G894=".","",Formulario!D$6)</f>
        <v/>
      </c>
      <c r="D894" s="144" t="str">
        <f>IF(H894=".","",Formulario!D$7)</f>
        <v/>
      </c>
      <c r="E894" s="144" t="str">
        <f>IF(G894=".","",Formulario!J$5)</f>
        <v/>
      </c>
      <c r="F894" s="145" t="str">
        <f>IF(G894=".","",Formulario!J$6)</f>
        <v/>
      </c>
      <c r="G894" s="180" t="str">
        <f>IF(Formulario!C902&lt;&gt;"",IF(Formulario!C902=" ","Falta Depto",IF(H894=".","Error En Descripción",Formulario!C902)),IF(H894=".",".","Falta Datos"))</f>
        <v>.</v>
      </c>
      <c r="H894" s="144" t="str">
        <f>IF(Formulario!D902&lt;&gt;"",IF(Formulario!D902=" ",".",Formulario!D902),".")</f>
        <v>.</v>
      </c>
      <c r="I894" s="144" t="str">
        <f>IF(Formulario!E902&lt;&gt;"",IF(Formulario!E902=" "," ",Formulario!E902),IF(G894=".",".","Falta Propietario"))</f>
        <v>.</v>
      </c>
      <c r="J894" s="144" t="str">
        <f>IF(Formulario!F902&lt;&gt;"",IF(Formulario!F902=" "," ",Formulario!F902)," ")</f>
        <v xml:space="preserve"> </v>
      </c>
      <c r="K894" s="144" t="str">
        <f>IF(Formulario!G902&lt;&gt;"",IF(Formulario!G902=" "," ",Formulario!G902)," ")</f>
        <v xml:space="preserve"> </v>
      </c>
      <c r="L894" s="144" t="str">
        <f>IF(Formulario!H902&lt;&gt;"",IF(Formulario!H902=" "," ",Formulario!H902)," ")</f>
        <v xml:space="preserve"> </v>
      </c>
      <c r="M894" s="144" t="str">
        <f>IF(Formulario!I902&lt;&gt;"",IF(Formulario!I902=" "," ",Formulario!I902)," ")</f>
        <v xml:space="preserve"> </v>
      </c>
      <c r="N894" s="145" t="str">
        <f>IF(Formulario!J902&lt;&gt;"",IF(Formulario!J902=" "," ",Formulario!J902),IF(G894=".",".","Falta Fecha"))</f>
        <v>.</v>
      </c>
      <c r="O894" s="155">
        <f>Formulario!L902</f>
        <v>0</v>
      </c>
      <c r="P894" s="146">
        <f>IF(O894=1,"09:00",Formulario!M902)</f>
        <v>0</v>
      </c>
      <c r="Q894" s="146">
        <f>IF(O894=1,"18:30",Formulario!N902)</f>
        <v>0</v>
      </c>
      <c r="R894" s="146" t="str">
        <f>IF(Formulario!O902&lt;&gt;"",IF(Formulario!O902=" ",".",Formulario!O902),".")</f>
        <v>.</v>
      </c>
      <c r="S894" s="141" t="s">
        <v>131</v>
      </c>
    </row>
    <row r="895" spans="1:19">
      <c r="A895" s="141">
        <f>Formulario!B903</f>
        <v>0</v>
      </c>
      <c r="B895" s="144" t="str">
        <f>IF(G895="."," ",Formulario!D$5)</f>
        <v xml:space="preserve"> </v>
      </c>
      <c r="C895" s="144" t="str">
        <f>IF(G895=".","",Formulario!D$6)</f>
        <v/>
      </c>
      <c r="D895" s="144" t="str">
        <f>IF(H895=".","",Formulario!D$7)</f>
        <v/>
      </c>
      <c r="E895" s="144" t="str">
        <f>IF(G895=".","",Formulario!J$5)</f>
        <v/>
      </c>
      <c r="F895" s="145" t="str">
        <f>IF(G895=".","",Formulario!J$6)</f>
        <v/>
      </c>
      <c r="G895" s="180" t="str">
        <f>IF(Formulario!C903&lt;&gt;"",IF(Formulario!C903=" ","Falta Depto",IF(H895=".","Error En Descripción",Formulario!C903)),IF(H895=".",".","Falta Datos"))</f>
        <v>.</v>
      </c>
      <c r="H895" s="144" t="str">
        <f>IF(Formulario!D903&lt;&gt;"",IF(Formulario!D903=" ",".",Formulario!D903),".")</f>
        <v>.</v>
      </c>
      <c r="I895" s="144" t="str">
        <f>IF(Formulario!E903&lt;&gt;"",IF(Formulario!E903=" "," ",Formulario!E903),IF(G895=".",".","Falta Propietario"))</f>
        <v>.</v>
      </c>
      <c r="J895" s="144" t="str">
        <f>IF(Formulario!F903&lt;&gt;"",IF(Formulario!F903=" "," ",Formulario!F903)," ")</f>
        <v xml:space="preserve"> </v>
      </c>
      <c r="K895" s="144" t="str">
        <f>IF(Formulario!G903&lt;&gt;"",IF(Formulario!G903=" "," ",Formulario!G903)," ")</f>
        <v xml:space="preserve"> </v>
      </c>
      <c r="L895" s="144" t="str">
        <f>IF(Formulario!H903&lt;&gt;"",IF(Formulario!H903=" "," ",Formulario!H903)," ")</f>
        <v xml:space="preserve"> </v>
      </c>
      <c r="M895" s="144" t="str">
        <f>IF(Formulario!I903&lt;&gt;"",IF(Formulario!I903=" "," ",Formulario!I903)," ")</f>
        <v xml:space="preserve"> </v>
      </c>
      <c r="N895" s="145" t="str">
        <f>IF(Formulario!J903&lt;&gt;"",IF(Formulario!J903=" "," ",Formulario!J903),IF(G895=".",".","Falta Fecha"))</f>
        <v>.</v>
      </c>
      <c r="O895" s="155">
        <f>Formulario!L903</f>
        <v>0</v>
      </c>
      <c r="P895" s="146">
        <f>IF(O895=1,"09:00",Formulario!M903)</f>
        <v>0</v>
      </c>
      <c r="Q895" s="146">
        <f>IF(O895=1,"18:30",Formulario!N903)</f>
        <v>0</v>
      </c>
      <c r="R895" s="146" t="str">
        <f>IF(Formulario!O903&lt;&gt;"",IF(Formulario!O903=" ",".",Formulario!O903),".")</f>
        <v>.</v>
      </c>
      <c r="S895" s="141" t="s">
        <v>131</v>
      </c>
    </row>
    <row r="896" spans="1:19">
      <c r="A896" s="141">
        <f>Formulario!B904</f>
        <v>0</v>
      </c>
      <c r="B896" s="144" t="str">
        <f>IF(G896="."," ",Formulario!D$5)</f>
        <v xml:space="preserve"> </v>
      </c>
      <c r="C896" s="144" t="str">
        <f>IF(G896=".","",Formulario!D$6)</f>
        <v/>
      </c>
      <c r="D896" s="144" t="str">
        <f>IF(H896=".","",Formulario!D$7)</f>
        <v/>
      </c>
      <c r="E896" s="144" t="str">
        <f>IF(G896=".","",Formulario!J$5)</f>
        <v/>
      </c>
      <c r="F896" s="145" t="str">
        <f>IF(G896=".","",Formulario!J$6)</f>
        <v/>
      </c>
      <c r="G896" s="180" t="str">
        <f>IF(Formulario!C904&lt;&gt;"",IF(Formulario!C904=" ","Falta Depto",IF(H896=".","Error En Descripción",Formulario!C904)),IF(H896=".",".","Falta Datos"))</f>
        <v>.</v>
      </c>
      <c r="H896" s="144" t="str">
        <f>IF(Formulario!D904&lt;&gt;"",IF(Formulario!D904=" ",".",Formulario!D904),".")</f>
        <v>.</v>
      </c>
      <c r="I896" s="144" t="str">
        <f>IF(Formulario!E904&lt;&gt;"",IF(Formulario!E904=" "," ",Formulario!E904),IF(G896=".",".","Falta Propietario"))</f>
        <v>.</v>
      </c>
      <c r="J896" s="144" t="str">
        <f>IF(Formulario!F904&lt;&gt;"",IF(Formulario!F904=" "," ",Formulario!F904)," ")</f>
        <v xml:space="preserve"> </v>
      </c>
      <c r="K896" s="144" t="str">
        <f>IF(Formulario!G904&lt;&gt;"",IF(Formulario!G904=" "," ",Formulario!G904)," ")</f>
        <v xml:space="preserve"> </v>
      </c>
      <c r="L896" s="144" t="str">
        <f>IF(Formulario!H904&lt;&gt;"",IF(Formulario!H904=" "," ",Formulario!H904)," ")</f>
        <v xml:space="preserve"> </v>
      </c>
      <c r="M896" s="144" t="str">
        <f>IF(Formulario!I904&lt;&gt;"",IF(Formulario!I904=" "," ",Formulario!I904)," ")</f>
        <v xml:space="preserve"> </v>
      </c>
      <c r="N896" s="145" t="str">
        <f>IF(Formulario!J904&lt;&gt;"",IF(Formulario!J904=" "," ",Formulario!J904),IF(G896=".",".","Falta Fecha"))</f>
        <v>.</v>
      </c>
      <c r="O896" s="155">
        <f>Formulario!L904</f>
        <v>0</v>
      </c>
      <c r="P896" s="146">
        <f>IF(O896=1,"09:00",Formulario!M904)</f>
        <v>0</v>
      </c>
      <c r="Q896" s="146">
        <f>IF(O896=1,"18:30",Formulario!N904)</f>
        <v>0</v>
      </c>
      <c r="R896" s="146" t="str">
        <f>IF(Formulario!O904&lt;&gt;"",IF(Formulario!O904=" ",".",Formulario!O904),".")</f>
        <v>.</v>
      </c>
      <c r="S896" s="141" t="s">
        <v>131</v>
      </c>
    </row>
    <row r="897" spans="1:19">
      <c r="A897" s="141">
        <f>Formulario!B905</f>
        <v>0</v>
      </c>
      <c r="B897" s="144" t="str">
        <f>IF(G897="."," ",Formulario!D$5)</f>
        <v xml:space="preserve"> </v>
      </c>
      <c r="C897" s="144" t="str">
        <f>IF(G897=".","",Formulario!D$6)</f>
        <v/>
      </c>
      <c r="D897" s="144" t="str">
        <f>IF(H897=".","",Formulario!D$7)</f>
        <v/>
      </c>
      <c r="E897" s="144" t="str">
        <f>IF(G897=".","",Formulario!J$5)</f>
        <v/>
      </c>
      <c r="F897" s="145" t="str">
        <f>IF(G897=".","",Formulario!J$6)</f>
        <v/>
      </c>
      <c r="G897" s="180" t="str">
        <f>IF(Formulario!C905&lt;&gt;"",IF(Formulario!C905=" ","Falta Depto",IF(H897=".","Error En Descripción",Formulario!C905)),IF(H897=".",".","Falta Datos"))</f>
        <v>.</v>
      </c>
      <c r="H897" s="144" t="str">
        <f>IF(Formulario!D905&lt;&gt;"",IF(Formulario!D905=" ",".",Formulario!D905),".")</f>
        <v>.</v>
      </c>
      <c r="I897" s="144" t="str">
        <f>IF(Formulario!E905&lt;&gt;"",IF(Formulario!E905=" "," ",Formulario!E905),IF(G897=".",".","Falta Propietario"))</f>
        <v>.</v>
      </c>
      <c r="J897" s="144" t="str">
        <f>IF(Formulario!F905&lt;&gt;"",IF(Formulario!F905=" "," ",Formulario!F905)," ")</f>
        <v xml:space="preserve"> </v>
      </c>
      <c r="K897" s="144" t="str">
        <f>IF(Formulario!G905&lt;&gt;"",IF(Formulario!G905=" "," ",Formulario!G905)," ")</f>
        <v xml:space="preserve"> </v>
      </c>
      <c r="L897" s="144" t="str">
        <f>IF(Formulario!H905&lt;&gt;"",IF(Formulario!H905=" "," ",Formulario!H905)," ")</f>
        <v xml:space="preserve"> </v>
      </c>
      <c r="M897" s="144" t="str">
        <f>IF(Formulario!I905&lt;&gt;"",IF(Formulario!I905=" "," ",Formulario!I905)," ")</f>
        <v xml:space="preserve"> </v>
      </c>
      <c r="N897" s="145" t="str">
        <f>IF(Formulario!J905&lt;&gt;"",IF(Formulario!J905=" "," ",Formulario!J905),IF(G897=".",".","Falta Fecha"))</f>
        <v>.</v>
      </c>
      <c r="O897" s="155">
        <f>Formulario!L905</f>
        <v>0</v>
      </c>
      <c r="P897" s="146">
        <f>IF(O897=1,"09:00",Formulario!M905)</f>
        <v>0</v>
      </c>
      <c r="Q897" s="146">
        <f>IF(O897=1,"18:30",Formulario!N905)</f>
        <v>0</v>
      </c>
      <c r="R897" s="146" t="str">
        <f>IF(Formulario!O905&lt;&gt;"",IF(Formulario!O905=" ",".",Formulario!O905),".")</f>
        <v>.</v>
      </c>
      <c r="S897" s="141" t="s">
        <v>131</v>
      </c>
    </row>
    <row r="898" spans="1:19">
      <c r="A898" s="141">
        <f>Formulario!B906</f>
        <v>0</v>
      </c>
      <c r="B898" s="144" t="str">
        <f>IF(G898="."," ",Formulario!D$5)</f>
        <v xml:space="preserve"> </v>
      </c>
      <c r="C898" s="144" t="str">
        <f>IF(G898=".","",Formulario!D$6)</f>
        <v/>
      </c>
      <c r="D898" s="144" t="str">
        <f>IF(H898=".","",Formulario!D$7)</f>
        <v/>
      </c>
      <c r="E898" s="144" t="str">
        <f>IF(G898=".","",Formulario!J$5)</f>
        <v/>
      </c>
      <c r="F898" s="145" t="str">
        <f>IF(G898=".","",Formulario!J$6)</f>
        <v/>
      </c>
      <c r="G898" s="180" t="str">
        <f>IF(Formulario!C906&lt;&gt;"",IF(Formulario!C906=" ","Falta Depto",IF(H898=".","Error En Descripción",Formulario!C906)),IF(H898=".",".","Falta Datos"))</f>
        <v>.</v>
      </c>
      <c r="H898" s="144" t="str">
        <f>IF(Formulario!D906&lt;&gt;"",IF(Formulario!D906=" ",".",Formulario!D906),".")</f>
        <v>.</v>
      </c>
      <c r="I898" s="144" t="str">
        <f>IF(Formulario!E906&lt;&gt;"",IF(Formulario!E906=" "," ",Formulario!E906),IF(G898=".",".","Falta Propietario"))</f>
        <v>.</v>
      </c>
      <c r="J898" s="144" t="str">
        <f>IF(Formulario!F906&lt;&gt;"",IF(Formulario!F906=" "," ",Formulario!F906)," ")</f>
        <v xml:space="preserve"> </v>
      </c>
      <c r="K898" s="144" t="str">
        <f>IF(Formulario!G906&lt;&gt;"",IF(Formulario!G906=" "," ",Formulario!G906)," ")</f>
        <v xml:space="preserve"> </v>
      </c>
      <c r="L898" s="144" t="str">
        <f>IF(Formulario!H906&lt;&gt;"",IF(Formulario!H906=" "," ",Formulario!H906)," ")</f>
        <v xml:space="preserve"> </v>
      </c>
      <c r="M898" s="144" t="str">
        <f>IF(Formulario!I906&lt;&gt;"",IF(Formulario!I906=" "," ",Formulario!I906)," ")</f>
        <v xml:space="preserve"> </v>
      </c>
      <c r="N898" s="145" t="str">
        <f>IF(Formulario!J906&lt;&gt;"",IF(Formulario!J906=" "," ",Formulario!J906),IF(G898=".",".","Falta Fecha"))</f>
        <v>.</v>
      </c>
      <c r="O898" s="155">
        <f>Formulario!L906</f>
        <v>0</v>
      </c>
      <c r="P898" s="146">
        <f>IF(O898=1,"09:00",Formulario!M906)</f>
        <v>0</v>
      </c>
      <c r="Q898" s="146">
        <f>IF(O898=1,"18:30",Formulario!N906)</f>
        <v>0</v>
      </c>
      <c r="R898" s="146" t="str">
        <f>IF(Formulario!O906&lt;&gt;"",IF(Formulario!O906=" ",".",Formulario!O906),".")</f>
        <v>.</v>
      </c>
      <c r="S898" s="141" t="s">
        <v>131</v>
      </c>
    </row>
    <row r="899" spans="1:19">
      <c r="A899" s="141">
        <f>Formulario!B907</f>
        <v>0</v>
      </c>
      <c r="B899" s="144" t="str">
        <f>IF(G899="."," ",Formulario!D$5)</f>
        <v xml:space="preserve"> </v>
      </c>
      <c r="C899" s="144" t="str">
        <f>IF(G899=".","",Formulario!D$6)</f>
        <v/>
      </c>
      <c r="D899" s="144" t="str">
        <f>IF(H899=".","",Formulario!D$7)</f>
        <v/>
      </c>
      <c r="E899" s="144" t="str">
        <f>IF(G899=".","",Formulario!J$5)</f>
        <v/>
      </c>
      <c r="F899" s="145" t="str">
        <f>IF(G899=".","",Formulario!J$6)</f>
        <v/>
      </c>
      <c r="G899" s="180" t="str">
        <f>IF(Formulario!C907&lt;&gt;"",IF(Formulario!C907=" ","Falta Depto",IF(H899=".","Error En Descripción",Formulario!C907)),IF(H899=".",".","Falta Datos"))</f>
        <v>.</v>
      </c>
      <c r="H899" s="144" t="str">
        <f>IF(Formulario!D907&lt;&gt;"",IF(Formulario!D907=" ",".",Formulario!D907),".")</f>
        <v>.</v>
      </c>
      <c r="I899" s="144" t="str">
        <f>IF(Formulario!E907&lt;&gt;"",IF(Formulario!E907=" "," ",Formulario!E907),IF(G899=".",".","Falta Propietario"))</f>
        <v>.</v>
      </c>
      <c r="J899" s="144" t="str">
        <f>IF(Formulario!F907&lt;&gt;"",IF(Formulario!F907=" "," ",Formulario!F907)," ")</f>
        <v xml:space="preserve"> </v>
      </c>
      <c r="K899" s="144" t="str">
        <f>IF(Formulario!G907&lt;&gt;"",IF(Formulario!G907=" "," ",Formulario!G907)," ")</f>
        <v xml:space="preserve"> </v>
      </c>
      <c r="L899" s="144" t="str">
        <f>IF(Formulario!H907&lt;&gt;"",IF(Formulario!H907=" "," ",Formulario!H907)," ")</f>
        <v xml:space="preserve"> </v>
      </c>
      <c r="M899" s="144" t="str">
        <f>IF(Formulario!I907&lt;&gt;"",IF(Formulario!I907=" "," ",Formulario!I907)," ")</f>
        <v xml:space="preserve"> </v>
      </c>
      <c r="N899" s="145" t="str">
        <f>IF(Formulario!J907&lt;&gt;"",IF(Formulario!J907=" "," ",Formulario!J907),IF(G899=".",".","Falta Fecha"))</f>
        <v>.</v>
      </c>
      <c r="O899" s="155">
        <f>Formulario!L907</f>
        <v>0</v>
      </c>
      <c r="P899" s="146">
        <f>IF(O899=1,"09:00",Formulario!M907)</f>
        <v>0</v>
      </c>
      <c r="Q899" s="146">
        <f>IF(O899=1,"18:30",Formulario!N907)</f>
        <v>0</v>
      </c>
      <c r="R899" s="146" t="str">
        <f>IF(Formulario!O907&lt;&gt;"",IF(Formulario!O907=" ",".",Formulario!O907),".")</f>
        <v>.</v>
      </c>
      <c r="S899" s="141" t="s">
        <v>131</v>
      </c>
    </row>
    <row r="900" spans="1:19">
      <c r="A900" s="141">
        <f>Formulario!B908</f>
        <v>0</v>
      </c>
      <c r="B900" s="144" t="str">
        <f>IF(G900="."," ",Formulario!D$5)</f>
        <v xml:space="preserve"> </v>
      </c>
      <c r="C900" s="144" t="str">
        <f>IF(G900=".","",Formulario!D$6)</f>
        <v/>
      </c>
      <c r="D900" s="144" t="str">
        <f>IF(H900=".","",Formulario!D$7)</f>
        <v/>
      </c>
      <c r="E900" s="144" t="str">
        <f>IF(G900=".","",Formulario!J$5)</f>
        <v/>
      </c>
      <c r="F900" s="145" t="str">
        <f>IF(G900=".","",Formulario!J$6)</f>
        <v/>
      </c>
      <c r="G900" s="180" t="str">
        <f>IF(Formulario!C908&lt;&gt;"",IF(Formulario!C908=" ","Falta Depto",IF(H900=".","Error En Descripción",Formulario!C908)),IF(H900=".",".","Falta Datos"))</f>
        <v>.</v>
      </c>
      <c r="H900" s="144" t="str">
        <f>IF(Formulario!D908&lt;&gt;"",IF(Formulario!D908=" ",".",Formulario!D908),".")</f>
        <v>.</v>
      </c>
      <c r="I900" s="144" t="str">
        <f>IF(Formulario!E908&lt;&gt;"",IF(Formulario!E908=" "," ",Formulario!E908),IF(G900=".",".","Falta Propietario"))</f>
        <v>.</v>
      </c>
      <c r="J900" s="144" t="str">
        <f>IF(Formulario!F908&lt;&gt;"",IF(Formulario!F908=" "," ",Formulario!F908)," ")</f>
        <v xml:space="preserve"> </v>
      </c>
      <c r="K900" s="144" t="str">
        <f>IF(Formulario!G908&lt;&gt;"",IF(Formulario!G908=" "," ",Formulario!G908)," ")</f>
        <v xml:space="preserve"> </v>
      </c>
      <c r="L900" s="144" t="str">
        <f>IF(Formulario!H908&lt;&gt;"",IF(Formulario!H908=" "," ",Formulario!H908)," ")</f>
        <v xml:space="preserve"> </v>
      </c>
      <c r="M900" s="144" t="str">
        <f>IF(Formulario!I908&lt;&gt;"",IF(Formulario!I908=" "," ",Formulario!I908)," ")</f>
        <v xml:space="preserve"> </v>
      </c>
      <c r="N900" s="145" t="str">
        <f>IF(Formulario!J908&lt;&gt;"",IF(Formulario!J908=" "," ",Formulario!J908),IF(G900=".",".","Falta Fecha"))</f>
        <v>.</v>
      </c>
      <c r="O900" s="155">
        <f>Formulario!L908</f>
        <v>0</v>
      </c>
      <c r="P900" s="146">
        <f>IF(O900=1,"09:00",Formulario!M908)</f>
        <v>0</v>
      </c>
      <c r="Q900" s="146">
        <f>IF(O900=1,"18:30",Formulario!N908)</f>
        <v>0</v>
      </c>
      <c r="R900" s="146" t="str">
        <f>IF(Formulario!O908&lt;&gt;"",IF(Formulario!O908=" ",".",Formulario!O908),".")</f>
        <v>.</v>
      </c>
      <c r="S900" s="141" t="s">
        <v>131</v>
      </c>
    </row>
    <row r="901" spans="1:19">
      <c r="A901" s="141">
        <f>Formulario!B909</f>
        <v>0</v>
      </c>
      <c r="B901" s="144" t="str">
        <f>IF(G901="."," ",Formulario!D$5)</f>
        <v xml:space="preserve"> </v>
      </c>
      <c r="C901" s="144" t="str">
        <f>IF(G901=".","",Formulario!D$6)</f>
        <v/>
      </c>
      <c r="D901" s="144" t="str">
        <f>IF(H901=".","",Formulario!D$7)</f>
        <v/>
      </c>
      <c r="E901" s="144" t="str">
        <f>IF(G901=".","",Formulario!J$5)</f>
        <v/>
      </c>
      <c r="F901" s="145" t="str">
        <f>IF(G901=".","",Formulario!J$6)</f>
        <v/>
      </c>
      <c r="G901" s="180" t="str">
        <f>IF(Formulario!C909&lt;&gt;"",IF(Formulario!C909=" ","Falta Depto",IF(H901=".","Error En Descripción",Formulario!C909)),IF(H901=".",".","Falta Datos"))</f>
        <v>.</v>
      </c>
      <c r="H901" s="144" t="str">
        <f>IF(Formulario!D909&lt;&gt;"",IF(Formulario!D909=" ",".",Formulario!D909),".")</f>
        <v>.</v>
      </c>
      <c r="I901" s="144" t="str">
        <f>IF(Formulario!E909&lt;&gt;"",IF(Formulario!E909=" "," ",Formulario!E909),IF(G901=".",".","Falta Propietario"))</f>
        <v>.</v>
      </c>
      <c r="J901" s="144" t="str">
        <f>IF(Formulario!F909&lt;&gt;"",IF(Formulario!F909=" "," ",Formulario!F909)," ")</f>
        <v xml:space="preserve"> </v>
      </c>
      <c r="K901" s="144" t="str">
        <f>IF(Formulario!G909&lt;&gt;"",IF(Formulario!G909=" "," ",Formulario!G909)," ")</f>
        <v xml:space="preserve"> </v>
      </c>
      <c r="L901" s="144" t="str">
        <f>IF(Formulario!H909&lt;&gt;"",IF(Formulario!H909=" "," ",Formulario!H909)," ")</f>
        <v xml:space="preserve"> </v>
      </c>
      <c r="M901" s="144" t="str">
        <f>IF(Formulario!I909&lt;&gt;"",IF(Formulario!I909=" "," ",Formulario!I909)," ")</f>
        <v xml:space="preserve"> </v>
      </c>
      <c r="N901" s="145" t="str">
        <f>IF(Formulario!J909&lt;&gt;"",IF(Formulario!J909=" "," ",Formulario!J909),IF(G901=".",".","Falta Fecha"))</f>
        <v>.</v>
      </c>
      <c r="O901" s="155">
        <f>Formulario!L909</f>
        <v>0</v>
      </c>
      <c r="P901" s="146">
        <f>IF(O901=1,"09:00",Formulario!M909)</f>
        <v>0</v>
      </c>
      <c r="Q901" s="146">
        <f>IF(O901=1,"18:30",Formulario!N909)</f>
        <v>0</v>
      </c>
      <c r="R901" s="146" t="str">
        <f>IF(Formulario!O909&lt;&gt;"",IF(Formulario!O909=" ",".",Formulario!O909),".")</f>
        <v>.</v>
      </c>
      <c r="S901" s="141" t="s">
        <v>131</v>
      </c>
    </row>
    <row r="902" spans="1:19">
      <c r="A902" s="141">
        <f>Formulario!B910</f>
        <v>0</v>
      </c>
      <c r="B902" s="144" t="str">
        <f>IF(G902="."," ",Formulario!D$5)</f>
        <v xml:space="preserve"> </v>
      </c>
      <c r="C902" s="144" t="str">
        <f>IF(G902=".","",Formulario!D$6)</f>
        <v/>
      </c>
      <c r="D902" s="144" t="str">
        <f>IF(H902=".","",Formulario!D$7)</f>
        <v/>
      </c>
      <c r="E902" s="144" t="str">
        <f>IF(G902=".","",Formulario!J$5)</f>
        <v/>
      </c>
      <c r="F902" s="145" t="str">
        <f>IF(G902=".","",Formulario!J$6)</f>
        <v/>
      </c>
      <c r="G902" s="180" t="str">
        <f>IF(Formulario!C910&lt;&gt;"",IF(Formulario!C910=" ","Falta Depto",IF(H902=".","Error En Descripción",Formulario!C910)),IF(H902=".",".","Falta Datos"))</f>
        <v>.</v>
      </c>
      <c r="H902" s="144" t="str">
        <f>IF(Formulario!D910&lt;&gt;"",IF(Formulario!D910=" ",".",Formulario!D910),".")</f>
        <v>.</v>
      </c>
      <c r="I902" s="144" t="str">
        <f>IF(Formulario!E910&lt;&gt;"",IF(Formulario!E910=" "," ",Formulario!E910),IF(G902=".",".","Falta Propietario"))</f>
        <v>.</v>
      </c>
      <c r="J902" s="144" t="str">
        <f>IF(Formulario!F910&lt;&gt;"",IF(Formulario!F910=" "," ",Formulario!F910)," ")</f>
        <v xml:space="preserve"> </v>
      </c>
      <c r="K902" s="144" t="str">
        <f>IF(Formulario!G910&lt;&gt;"",IF(Formulario!G910=" "," ",Formulario!G910)," ")</f>
        <v xml:space="preserve"> </v>
      </c>
      <c r="L902" s="144" t="str">
        <f>IF(Formulario!H910&lt;&gt;"",IF(Formulario!H910=" "," ",Formulario!H910)," ")</f>
        <v xml:space="preserve"> </v>
      </c>
      <c r="M902" s="144" t="str">
        <f>IF(Formulario!I910&lt;&gt;"",IF(Formulario!I910=" "," ",Formulario!I910)," ")</f>
        <v xml:space="preserve"> </v>
      </c>
      <c r="N902" s="145" t="str">
        <f>IF(Formulario!J910&lt;&gt;"",IF(Formulario!J910=" "," ",Formulario!J910),IF(G902=".",".","Falta Fecha"))</f>
        <v>.</v>
      </c>
      <c r="O902" s="155">
        <f>Formulario!L910</f>
        <v>0</v>
      </c>
      <c r="P902" s="146">
        <f>IF(O902=1,"09:00",Formulario!M910)</f>
        <v>0</v>
      </c>
      <c r="Q902" s="146">
        <f>IF(O902=1,"18:30",Formulario!N910)</f>
        <v>0</v>
      </c>
      <c r="R902" s="146" t="str">
        <f>IF(Formulario!O910&lt;&gt;"",IF(Formulario!O910=" ",".",Formulario!O910),".")</f>
        <v>.</v>
      </c>
      <c r="S902" s="141" t="s">
        <v>131</v>
      </c>
    </row>
    <row r="903" spans="1:19">
      <c r="A903" s="141">
        <f>Formulario!B911</f>
        <v>0</v>
      </c>
      <c r="B903" s="144" t="str">
        <f>IF(G903="."," ",Formulario!D$5)</f>
        <v xml:space="preserve"> </v>
      </c>
      <c r="C903" s="144" t="str">
        <f>IF(G903=".","",Formulario!D$6)</f>
        <v/>
      </c>
      <c r="D903" s="144" t="str">
        <f>IF(H903=".","",Formulario!D$7)</f>
        <v/>
      </c>
      <c r="E903" s="144" t="str">
        <f>IF(G903=".","",Formulario!J$5)</f>
        <v/>
      </c>
      <c r="F903" s="145" t="str">
        <f>IF(G903=".","",Formulario!J$6)</f>
        <v/>
      </c>
      <c r="G903" s="180" t="str">
        <f>IF(Formulario!C911&lt;&gt;"",IF(Formulario!C911=" ","Falta Depto",IF(H903=".","Error En Descripción",Formulario!C911)),IF(H903=".",".","Falta Datos"))</f>
        <v>.</v>
      </c>
      <c r="H903" s="144" t="str">
        <f>IF(Formulario!D911&lt;&gt;"",IF(Formulario!D911=" ",".",Formulario!D911),".")</f>
        <v>.</v>
      </c>
      <c r="I903" s="144" t="str">
        <f>IF(Formulario!E911&lt;&gt;"",IF(Formulario!E911=" "," ",Formulario!E911),IF(G903=".",".","Falta Propietario"))</f>
        <v>.</v>
      </c>
      <c r="J903" s="144" t="str">
        <f>IF(Formulario!F911&lt;&gt;"",IF(Formulario!F911=" "," ",Formulario!F911)," ")</f>
        <v xml:space="preserve"> </v>
      </c>
      <c r="K903" s="144" t="str">
        <f>IF(Formulario!G911&lt;&gt;"",IF(Formulario!G911=" "," ",Formulario!G911)," ")</f>
        <v xml:space="preserve"> </v>
      </c>
      <c r="L903" s="144" t="str">
        <f>IF(Formulario!H911&lt;&gt;"",IF(Formulario!H911=" "," ",Formulario!H911)," ")</f>
        <v xml:space="preserve"> </v>
      </c>
      <c r="M903" s="144" t="str">
        <f>IF(Formulario!I911&lt;&gt;"",IF(Formulario!I911=" "," ",Formulario!I911)," ")</f>
        <v xml:space="preserve"> </v>
      </c>
      <c r="N903" s="145" t="str">
        <f>IF(Formulario!J911&lt;&gt;"",IF(Formulario!J911=" "," ",Formulario!J911),IF(G903=".",".","Falta Fecha"))</f>
        <v>.</v>
      </c>
      <c r="O903" s="155">
        <f>Formulario!L911</f>
        <v>0</v>
      </c>
      <c r="P903" s="146">
        <f>IF(O903=1,"09:00",Formulario!M911)</f>
        <v>0</v>
      </c>
      <c r="Q903" s="146">
        <f>IF(O903=1,"18:30",Formulario!N911)</f>
        <v>0</v>
      </c>
      <c r="R903" s="146" t="str">
        <f>IF(Formulario!O911&lt;&gt;"",IF(Formulario!O911=" ",".",Formulario!O911),".")</f>
        <v>.</v>
      </c>
      <c r="S903" s="141" t="s">
        <v>131</v>
      </c>
    </row>
    <row r="904" spans="1:19">
      <c r="A904" s="141">
        <f>Formulario!B912</f>
        <v>0</v>
      </c>
      <c r="B904" s="144" t="str">
        <f>IF(G904="."," ",Formulario!D$5)</f>
        <v xml:space="preserve"> </v>
      </c>
      <c r="C904" s="144" t="str">
        <f>IF(G904=".","",Formulario!D$6)</f>
        <v/>
      </c>
      <c r="D904" s="144" t="str">
        <f>IF(H904=".","",Formulario!D$7)</f>
        <v/>
      </c>
      <c r="E904" s="144" t="str">
        <f>IF(G904=".","",Formulario!J$5)</f>
        <v/>
      </c>
      <c r="F904" s="145" t="str">
        <f>IF(G904=".","",Formulario!J$6)</f>
        <v/>
      </c>
      <c r="G904" s="180" t="str">
        <f>IF(Formulario!C912&lt;&gt;"",IF(Formulario!C912=" ","Falta Depto",IF(H904=".","Error En Descripción",Formulario!C912)),IF(H904=".",".","Falta Datos"))</f>
        <v>.</v>
      </c>
      <c r="H904" s="144" t="str">
        <f>IF(Formulario!D912&lt;&gt;"",IF(Formulario!D912=" ",".",Formulario!D912),".")</f>
        <v>.</v>
      </c>
      <c r="I904" s="144" t="str">
        <f>IF(Formulario!E912&lt;&gt;"",IF(Formulario!E912=" "," ",Formulario!E912),IF(G904=".",".","Falta Propietario"))</f>
        <v>.</v>
      </c>
      <c r="J904" s="144" t="str">
        <f>IF(Formulario!F912&lt;&gt;"",IF(Formulario!F912=" "," ",Formulario!F912)," ")</f>
        <v xml:space="preserve"> </v>
      </c>
      <c r="K904" s="144" t="str">
        <f>IF(Formulario!G912&lt;&gt;"",IF(Formulario!G912=" "," ",Formulario!G912)," ")</f>
        <v xml:space="preserve"> </v>
      </c>
      <c r="L904" s="144" t="str">
        <f>IF(Formulario!H912&lt;&gt;"",IF(Formulario!H912=" "," ",Formulario!H912)," ")</f>
        <v xml:space="preserve"> </v>
      </c>
      <c r="M904" s="144" t="str">
        <f>IF(Formulario!I912&lt;&gt;"",IF(Formulario!I912=" "," ",Formulario!I912)," ")</f>
        <v xml:space="preserve"> </v>
      </c>
      <c r="N904" s="145" t="str">
        <f>IF(Formulario!J912&lt;&gt;"",IF(Formulario!J912=" "," ",Formulario!J912),IF(G904=".",".","Falta Fecha"))</f>
        <v>.</v>
      </c>
      <c r="O904" s="155">
        <f>Formulario!L912</f>
        <v>0</v>
      </c>
      <c r="P904" s="146">
        <f>IF(O904=1,"09:00",Formulario!M912)</f>
        <v>0</v>
      </c>
      <c r="Q904" s="146">
        <f>IF(O904=1,"18:30",Formulario!N912)</f>
        <v>0</v>
      </c>
      <c r="R904" s="146" t="str">
        <f>IF(Formulario!O912&lt;&gt;"",IF(Formulario!O912=" ",".",Formulario!O912),".")</f>
        <v>.</v>
      </c>
      <c r="S904" s="141" t="s">
        <v>131</v>
      </c>
    </row>
    <row r="905" spans="1:19">
      <c r="A905" s="141">
        <f>Formulario!B913</f>
        <v>0</v>
      </c>
      <c r="B905" s="144" t="str">
        <f>IF(G905="."," ",Formulario!D$5)</f>
        <v xml:space="preserve"> </v>
      </c>
      <c r="C905" s="144" t="str">
        <f>IF(G905=".","",Formulario!D$6)</f>
        <v/>
      </c>
      <c r="D905" s="144" t="str">
        <f>IF(H905=".","",Formulario!D$7)</f>
        <v/>
      </c>
      <c r="E905" s="144" t="str">
        <f>IF(G905=".","",Formulario!J$5)</f>
        <v/>
      </c>
      <c r="F905" s="145" t="str">
        <f>IF(G905=".","",Formulario!J$6)</f>
        <v/>
      </c>
      <c r="G905" s="180" t="str">
        <f>IF(Formulario!C913&lt;&gt;"",IF(Formulario!C913=" ","Falta Depto",IF(H905=".","Error En Descripción",Formulario!C913)),IF(H905=".",".","Falta Datos"))</f>
        <v>.</v>
      </c>
      <c r="H905" s="144" t="str">
        <f>IF(Formulario!D913&lt;&gt;"",IF(Formulario!D913=" ",".",Formulario!D913),".")</f>
        <v>.</v>
      </c>
      <c r="I905" s="144" t="str">
        <f>IF(Formulario!E913&lt;&gt;"",IF(Formulario!E913=" "," ",Formulario!E913),IF(G905=".",".","Falta Propietario"))</f>
        <v>.</v>
      </c>
      <c r="J905" s="144" t="str">
        <f>IF(Formulario!F913&lt;&gt;"",IF(Formulario!F913=" "," ",Formulario!F913)," ")</f>
        <v xml:space="preserve"> </v>
      </c>
      <c r="K905" s="144" t="str">
        <f>IF(Formulario!G913&lt;&gt;"",IF(Formulario!G913=" "," ",Formulario!G913)," ")</f>
        <v xml:space="preserve"> </v>
      </c>
      <c r="L905" s="144" t="str">
        <f>IF(Formulario!H913&lt;&gt;"",IF(Formulario!H913=" "," ",Formulario!H913)," ")</f>
        <v xml:space="preserve"> </v>
      </c>
      <c r="M905" s="144" t="str">
        <f>IF(Formulario!I913&lt;&gt;"",IF(Formulario!I913=" "," ",Formulario!I913)," ")</f>
        <v xml:space="preserve"> </v>
      </c>
      <c r="N905" s="145" t="str">
        <f>IF(Formulario!J913&lt;&gt;"",IF(Formulario!J913=" "," ",Formulario!J913),IF(G905=".",".","Falta Fecha"))</f>
        <v>.</v>
      </c>
      <c r="O905" s="155">
        <f>Formulario!L913</f>
        <v>0</v>
      </c>
      <c r="P905" s="146">
        <f>IF(O905=1,"09:00",Formulario!M913)</f>
        <v>0</v>
      </c>
      <c r="Q905" s="146">
        <f>IF(O905=1,"18:30",Formulario!N913)</f>
        <v>0</v>
      </c>
      <c r="R905" s="146" t="str">
        <f>IF(Formulario!O913&lt;&gt;"",IF(Formulario!O913=" ",".",Formulario!O913),".")</f>
        <v>.</v>
      </c>
      <c r="S905" s="141" t="s">
        <v>131</v>
      </c>
    </row>
    <row r="906" spans="1:19">
      <c r="A906" s="141">
        <f>Formulario!B914</f>
        <v>0</v>
      </c>
      <c r="B906" s="144" t="str">
        <f>IF(G906="."," ",Formulario!D$5)</f>
        <v xml:space="preserve"> </v>
      </c>
      <c r="C906" s="144" t="str">
        <f>IF(G906=".","",Formulario!D$6)</f>
        <v/>
      </c>
      <c r="D906" s="144" t="str">
        <f>IF(H906=".","",Formulario!D$7)</f>
        <v/>
      </c>
      <c r="E906" s="144" t="str">
        <f>IF(G906=".","",Formulario!J$5)</f>
        <v/>
      </c>
      <c r="F906" s="145" t="str">
        <f>IF(G906=".","",Formulario!J$6)</f>
        <v/>
      </c>
      <c r="G906" s="180" t="str">
        <f>IF(Formulario!C914&lt;&gt;"",IF(Formulario!C914=" ","Falta Depto",IF(H906=".","Error En Descripción",Formulario!C914)),IF(H906=".",".","Falta Datos"))</f>
        <v>.</v>
      </c>
      <c r="H906" s="144" t="str">
        <f>IF(Formulario!D914&lt;&gt;"",IF(Formulario!D914=" ",".",Formulario!D914),".")</f>
        <v>.</v>
      </c>
      <c r="I906" s="144" t="str">
        <f>IF(Formulario!E914&lt;&gt;"",IF(Formulario!E914=" "," ",Formulario!E914),IF(G906=".",".","Falta Propietario"))</f>
        <v>.</v>
      </c>
      <c r="J906" s="144" t="str">
        <f>IF(Formulario!F914&lt;&gt;"",IF(Formulario!F914=" "," ",Formulario!F914)," ")</f>
        <v xml:space="preserve"> </v>
      </c>
      <c r="K906" s="144" t="str">
        <f>IF(Formulario!G914&lt;&gt;"",IF(Formulario!G914=" "," ",Formulario!G914)," ")</f>
        <v xml:space="preserve"> </v>
      </c>
      <c r="L906" s="144" t="str">
        <f>IF(Formulario!H914&lt;&gt;"",IF(Formulario!H914=" "," ",Formulario!H914)," ")</f>
        <v xml:space="preserve"> </v>
      </c>
      <c r="M906" s="144" t="str">
        <f>IF(Formulario!I914&lt;&gt;"",IF(Formulario!I914=" "," ",Formulario!I914)," ")</f>
        <v xml:space="preserve"> </v>
      </c>
      <c r="N906" s="145" t="str">
        <f>IF(Formulario!J914&lt;&gt;"",IF(Formulario!J914=" "," ",Formulario!J914),IF(G906=".",".","Falta Fecha"))</f>
        <v>.</v>
      </c>
      <c r="O906" s="155">
        <f>Formulario!L914</f>
        <v>0</v>
      </c>
      <c r="P906" s="146">
        <f>IF(O906=1,"09:00",Formulario!M914)</f>
        <v>0</v>
      </c>
      <c r="Q906" s="146">
        <f>IF(O906=1,"18:30",Formulario!N914)</f>
        <v>0</v>
      </c>
      <c r="R906" s="146" t="str">
        <f>IF(Formulario!O914&lt;&gt;"",IF(Formulario!O914=" ",".",Formulario!O914),".")</f>
        <v>.</v>
      </c>
      <c r="S906" s="141" t="s">
        <v>131</v>
      </c>
    </row>
    <row r="907" spans="1:19">
      <c r="A907" s="141">
        <f>Formulario!B915</f>
        <v>0</v>
      </c>
      <c r="B907" s="144" t="str">
        <f>IF(G907="."," ",Formulario!D$5)</f>
        <v xml:space="preserve"> </v>
      </c>
      <c r="C907" s="144" t="str">
        <f>IF(G907=".","",Formulario!D$6)</f>
        <v/>
      </c>
      <c r="D907" s="144" t="str">
        <f>IF(H907=".","",Formulario!D$7)</f>
        <v/>
      </c>
      <c r="E907" s="144" t="str">
        <f>IF(G907=".","",Formulario!J$5)</f>
        <v/>
      </c>
      <c r="F907" s="145" t="str">
        <f>IF(G907=".","",Formulario!J$6)</f>
        <v/>
      </c>
      <c r="G907" s="180" t="str">
        <f>IF(Formulario!C915&lt;&gt;"",IF(Formulario!C915=" ","Falta Depto",IF(H907=".","Error En Descripción",Formulario!C915)),IF(H907=".",".","Falta Datos"))</f>
        <v>.</v>
      </c>
      <c r="H907" s="144" t="str">
        <f>IF(Formulario!D915&lt;&gt;"",IF(Formulario!D915=" ",".",Formulario!D915),".")</f>
        <v>.</v>
      </c>
      <c r="I907" s="144" t="str">
        <f>IF(Formulario!E915&lt;&gt;"",IF(Formulario!E915=" "," ",Formulario!E915),IF(G907=".",".","Falta Propietario"))</f>
        <v>.</v>
      </c>
      <c r="J907" s="144" t="str">
        <f>IF(Formulario!F915&lt;&gt;"",IF(Formulario!F915=" "," ",Formulario!F915)," ")</f>
        <v xml:space="preserve"> </v>
      </c>
      <c r="K907" s="144" t="str">
        <f>IF(Formulario!G915&lt;&gt;"",IF(Formulario!G915=" "," ",Formulario!G915)," ")</f>
        <v xml:space="preserve"> </v>
      </c>
      <c r="L907" s="144" t="str">
        <f>IF(Formulario!H915&lt;&gt;"",IF(Formulario!H915=" "," ",Formulario!H915)," ")</f>
        <v xml:space="preserve"> </v>
      </c>
      <c r="M907" s="144" t="str">
        <f>IF(Formulario!I915&lt;&gt;"",IF(Formulario!I915=" "," ",Formulario!I915)," ")</f>
        <v xml:space="preserve"> </v>
      </c>
      <c r="N907" s="145" t="str">
        <f>IF(Formulario!J915&lt;&gt;"",IF(Formulario!J915=" "," ",Formulario!J915),IF(G907=".",".","Falta Fecha"))</f>
        <v>.</v>
      </c>
      <c r="O907" s="155">
        <f>Formulario!L915</f>
        <v>0</v>
      </c>
      <c r="P907" s="146">
        <f>IF(O907=1,"09:00",Formulario!M915)</f>
        <v>0</v>
      </c>
      <c r="Q907" s="146">
        <f>IF(O907=1,"18:30",Formulario!N915)</f>
        <v>0</v>
      </c>
      <c r="R907" s="146" t="str">
        <f>IF(Formulario!O915&lt;&gt;"",IF(Formulario!O915=" ",".",Formulario!O915),".")</f>
        <v>.</v>
      </c>
      <c r="S907" s="141" t="s">
        <v>131</v>
      </c>
    </row>
    <row r="908" spans="1:19">
      <c r="A908" s="141">
        <f>Formulario!B916</f>
        <v>0</v>
      </c>
      <c r="B908" s="144" t="str">
        <f>IF(G908="."," ",Formulario!D$5)</f>
        <v xml:space="preserve"> </v>
      </c>
      <c r="C908" s="144" t="str">
        <f>IF(G908=".","",Formulario!D$6)</f>
        <v/>
      </c>
      <c r="D908" s="144" t="str">
        <f>IF(H908=".","",Formulario!D$7)</f>
        <v/>
      </c>
      <c r="E908" s="144" t="str">
        <f>IF(G908=".","",Formulario!J$5)</f>
        <v/>
      </c>
      <c r="F908" s="145" t="str">
        <f>IF(G908=".","",Formulario!J$6)</f>
        <v/>
      </c>
      <c r="G908" s="180" t="str">
        <f>IF(Formulario!C916&lt;&gt;"",IF(Formulario!C916=" ","Falta Depto",IF(H908=".","Error En Descripción",Formulario!C916)),IF(H908=".",".","Falta Datos"))</f>
        <v>.</v>
      </c>
      <c r="H908" s="144" t="str">
        <f>IF(Formulario!D916&lt;&gt;"",IF(Formulario!D916=" ",".",Formulario!D916),".")</f>
        <v>.</v>
      </c>
      <c r="I908" s="144" t="str">
        <f>IF(Formulario!E916&lt;&gt;"",IF(Formulario!E916=" "," ",Formulario!E916),IF(G908=".",".","Falta Propietario"))</f>
        <v>.</v>
      </c>
      <c r="J908" s="144" t="str">
        <f>IF(Formulario!F916&lt;&gt;"",IF(Formulario!F916=" "," ",Formulario!F916)," ")</f>
        <v xml:space="preserve"> </v>
      </c>
      <c r="K908" s="144" t="str">
        <f>IF(Formulario!G916&lt;&gt;"",IF(Formulario!G916=" "," ",Formulario!G916)," ")</f>
        <v xml:space="preserve"> </v>
      </c>
      <c r="L908" s="144" t="str">
        <f>IF(Formulario!H916&lt;&gt;"",IF(Formulario!H916=" "," ",Formulario!H916)," ")</f>
        <v xml:space="preserve"> </v>
      </c>
      <c r="M908" s="144" t="str">
        <f>IF(Formulario!I916&lt;&gt;"",IF(Formulario!I916=" "," ",Formulario!I916)," ")</f>
        <v xml:space="preserve"> </v>
      </c>
      <c r="N908" s="145" t="str">
        <f>IF(Formulario!J916&lt;&gt;"",IF(Formulario!J916=" "," ",Formulario!J916),IF(G908=".",".","Falta Fecha"))</f>
        <v>.</v>
      </c>
      <c r="O908" s="155">
        <f>Formulario!L916</f>
        <v>0</v>
      </c>
      <c r="P908" s="146">
        <f>IF(O908=1,"09:00",Formulario!M916)</f>
        <v>0</v>
      </c>
      <c r="Q908" s="146">
        <f>IF(O908=1,"18:30",Formulario!N916)</f>
        <v>0</v>
      </c>
      <c r="R908" s="146" t="str">
        <f>IF(Formulario!O916&lt;&gt;"",IF(Formulario!O916=" ",".",Formulario!O916),".")</f>
        <v>.</v>
      </c>
      <c r="S908" s="141" t="s">
        <v>131</v>
      </c>
    </row>
    <row r="909" spans="1:19">
      <c r="A909" s="141">
        <f>Formulario!B917</f>
        <v>0</v>
      </c>
      <c r="B909" s="144" t="str">
        <f>IF(G909="."," ",Formulario!D$5)</f>
        <v xml:space="preserve"> </v>
      </c>
      <c r="C909" s="144" t="str">
        <f>IF(G909=".","",Formulario!D$6)</f>
        <v/>
      </c>
      <c r="D909" s="144" t="str">
        <f>IF(H909=".","",Formulario!D$7)</f>
        <v/>
      </c>
      <c r="E909" s="144" t="str">
        <f>IF(G909=".","",Formulario!J$5)</f>
        <v/>
      </c>
      <c r="F909" s="145" t="str">
        <f>IF(G909=".","",Formulario!J$6)</f>
        <v/>
      </c>
      <c r="G909" s="180" t="str">
        <f>IF(Formulario!C917&lt;&gt;"",IF(Formulario!C917=" ","Falta Depto",IF(H909=".","Error En Descripción",Formulario!C917)),IF(H909=".",".","Falta Datos"))</f>
        <v>.</v>
      </c>
      <c r="H909" s="144" t="str">
        <f>IF(Formulario!D917&lt;&gt;"",IF(Formulario!D917=" ",".",Formulario!D917),".")</f>
        <v>.</v>
      </c>
      <c r="I909" s="144" t="str">
        <f>IF(Formulario!E917&lt;&gt;"",IF(Formulario!E917=" "," ",Formulario!E917),IF(G909=".",".","Falta Propietario"))</f>
        <v>.</v>
      </c>
      <c r="J909" s="144" t="str">
        <f>IF(Formulario!F917&lt;&gt;"",IF(Formulario!F917=" "," ",Formulario!F917)," ")</f>
        <v xml:space="preserve"> </v>
      </c>
      <c r="K909" s="144" t="str">
        <f>IF(Formulario!G917&lt;&gt;"",IF(Formulario!G917=" "," ",Formulario!G917)," ")</f>
        <v xml:space="preserve"> </v>
      </c>
      <c r="L909" s="144" t="str">
        <f>IF(Formulario!H917&lt;&gt;"",IF(Formulario!H917=" "," ",Formulario!H917)," ")</f>
        <v xml:space="preserve"> </v>
      </c>
      <c r="M909" s="144" t="str">
        <f>IF(Formulario!I917&lt;&gt;"",IF(Formulario!I917=" "," ",Formulario!I917)," ")</f>
        <v xml:space="preserve"> </v>
      </c>
      <c r="N909" s="145" t="str">
        <f>IF(Formulario!J917&lt;&gt;"",IF(Formulario!J917=" "," ",Formulario!J917),IF(G909=".",".","Falta Fecha"))</f>
        <v>.</v>
      </c>
      <c r="O909" s="155">
        <f>Formulario!L917</f>
        <v>0</v>
      </c>
      <c r="P909" s="146">
        <f>IF(O909=1,"09:00",Formulario!M917)</f>
        <v>0</v>
      </c>
      <c r="Q909" s="146">
        <f>IF(O909=1,"18:30",Formulario!N917)</f>
        <v>0</v>
      </c>
      <c r="R909" s="146" t="str">
        <f>IF(Formulario!O917&lt;&gt;"",IF(Formulario!O917=" ",".",Formulario!O917),".")</f>
        <v>.</v>
      </c>
      <c r="S909" s="141" t="s">
        <v>131</v>
      </c>
    </row>
    <row r="910" spans="1:19">
      <c r="A910" s="141">
        <f>Formulario!B918</f>
        <v>0</v>
      </c>
      <c r="B910" s="144" t="str">
        <f>IF(G910="."," ",Formulario!D$5)</f>
        <v xml:space="preserve"> </v>
      </c>
      <c r="C910" s="144" t="str">
        <f>IF(G910=".","",Formulario!D$6)</f>
        <v/>
      </c>
      <c r="D910" s="144" t="str">
        <f>IF(H910=".","",Formulario!D$7)</f>
        <v/>
      </c>
      <c r="E910" s="144" t="str">
        <f>IF(G910=".","",Formulario!J$5)</f>
        <v/>
      </c>
      <c r="F910" s="145" t="str">
        <f>IF(G910=".","",Formulario!J$6)</f>
        <v/>
      </c>
      <c r="G910" s="180" t="str">
        <f>IF(Formulario!C918&lt;&gt;"",IF(Formulario!C918=" ","Falta Depto",IF(H910=".","Error En Descripción",Formulario!C918)),IF(H910=".",".","Falta Datos"))</f>
        <v>.</v>
      </c>
      <c r="H910" s="144" t="str">
        <f>IF(Formulario!D918&lt;&gt;"",IF(Formulario!D918=" ",".",Formulario!D918),".")</f>
        <v>.</v>
      </c>
      <c r="I910" s="144" t="str">
        <f>IF(Formulario!E918&lt;&gt;"",IF(Formulario!E918=" "," ",Formulario!E918),IF(G910=".",".","Falta Propietario"))</f>
        <v>.</v>
      </c>
      <c r="J910" s="144" t="str">
        <f>IF(Formulario!F918&lt;&gt;"",IF(Formulario!F918=" "," ",Formulario!F918)," ")</f>
        <v xml:space="preserve"> </v>
      </c>
      <c r="K910" s="144" t="str">
        <f>IF(Formulario!G918&lt;&gt;"",IF(Formulario!G918=" "," ",Formulario!G918)," ")</f>
        <v xml:space="preserve"> </v>
      </c>
      <c r="L910" s="144" t="str">
        <f>IF(Formulario!H918&lt;&gt;"",IF(Formulario!H918=" "," ",Formulario!H918)," ")</f>
        <v xml:space="preserve"> </v>
      </c>
      <c r="M910" s="144" t="str">
        <f>IF(Formulario!I918&lt;&gt;"",IF(Formulario!I918=" "," ",Formulario!I918)," ")</f>
        <v xml:space="preserve"> </v>
      </c>
      <c r="N910" s="145" t="str">
        <f>IF(Formulario!J918&lt;&gt;"",IF(Formulario!J918=" "," ",Formulario!J918),IF(G910=".",".","Falta Fecha"))</f>
        <v>.</v>
      </c>
      <c r="O910" s="155">
        <f>Formulario!L918</f>
        <v>0</v>
      </c>
      <c r="P910" s="146">
        <f>IF(O910=1,"09:00",Formulario!M918)</f>
        <v>0</v>
      </c>
      <c r="Q910" s="146">
        <f>IF(O910=1,"18:30",Formulario!N918)</f>
        <v>0</v>
      </c>
      <c r="R910" s="146" t="str">
        <f>IF(Formulario!O918&lt;&gt;"",IF(Formulario!O918=" ",".",Formulario!O918),".")</f>
        <v>.</v>
      </c>
      <c r="S910" s="141" t="s">
        <v>131</v>
      </c>
    </row>
    <row r="911" spans="1:19">
      <c r="A911" s="141">
        <f>Formulario!B919</f>
        <v>0</v>
      </c>
      <c r="B911" s="144" t="str">
        <f>IF(G911="."," ",Formulario!D$5)</f>
        <v xml:space="preserve"> </v>
      </c>
      <c r="C911" s="144" t="str">
        <f>IF(G911=".","",Formulario!D$6)</f>
        <v/>
      </c>
      <c r="D911" s="144" t="str">
        <f>IF(H911=".","",Formulario!D$7)</f>
        <v/>
      </c>
      <c r="E911" s="144" t="str">
        <f>IF(G911=".","",Formulario!J$5)</f>
        <v/>
      </c>
      <c r="F911" s="145" t="str">
        <f>IF(G911=".","",Formulario!J$6)</f>
        <v/>
      </c>
      <c r="G911" s="180" t="str">
        <f>IF(Formulario!C919&lt;&gt;"",IF(Formulario!C919=" ","Falta Depto",IF(H911=".","Error En Descripción",Formulario!C919)),IF(H911=".",".","Falta Datos"))</f>
        <v>.</v>
      </c>
      <c r="H911" s="144" t="str">
        <f>IF(Formulario!D919&lt;&gt;"",IF(Formulario!D919=" ",".",Formulario!D919),".")</f>
        <v>.</v>
      </c>
      <c r="I911" s="144" t="str">
        <f>IF(Formulario!E919&lt;&gt;"",IF(Formulario!E919=" "," ",Formulario!E919),IF(G911=".",".","Falta Propietario"))</f>
        <v>.</v>
      </c>
      <c r="J911" s="144" t="str">
        <f>IF(Formulario!F919&lt;&gt;"",IF(Formulario!F919=" "," ",Formulario!F919)," ")</f>
        <v xml:space="preserve"> </v>
      </c>
      <c r="K911" s="144" t="str">
        <f>IF(Formulario!G919&lt;&gt;"",IF(Formulario!G919=" "," ",Formulario!G919)," ")</f>
        <v xml:space="preserve"> </v>
      </c>
      <c r="L911" s="144" t="str">
        <f>IF(Formulario!H919&lt;&gt;"",IF(Formulario!H919=" "," ",Formulario!H919)," ")</f>
        <v xml:space="preserve"> </v>
      </c>
      <c r="M911" s="144" t="str">
        <f>IF(Formulario!I919&lt;&gt;"",IF(Formulario!I919=" "," ",Formulario!I919)," ")</f>
        <v xml:space="preserve"> </v>
      </c>
      <c r="N911" s="145" t="str">
        <f>IF(Formulario!J919&lt;&gt;"",IF(Formulario!J919=" "," ",Formulario!J919),IF(G911=".",".","Falta Fecha"))</f>
        <v>.</v>
      </c>
      <c r="O911" s="155">
        <f>Formulario!L919</f>
        <v>0</v>
      </c>
      <c r="P911" s="146">
        <f>IF(O911=1,"09:00",Formulario!M919)</f>
        <v>0</v>
      </c>
      <c r="Q911" s="146">
        <f>IF(O911=1,"18:30",Formulario!N919)</f>
        <v>0</v>
      </c>
      <c r="R911" s="146" t="str">
        <f>IF(Formulario!O919&lt;&gt;"",IF(Formulario!O919=" ",".",Formulario!O919),".")</f>
        <v>.</v>
      </c>
      <c r="S911" s="141" t="s">
        <v>131</v>
      </c>
    </row>
    <row r="912" spans="1:19">
      <c r="A912" s="141">
        <f>Formulario!B920</f>
        <v>0</v>
      </c>
      <c r="B912" s="144" t="str">
        <f>IF(G912="."," ",Formulario!D$5)</f>
        <v xml:space="preserve"> </v>
      </c>
      <c r="C912" s="144" t="str">
        <f>IF(G912=".","",Formulario!D$6)</f>
        <v/>
      </c>
      <c r="D912" s="144" t="str">
        <f>IF(H912=".","",Formulario!D$7)</f>
        <v/>
      </c>
      <c r="E912" s="144" t="str">
        <f>IF(G912=".","",Formulario!J$5)</f>
        <v/>
      </c>
      <c r="F912" s="145" t="str">
        <f>IF(G912=".","",Formulario!J$6)</f>
        <v/>
      </c>
      <c r="G912" s="180" t="str">
        <f>IF(Formulario!C920&lt;&gt;"",IF(Formulario!C920=" ","Falta Depto",IF(H912=".","Error En Descripción",Formulario!C920)),IF(H912=".",".","Falta Datos"))</f>
        <v>.</v>
      </c>
      <c r="H912" s="144" t="str">
        <f>IF(Formulario!D920&lt;&gt;"",IF(Formulario!D920=" ",".",Formulario!D920),".")</f>
        <v>.</v>
      </c>
      <c r="I912" s="144" t="str">
        <f>IF(Formulario!E920&lt;&gt;"",IF(Formulario!E920=" "," ",Formulario!E920),IF(G912=".",".","Falta Propietario"))</f>
        <v>.</v>
      </c>
      <c r="J912" s="144" t="str">
        <f>IF(Formulario!F920&lt;&gt;"",IF(Formulario!F920=" "," ",Formulario!F920)," ")</f>
        <v xml:space="preserve"> </v>
      </c>
      <c r="K912" s="144" t="str">
        <f>IF(Formulario!G920&lt;&gt;"",IF(Formulario!G920=" "," ",Formulario!G920)," ")</f>
        <v xml:space="preserve"> </v>
      </c>
      <c r="L912" s="144" t="str">
        <f>IF(Formulario!H920&lt;&gt;"",IF(Formulario!H920=" "," ",Formulario!H920)," ")</f>
        <v xml:space="preserve"> </v>
      </c>
      <c r="M912" s="144" t="str">
        <f>IF(Formulario!I920&lt;&gt;"",IF(Formulario!I920=" "," ",Formulario!I920)," ")</f>
        <v xml:space="preserve"> </v>
      </c>
      <c r="N912" s="145" t="str">
        <f>IF(Formulario!J920&lt;&gt;"",IF(Formulario!J920=" "," ",Formulario!J920),IF(G912=".",".","Falta Fecha"))</f>
        <v>.</v>
      </c>
      <c r="O912" s="155">
        <f>Formulario!L920</f>
        <v>0</v>
      </c>
      <c r="P912" s="146">
        <f>IF(O912=1,"09:00",Formulario!M920)</f>
        <v>0</v>
      </c>
      <c r="Q912" s="146">
        <f>IF(O912=1,"18:30",Formulario!N920)</f>
        <v>0</v>
      </c>
      <c r="R912" s="146" t="str">
        <f>IF(Formulario!O920&lt;&gt;"",IF(Formulario!O920=" ",".",Formulario!O920),".")</f>
        <v>.</v>
      </c>
      <c r="S912" s="141" t="s">
        <v>131</v>
      </c>
    </row>
    <row r="913" spans="1:19">
      <c r="A913" s="141">
        <f>Formulario!B921</f>
        <v>0</v>
      </c>
      <c r="B913" s="144" t="str">
        <f>IF(G913="."," ",Formulario!D$5)</f>
        <v xml:space="preserve"> </v>
      </c>
      <c r="C913" s="144" t="str">
        <f>IF(G913=".","",Formulario!D$6)</f>
        <v/>
      </c>
      <c r="D913" s="144" t="str">
        <f>IF(H913=".","",Formulario!D$7)</f>
        <v/>
      </c>
      <c r="E913" s="144" t="str">
        <f>IF(G913=".","",Formulario!J$5)</f>
        <v/>
      </c>
      <c r="F913" s="145" t="str">
        <f>IF(G913=".","",Formulario!J$6)</f>
        <v/>
      </c>
      <c r="G913" s="180" t="str">
        <f>IF(Formulario!C921&lt;&gt;"",IF(Formulario!C921=" ","Falta Depto",IF(H913=".","Error En Descripción",Formulario!C921)),IF(H913=".",".","Falta Datos"))</f>
        <v>.</v>
      </c>
      <c r="H913" s="144" t="str">
        <f>IF(Formulario!D921&lt;&gt;"",IF(Formulario!D921=" ",".",Formulario!D921),".")</f>
        <v>.</v>
      </c>
      <c r="I913" s="144" t="str">
        <f>IF(Formulario!E921&lt;&gt;"",IF(Formulario!E921=" "," ",Formulario!E921),IF(G913=".",".","Falta Propietario"))</f>
        <v>.</v>
      </c>
      <c r="J913" s="144" t="str">
        <f>IF(Formulario!F921&lt;&gt;"",IF(Formulario!F921=" "," ",Formulario!F921)," ")</f>
        <v xml:space="preserve"> </v>
      </c>
      <c r="K913" s="144" t="str">
        <f>IF(Formulario!G921&lt;&gt;"",IF(Formulario!G921=" "," ",Formulario!G921)," ")</f>
        <v xml:space="preserve"> </v>
      </c>
      <c r="L913" s="144" t="str">
        <f>IF(Formulario!H921&lt;&gt;"",IF(Formulario!H921=" "," ",Formulario!H921)," ")</f>
        <v xml:space="preserve"> </v>
      </c>
      <c r="M913" s="144" t="str">
        <f>IF(Formulario!I921&lt;&gt;"",IF(Formulario!I921=" "," ",Formulario!I921)," ")</f>
        <v xml:space="preserve"> </v>
      </c>
      <c r="N913" s="145" t="str">
        <f>IF(Formulario!J921&lt;&gt;"",IF(Formulario!J921=" "," ",Formulario!J921),IF(G913=".",".","Falta Fecha"))</f>
        <v>.</v>
      </c>
      <c r="O913" s="155">
        <f>Formulario!L921</f>
        <v>0</v>
      </c>
      <c r="P913" s="146">
        <f>IF(O913=1,"09:00",Formulario!M921)</f>
        <v>0</v>
      </c>
      <c r="Q913" s="146">
        <f>IF(O913=1,"18:30",Formulario!N921)</f>
        <v>0</v>
      </c>
      <c r="R913" s="146" t="str">
        <f>IF(Formulario!O921&lt;&gt;"",IF(Formulario!O921=" ",".",Formulario!O921),".")</f>
        <v>.</v>
      </c>
      <c r="S913" s="141" t="s">
        <v>131</v>
      </c>
    </row>
    <row r="914" spans="1:19">
      <c r="A914" s="141">
        <f>Formulario!B922</f>
        <v>0</v>
      </c>
      <c r="B914" s="144" t="str">
        <f>IF(G914="."," ",Formulario!D$5)</f>
        <v xml:space="preserve"> </v>
      </c>
      <c r="C914" s="144" t="str">
        <f>IF(G914=".","",Formulario!D$6)</f>
        <v/>
      </c>
      <c r="D914" s="144" t="str">
        <f>IF(H914=".","",Formulario!D$7)</f>
        <v/>
      </c>
      <c r="E914" s="144" t="str">
        <f>IF(G914=".","",Formulario!J$5)</f>
        <v/>
      </c>
      <c r="F914" s="145" t="str">
        <f>IF(G914=".","",Formulario!J$6)</f>
        <v/>
      </c>
      <c r="G914" s="180" t="str">
        <f>IF(Formulario!C922&lt;&gt;"",IF(Formulario!C922=" ","Falta Depto",IF(H914=".","Error En Descripción",Formulario!C922)),IF(H914=".",".","Falta Datos"))</f>
        <v>.</v>
      </c>
      <c r="H914" s="144" t="str">
        <f>IF(Formulario!D922&lt;&gt;"",IF(Formulario!D922=" ",".",Formulario!D922),".")</f>
        <v>.</v>
      </c>
      <c r="I914" s="144" t="str">
        <f>IF(Formulario!E922&lt;&gt;"",IF(Formulario!E922=" "," ",Formulario!E922),IF(G914=".",".","Falta Propietario"))</f>
        <v>.</v>
      </c>
      <c r="J914" s="144" t="str">
        <f>IF(Formulario!F922&lt;&gt;"",IF(Formulario!F922=" "," ",Formulario!F922)," ")</f>
        <v xml:space="preserve"> </v>
      </c>
      <c r="K914" s="144" t="str">
        <f>IF(Formulario!G922&lt;&gt;"",IF(Formulario!G922=" "," ",Formulario!G922)," ")</f>
        <v xml:space="preserve"> </v>
      </c>
      <c r="L914" s="144" t="str">
        <f>IF(Formulario!H922&lt;&gt;"",IF(Formulario!H922=" "," ",Formulario!H922)," ")</f>
        <v xml:space="preserve"> </v>
      </c>
      <c r="M914" s="144" t="str">
        <f>IF(Formulario!I922&lt;&gt;"",IF(Formulario!I922=" "," ",Formulario!I922)," ")</f>
        <v xml:space="preserve"> </v>
      </c>
      <c r="N914" s="145" t="str">
        <f>IF(Formulario!J922&lt;&gt;"",IF(Formulario!J922=" "," ",Formulario!J922),IF(G914=".",".","Falta Fecha"))</f>
        <v>.</v>
      </c>
      <c r="O914" s="155">
        <f>Formulario!L922</f>
        <v>0</v>
      </c>
      <c r="P914" s="146">
        <f>IF(O914=1,"09:00",Formulario!M922)</f>
        <v>0</v>
      </c>
      <c r="Q914" s="146">
        <f>IF(O914=1,"18:30",Formulario!N922)</f>
        <v>0</v>
      </c>
      <c r="R914" s="146" t="str">
        <f>IF(Formulario!O922&lt;&gt;"",IF(Formulario!O922=" ",".",Formulario!O922),".")</f>
        <v>.</v>
      </c>
      <c r="S914" s="141" t="s">
        <v>131</v>
      </c>
    </row>
    <row r="915" spans="1:19">
      <c r="A915" s="141">
        <f>Formulario!B923</f>
        <v>0</v>
      </c>
      <c r="B915" s="144" t="str">
        <f>IF(G915="."," ",Formulario!D$5)</f>
        <v xml:space="preserve"> </v>
      </c>
      <c r="C915" s="144" t="str">
        <f>IF(G915=".","",Formulario!D$6)</f>
        <v/>
      </c>
      <c r="D915" s="144" t="str">
        <f>IF(H915=".","",Formulario!D$7)</f>
        <v/>
      </c>
      <c r="E915" s="144" t="str">
        <f>IF(G915=".","",Formulario!J$5)</f>
        <v/>
      </c>
      <c r="F915" s="145" t="str">
        <f>IF(G915=".","",Formulario!J$6)</f>
        <v/>
      </c>
      <c r="G915" s="180" t="str">
        <f>IF(Formulario!C923&lt;&gt;"",IF(Formulario!C923=" ","Falta Depto",IF(H915=".","Error En Descripción",Formulario!C923)),IF(H915=".",".","Falta Datos"))</f>
        <v>.</v>
      </c>
      <c r="H915" s="144" t="str">
        <f>IF(Formulario!D923&lt;&gt;"",IF(Formulario!D923=" ",".",Formulario!D923),".")</f>
        <v>.</v>
      </c>
      <c r="I915" s="144" t="str">
        <f>IF(Formulario!E923&lt;&gt;"",IF(Formulario!E923=" "," ",Formulario!E923),IF(G915=".",".","Falta Propietario"))</f>
        <v>.</v>
      </c>
      <c r="J915" s="144" t="str">
        <f>IF(Formulario!F923&lt;&gt;"",IF(Formulario!F923=" "," ",Formulario!F923)," ")</f>
        <v xml:space="preserve"> </v>
      </c>
      <c r="K915" s="144" t="str">
        <f>IF(Formulario!G923&lt;&gt;"",IF(Formulario!G923=" "," ",Formulario!G923)," ")</f>
        <v xml:space="preserve"> </v>
      </c>
      <c r="L915" s="144" t="str">
        <f>IF(Formulario!H923&lt;&gt;"",IF(Formulario!H923=" "," ",Formulario!H923)," ")</f>
        <v xml:space="preserve"> </v>
      </c>
      <c r="M915" s="144" t="str">
        <f>IF(Formulario!I923&lt;&gt;"",IF(Formulario!I923=" "," ",Formulario!I923)," ")</f>
        <v xml:space="preserve"> </v>
      </c>
      <c r="N915" s="145" t="str">
        <f>IF(Formulario!J923&lt;&gt;"",IF(Formulario!J923=" "," ",Formulario!J923),IF(G915=".",".","Falta Fecha"))</f>
        <v>.</v>
      </c>
      <c r="O915" s="155">
        <f>Formulario!L923</f>
        <v>0</v>
      </c>
      <c r="P915" s="146">
        <f>IF(O915=1,"09:00",Formulario!M923)</f>
        <v>0</v>
      </c>
      <c r="Q915" s="146">
        <f>IF(O915=1,"18:30",Formulario!N923)</f>
        <v>0</v>
      </c>
      <c r="R915" s="146" t="str">
        <f>IF(Formulario!O923&lt;&gt;"",IF(Formulario!O923=" ",".",Formulario!O923),".")</f>
        <v>.</v>
      </c>
      <c r="S915" s="141" t="s">
        <v>131</v>
      </c>
    </row>
    <row r="916" spans="1:19">
      <c r="A916" s="141">
        <f>Formulario!B924</f>
        <v>0</v>
      </c>
      <c r="B916" s="144" t="str">
        <f>IF(G916="."," ",Formulario!D$5)</f>
        <v xml:space="preserve"> </v>
      </c>
      <c r="C916" s="144" t="str">
        <f>IF(G916=".","",Formulario!D$6)</f>
        <v/>
      </c>
      <c r="D916" s="144" t="str">
        <f>IF(H916=".","",Formulario!D$7)</f>
        <v/>
      </c>
      <c r="E916" s="144" t="str">
        <f>IF(G916=".","",Formulario!J$5)</f>
        <v/>
      </c>
      <c r="F916" s="145" t="str">
        <f>IF(G916=".","",Formulario!J$6)</f>
        <v/>
      </c>
      <c r="G916" s="180" t="str">
        <f>IF(Formulario!C924&lt;&gt;"",IF(Formulario!C924=" ","Falta Depto",IF(H916=".","Error En Descripción",Formulario!C924)),IF(H916=".",".","Falta Datos"))</f>
        <v>.</v>
      </c>
      <c r="H916" s="144" t="str">
        <f>IF(Formulario!D924&lt;&gt;"",IF(Formulario!D924=" ",".",Formulario!D924),".")</f>
        <v>.</v>
      </c>
      <c r="I916" s="144" t="str">
        <f>IF(Formulario!E924&lt;&gt;"",IF(Formulario!E924=" "," ",Formulario!E924),IF(G916=".",".","Falta Propietario"))</f>
        <v>.</v>
      </c>
      <c r="J916" s="144" t="str">
        <f>IF(Formulario!F924&lt;&gt;"",IF(Formulario!F924=" "," ",Formulario!F924)," ")</f>
        <v xml:space="preserve"> </v>
      </c>
      <c r="K916" s="144" t="str">
        <f>IF(Formulario!G924&lt;&gt;"",IF(Formulario!G924=" "," ",Formulario!G924)," ")</f>
        <v xml:space="preserve"> </v>
      </c>
      <c r="L916" s="144" t="str">
        <f>IF(Formulario!H924&lt;&gt;"",IF(Formulario!H924=" "," ",Formulario!H924)," ")</f>
        <v xml:space="preserve"> </v>
      </c>
      <c r="M916" s="144" t="str">
        <f>IF(Formulario!I924&lt;&gt;"",IF(Formulario!I924=" "," ",Formulario!I924)," ")</f>
        <v xml:space="preserve"> </v>
      </c>
      <c r="N916" s="145" t="str">
        <f>IF(Formulario!J924&lt;&gt;"",IF(Formulario!J924=" "," ",Formulario!J924),IF(G916=".",".","Falta Fecha"))</f>
        <v>.</v>
      </c>
      <c r="O916" s="155">
        <f>Formulario!L924</f>
        <v>0</v>
      </c>
      <c r="P916" s="146">
        <f>IF(O916=1,"09:00",Formulario!M924)</f>
        <v>0</v>
      </c>
      <c r="Q916" s="146">
        <f>IF(O916=1,"18:30",Formulario!N924)</f>
        <v>0</v>
      </c>
      <c r="R916" s="146" t="str">
        <f>IF(Formulario!O924&lt;&gt;"",IF(Formulario!O924=" ",".",Formulario!O924),".")</f>
        <v>.</v>
      </c>
      <c r="S916" s="141" t="s">
        <v>131</v>
      </c>
    </row>
    <row r="917" spans="1:19">
      <c r="A917" s="141">
        <f>Formulario!B925</f>
        <v>0</v>
      </c>
      <c r="B917" s="144" t="str">
        <f>IF(G917="."," ",Formulario!D$5)</f>
        <v xml:space="preserve"> </v>
      </c>
      <c r="C917" s="144" t="str">
        <f>IF(G917=".","",Formulario!D$6)</f>
        <v/>
      </c>
      <c r="D917" s="144" t="str">
        <f>IF(H917=".","",Formulario!D$7)</f>
        <v/>
      </c>
      <c r="E917" s="144" t="str">
        <f>IF(G917=".","",Formulario!J$5)</f>
        <v/>
      </c>
      <c r="F917" s="145" t="str">
        <f>IF(G917=".","",Formulario!J$6)</f>
        <v/>
      </c>
      <c r="G917" s="180" t="str">
        <f>IF(Formulario!C925&lt;&gt;"",IF(Formulario!C925=" ","Falta Depto",IF(H917=".","Error En Descripción",Formulario!C925)),IF(H917=".",".","Falta Datos"))</f>
        <v>.</v>
      </c>
      <c r="H917" s="144" t="str">
        <f>IF(Formulario!D925&lt;&gt;"",IF(Formulario!D925=" ",".",Formulario!D925),".")</f>
        <v>.</v>
      </c>
      <c r="I917" s="144" t="str">
        <f>IF(Formulario!E925&lt;&gt;"",IF(Formulario!E925=" "," ",Formulario!E925),IF(G917=".",".","Falta Propietario"))</f>
        <v>.</v>
      </c>
      <c r="J917" s="144" t="str">
        <f>IF(Formulario!F925&lt;&gt;"",IF(Formulario!F925=" "," ",Formulario!F925)," ")</f>
        <v xml:space="preserve"> </v>
      </c>
      <c r="K917" s="144" t="str">
        <f>IF(Formulario!G925&lt;&gt;"",IF(Formulario!G925=" "," ",Formulario!G925)," ")</f>
        <v xml:space="preserve"> </v>
      </c>
      <c r="L917" s="144" t="str">
        <f>IF(Formulario!H925&lt;&gt;"",IF(Formulario!H925=" "," ",Formulario!H925)," ")</f>
        <v xml:space="preserve"> </v>
      </c>
      <c r="M917" s="144" t="str">
        <f>IF(Formulario!I925&lt;&gt;"",IF(Formulario!I925=" "," ",Formulario!I925)," ")</f>
        <v xml:space="preserve"> </v>
      </c>
      <c r="N917" s="145" t="str">
        <f>IF(Formulario!J925&lt;&gt;"",IF(Formulario!J925=" "," ",Formulario!J925),IF(G917=".",".","Falta Fecha"))</f>
        <v>.</v>
      </c>
      <c r="O917" s="155">
        <f>Formulario!L925</f>
        <v>0</v>
      </c>
      <c r="P917" s="146">
        <f>IF(O917=1,"09:00",Formulario!M925)</f>
        <v>0</v>
      </c>
      <c r="Q917" s="146">
        <f>IF(O917=1,"18:30",Formulario!N925)</f>
        <v>0</v>
      </c>
      <c r="R917" s="146" t="str">
        <f>IF(Formulario!O925&lt;&gt;"",IF(Formulario!O925=" ",".",Formulario!O925),".")</f>
        <v>.</v>
      </c>
      <c r="S917" s="141" t="s">
        <v>131</v>
      </c>
    </row>
    <row r="918" spans="1:19">
      <c r="A918" s="141">
        <f>Formulario!B926</f>
        <v>0</v>
      </c>
      <c r="B918" s="144" t="str">
        <f>IF(G918="."," ",Formulario!D$5)</f>
        <v xml:space="preserve"> </v>
      </c>
      <c r="C918" s="144" t="str">
        <f>IF(G918=".","",Formulario!D$6)</f>
        <v/>
      </c>
      <c r="D918" s="144" t="str">
        <f>IF(H918=".","",Formulario!D$7)</f>
        <v/>
      </c>
      <c r="E918" s="144" t="str">
        <f>IF(G918=".","",Formulario!J$5)</f>
        <v/>
      </c>
      <c r="F918" s="145" t="str">
        <f>IF(G918=".","",Formulario!J$6)</f>
        <v/>
      </c>
      <c r="G918" s="180" t="str">
        <f>IF(Formulario!C926&lt;&gt;"",IF(Formulario!C926=" ","Falta Depto",IF(H918=".","Error En Descripción",Formulario!C926)),IF(H918=".",".","Falta Datos"))</f>
        <v>.</v>
      </c>
      <c r="H918" s="144" t="str">
        <f>IF(Formulario!D926&lt;&gt;"",IF(Formulario!D926=" ",".",Formulario!D926),".")</f>
        <v>.</v>
      </c>
      <c r="I918" s="144" t="str">
        <f>IF(Formulario!E926&lt;&gt;"",IF(Formulario!E926=" "," ",Formulario!E926),IF(G918=".",".","Falta Propietario"))</f>
        <v>.</v>
      </c>
      <c r="J918" s="144" t="str">
        <f>IF(Formulario!F926&lt;&gt;"",IF(Formulario!F926=" "," ",Formulario!F926)," ")</f>
        <v xml:space="preserve"> </v>
      </c>
      <c r="K918" s="144" t="str">
        <f>IF(Formulario!G926&lt;&gt;"",IF(Formulario!G926=" "," ",Formulario!G926)," ")</f>
        <v xml:space="preserve"> </v>
      </c>
      <c r="L918" s="144" t="str">
        <f>IF(Formulario!H926&lt;&gt;"",IF(Formulario!H926=" "," ",Formulario!H926)," ")</f>
        <v xml:space="preserve"> </v>
      </c>
      <c r="M918" s="144" t="str">
        <f>IF(Formulario!I926&lt;&gt;"",IF(Formulario!I926=" "," ",Formulario!I926)," ")</f>
        <v xml:space="preserve"> </v>
      </c>
      <c r="N918" s="145" t="str">
        <f>IF(Formulario!J926&lt;&gt;"",IF(Formulario!J926=" "," ",Formulario!J926),IF(G918=".",".","Falta Fecha"))</f>
        <v>.</v>
      </c>
      <c r="O918" s="155">
        <f>Formulario!L926</f>
        <v>0</v>
      </c>
      <c r="P918" s="146">
        <f>IF(O918=1,"09:00",Formulario!M926)</f>
        <v>0</v>
      </c>
      <c r="Q918" s="146">
        <f>IF(O918=1,"18:30",Formulario!N926)</f>
        <v>0</v>
      </c>
      <c r="R918" s="146" t="str">
        <f>IF(Formulario!O926&lt;&gt;"",IF(Formulario!O926=" ",".",Formulario!O926),".")</f>
        <v>.</v>
      </c>
      <c r="S918" s="141" t="s">
        <v>131</v>
      </c>
    </row>
    <row r="919" spans="1:19">
      <c r="A919" s="141">
        <f>Formulario!B927</f>
        <v>0</v>
      </c>
      <c r="B919" s="144" t="str">
        <f>IF(G919="."," ",Formulario!D$5)</f>
        <v xml:space="preserve"> </v>
      </c>
      <c r="C919" s="144" t="str">
        <f>IF(G919=".","",Formulario!D$6)</f>
        <v/>
      </c>
      <c r="D919" s="144" t="str">
        <f>IF(H919=".","",Formulario!D$7)</f>
        <v/>
      </c>
      <c r="E919" s="144" t="str">
        <f>IF(G919=".","",Formulario!J$5)</f>
        <v/>
      </c>
      <c r="F919" s="145" t="str">
        <f>IF(G919=".","",Formulario!J$6)</f>
        <v/>
      </c>
      <c r="G919" s="180" t="str">
        <f>IF(Formulario!C927&lt;&gt;"",IF(Formulario!C927=" ","Falta Depto",IF(H919=".","Error En Descripción",Formulario!C927)),IF(H919=".",".","Falta Datos"))</f>
        <v>.</v>
      </c>
      <c r="H919" s="144" t="str">
        <f>IF(Formulario!D927&lt;&gt;"",IF(Formulario!D927=" ",".",Formulario!D927),".")</f>
        <v>.</v>
      </c>
      <c r="I919" s="144" t="str">
        <f>IF(Formulario!E927&lt;&gt;"",IF(Formulario!E927=" "," ",Formulario!E927),IF(G919=".",".","Falta Propietario"))</f>
        <v>.</v>
      </c>
      <c r="J919" s="144" t="str">
        <f>IF(Formulario!F927&lt;&gt;"",IF(Formulario!F927=" "," ",Formulario!F927)," ")</f>
        <v xml:space="preserve"> </v>
      </c>
      <c r="K919" s="144" t="str">
        <f>IF(Formulario!G927&lt;&gt;"",IF(Formulario!G927=" "," ",Formulario!G927)," ")</f>
        <v xml:space="preserve"> </v>
      </c>
      <c r="L919" s="144" t="str">
        <f>IF(Formulario!H927&lt;&gt;"",IF(Formulario!H927=" "," ",Formulario!H927)," ")</f>
        <v xml:space="preserve"> </v>
      </c>
      <c r="M919" s="144" t="str">
        <f>IF(Formulario!I927&lt;&gt;"",IF(Formulario!I927=" "," ",Formulario!I927)," ")</f>
        <v xml:space="preserve"> </v>
      </c>
      <c r="N919" s="145" t="str">
        <f>IF(Formulario!J927&lt;&gt;"",IF(Formulario!J927=" "," ",Formulario!J927),IF(G919=".",".","Falta Fecha"))</f>
        <v>.</v>
      </c>
      <c r="O919" s="155">
        <f>Formulario!L927</f>
        <v>0</v>
      </c>
      <c r="P919" s="146">
        <f>IF(O919=1,"09:00",Formulario!M927)</f>
        <v>0</v>
      </c>
      <c r="Q919" s="146">
        <f>IF(O919=1,"18:30",Formulario!N927)</f>
        <v>0</v>
      </c>
      <c r="R919" s="146" t="str">
        <f>IF(Formulario!O927&lt;&gt;"",IF(Formulario!O927=" ",".",Formulario!O927),".")</f>
        <v>.</v>
      </c>
      <c r="S919" s="141" t="s">
        <v>131</v>
      </c>
    </row>
    <row r="920" spans="1:19">
      <c r="A920" s="141">
        <f>Formulario!B928</f>
        <v>0</v>
      </c>
      <c r="B920" s="144" t="str">
        <f>IF(G920="."," ",Formulario!D$5)</f>
        <v xml:space="preserve"> </v>
      </c>
      <c r="C920" s="144" t="str">
        <f>IF(G920=".","",Formulario!D$6)</f>
        <v/>
      </c>
      <c r="D920" s="144" t="str">
        <f>IF(H920=".","",Formulario!D$7)</f>
        <v/>
      </c>
      <c r="E920" s="144" t="str">
        <f>IF(G920=".","",Formulario!J$5)</f>
        <v/>
      </c>
      <c r="F920" s="145" t="str">
        <f>IF(G920=".","",Formulario!J$6)</f>
        <v/>
      </c>
      <c r="G920" s="180" t="str">
        <f>IF(Formulario!C928&lt;&gt;"",IF(Formulario!C928=" ","Falta Depto",IF(H920=".","Error En Descripción",Formulario!C928)),IF(H920=".",".","Falta Datos"))</f>
        <v>.</v>
      </c>
      <c r="H920" s="144" t="str">
        <f>IF(Formulario!D928&lt;&gt;"",IF(Formulario!D928=" ",".",Formulario!D928),".")</f>
        <v>.</v>
      </c>
      <c r="I920" s="144" t="str">
        <f>IF(Formulario!E928&lt;&gt;"",IF(Formulario!E928=" "," ",Formulario!E928),IF(G920=".",".","Falta Propietario"))</f>
        <v>.</v>
      </c>
      <c r="J920" s="144" t="str">
        <f>IF(Formulario!F928&lt;&gt;"",IF(Formulario!F928=" "," ",Formulario!F928)," ")</f>
        <v xml:space="preserve"> </v>
      </c>
      <c r="K920" s="144" t="str">
        <f>IF(Formulario!G928&lt;&gt;"",IF(Formulario!G928=" "," ",Formulario!G928)," ")</f>
        <v xml:space="preserve"> </v>
      </c>
      <c r="L920" s="144" t="str">
        <f>IF(Formulario!H928&lt;&gt;"",IF(Formulario!H928=" "," ",Formulario!H928)," ")</f>
        <v xml:space="preserve"> </v>
      </c>
      <c r="M920" s="144" t="str">
        <f>IF(Formulario!I928&lt;&gt;"",IF(Formulario!I928=" "," ",Formulario!I928)," ")</f>
        <v xml:space="preserve"> </v>
      </c>
      <c r="N920" s="145" t="str">
        <f>IF(Formulario!J928&lt;&gt;"",IF(Formulario!J928=" "," ",Formulario!J928),IF(G920=".",".","Falta Fecha"))</f>
        <v>.</v>
      </c>
      <c r="O920" s="155">
        <f>Formulario!L928</f>
        <v>0</v>
      </c>
      <c r="P920" s="146">
        <f>IF(O920=1,"09:00",Formulario!M928)</f>
        <v>0</v>
      </c>
      <c r="Q920" s="146">
        <f>IF(O920=1,"18:30",Formulario!N928)</f>
        <v>0</v>
      </c>
      <c r="R920" s="146" t="str">
        <f>IF(Formulario!O928&lt;&gt;"",IF(Formulario!O928=" ",".",Formulario!O928),".")</f>
        <v>.</v>
      </c>
      <c r="S920" s="141" t="s">
        <v>131</v>
      </c>
    </row>
    <row r="921" spans="1:19">
      <c r="A921" s="141">
        <f>Formulario!B929</f>
        <v>0</v>
      </c>
      <c r="B921" s="144" t="str">
        <f>IF(G921="."," ",Formulario!D$5)</f>
        <v xml:space="preserve"> </v>
      </c>
      <c r="C921" s="144" t="str">
        <f>IF(G921=".","",Formulario!D$6)</f>
        <v/>
      </c>
      <c r="D921" s="144" t="str">
        <f>IF(H921=".","",Formulario!D$7)</f>
        <v/>
      </c>
      <c r="E921" s="144" t="str">
        <f>IF(G921=".","",Formulario!J$5)</f>
        <v/>
      </c>
      <c r="F921" s="145" t="str">
        <f>IF(G921=".","",Formulario!J$6)</f>
        <v/>
      </c>
      <c r="G921" s="180" t="str">
        <f>IF(Formulario!C929&lt;&gt;"",IF(Formulario!C929=" ","Falta Depto",IF(H921=".","Error En Descripción",Formulario!C929)),IF(H921=".",".","Falta Datos"))</f>
        <v>.</v>
      </c>
      <c r="H921" s="144" t="str">
        <f>IF(Formulario!D929&lt;&gt;"",IF(Formulario!D929=" ",".",Formulario!D929),".")</f>
        <v>.</v>
      </c>
      <c r="I921" s="144" t="str">
        <f>IF(Formulario!E929&lt;&gt;"",IF(Formulario!E929=" "," ",Formulario!E929),IF(G921=".",".","Falta Propietario"))</f>
        <v>.</v>
      </c>
      <c r="J921" s="144" t="str">
        <f>IF(Formulario!F929&lt;&gt;"",IF(Formulario!F929=" "," ",Formulario!F929)," ")</f>
        <v xml:space="preserve"> </v>
      </c>
      <c r="K921" s="144" t="str">
        <f>IF(Formulario!G929&lt;&gt;"",IF(Formulario!G929=" "," ",Formulario!G929)," ")</f>
        <v xml:space="preserve"> </v>
      </c>
      <c r="L921" s="144" t="str">
        <f>IF(Formulario!H929&lt;&gt;"",IF(Formulario!H929=" "," ",Formulario!H929)," ")</f>
        <v xml:space="preserve"> </v>
      </c>
      <c r="M921" s="144" t="str">
        <f>IF(Formulario!I929&lt;&gt;"",IF(Formulario!I929=" "," ",Formulario!I929)," ")</f>
        <v xml:space="preserve"> </v>
      </c>
      <c r="N921" s="145" t="str">
        <f>IF(Formulario!J929&lt;&gt;"",IF(Formulario!J929=" "," ",Formulario!J929),IF(G921=".",".","Falta Fecha"))</f>
        <v>.</v>
      </c>
      <c r="O921" s="155">
        <f>Formulario!L929</f>
        <v>0</v>
      </c>
      <c r="P921" s="146">
        <f>IF(O921=1,"09:00",Formulario!M929)</f>
        <v>0</v>
      </c>
      <c r="Q921" s="146">
        <f>IF(O921=1,"18:30",Formulario!N929)</f>
        <v>0</v>
      </c>
      <c r="R921" s="146" t="str">
        <f>IF(Formulario!O929&lt;&gt;"",IF(Formulario!O929=" ",".",Formulario!O929),".")</f>
        <v>.</v>
      </c>
      <c r="S921" s="141" t="s">
        <v>131</v>
      </c>
    </row>
    <row r="922" spans="1:19">
      <c r="A922" s="141">
        <f>Formulario!B930</f>
        <v>0</v>
      </c>
      <c r="B922" s="144" t="str">
        <f>IF(G922="."," ",Formulario!D$5)</f>
        <v xml:space="preserve"> </v>
      </c>
      <c r="C922" s="144" t="str">
        <f>IF(G922=".","",Formulario!D$6)</f>
        <v/>
      </c>
      <c r="D922" s="144" t="str">
        <f>IF(H922=".","",Formulario!D$7)</f>
        <v/>
      </c>
      <c r="E922" s="144" t="str">
        <f>IF(G922=".","",Formulario!J$5)</f>
        <v/>
      </c>
      <c r="F922" s="145" t="str">
        <f>IF(G922=".","",Formulario!J$6)</f>
        <v/>
      </c>
      <c r="G922" s="180" t="str">
        <f>IF(Formulario!C930&lt;&gt;"",IF(Formulario!C930=" ","Falta Depto",IF(H922=".","Error En Descripción",Formulario!C930)),IF(H922=".",".","Falta Datos"))</f>
        <v>.</v>
      </c>
      <c r="H922" s="144" t="str">
        <f>IF(Formulario!D930&lt;&gt;"",IF(Formulario!D930=" ",".",Formulario!D930),".")</f>
        <v>.</v>
      </c>
      <c r="I922" s="144" t="str">
        <f>IF(Formulario!E930&lt;&gt;"",IF(Formulario!E930=" "," ",Formulario!E930),IF(G922=".",".","Falta Propietario"))</f>
        <v>.</v>
      </c>
      <c r="J922" s="144" t="str">
        <f>IF(Formulario!F930&lt;&gt;"",IF(Formulario!F930=" "," ",Formulario!F930)," ")</f>
        <v xml:space="preserve"> </v>
      </c>
      <c r="K922" s="144" t="str">
        <f>IF(Formulario!G930&lt;&gt;"",IF(Formulario!G930=" "," ",Formulario!G930)," ")</f>
        <v xml:space="preserve"> </v>
      </c>
      <c r="L922" s="144" t="str">
        <f>IF(Formulario!H930&lt;&gt;"",IF(Formulario!H930=" "," ",Formulario!H930)," ")</f>
        <v xml:space="preserve"> </v>
      </c>
      <c r="M922" s="144" t="str">
        <f>IF(Formulario!I930&lt;&gt;"",IF(Formulario!I930=" "," ",Formulario!I930)," ")</f>
        <v xml:space="preserve"> </v>
      </c>
      <c r="N922" s="145" t="str">
        <f>IF(Formulario!J930&lt;&gt;"",IF(Formulario!J930=" "," ",Formulario!J930),IF(G922=".",".","Falta Fecha"))</f>
        <v>.</v>
      </c>
      <c r="O922" s="155">
        <f>Formulario!L930</f>
        <v>0</v>
      </c>
      <c r="P922" s="146">
        <f>IF(O922=1,"09:00",Formulario!M930)</f>
        <v>0</v>
      </c>
      <c r="Q922" s="146">
        <f>IF(O922=1,"18:30",Formulario!N930)</f>
        <v>0</v>
      </c>
      <c r="R922" s="146" t="str">
        <f>IF(Formulario!O930&lt;&gt;"",IF(Formulario!O930=" ",".",Formulario!O930),".")</f>
        <v>.</v>
      </c>
      <c r="S922" s="141" t="s">
        <v>131</v>
      </c>
    </row>
    <row r="923" spans="1:19">
      <c r="A923" s="141">
        <f>Formulario!B931</f>
        <v>0</v>
      </c>
      <c r="B923" s="144" t="str">
        <f>IF(G923="."," ",Formulario!D$5)</f>
        <v xml:space="preserve"> </v>
      </c>
      <c r="C923" s="144" t="str">
        <f>IF(G923=".","",Formulario!D$6)</f>
        <v/>
      </c>
      <c r="D923" s="144" t="str">
        <f>IF(H923=".","",Formulario!D$7)</f>
        <v/>
      </c>
      <c r="E923" s="144" t="str">
        <f>IF(G923=".","",Formulario!J$5)</f>
        <v/>
      </c>
      <c r="F923" s="145" t="str">
        <f>IF(G923=".","",Formulario!J$6)</f>
        <v/>
      </c>
      <c r="G923" s="180" t="str">
        <f>IF(Formulario!C931&lt;&gt;"",IF(Formulario!C931=" ","Falta Depto",IF(H923=".","Error En Descripción",Formulario!C931)),IF(H923=".",".","Falta Datos"))</f>
        <v>.</v>
      </c>
      <c r="H923" s="144" t="str">
        <f>IF(Formulario!D931&lt;&gt;"",IF(Formulario!D931=" ",".",Formulario!D931),".")</f>
        <v>.</v>
      </c>
      <c r="I923" s="144" t="str">
        <f>IF(Formulario!E931&lt;&gt;"",IF(Formulario!E931=" "," ",Formulario!E931),IF(G923=".",".","Falta Propietario"))</f>
        <v>.</v>
      </c>
      <c r="J923" s="144" t="str">
        <f>IF(Formulario!F931&lt;&gt;"",IF(Formulario!F931=" "," ",Formulario!F931)," ")</f>
        <v xml:space="preserve"> </v>
      </c>
      <c r="K923" s="144" t="str">
        <f>IF(Formulario!G931&lt;&gt;"",IF(Formulario!G931=" "," ",Formulario!G931)," ")</f>
        <v xml:space="preserve"> </v>
      </c>
      <c r="L923" s="144" t="str">
        <f>IF(Formulario!H931&lt;&gt;"",IF(Formulario!H931=" "," ",Formulario!H931)," ")</f>
        <v xml:space="preserve"> </v>
      </c>
      <c r="M923" s="144" t="str">
        <f>IF(Formulario!I931&lt;&gt;"",IF(Formulario!I931=" "," ",Formulario!I931)," ")</f>
        <v xml:space="preserve"> </v>
      </c>
      <c r="N923" s="145" t="str">
        <f>IF(Formulario!J931&lt;&gt;"",IF(Formulario!J931=" "," ",Formulario!J931),IF(G923=".",".","Falta Fecha"))</f>
        <v>.</v>
      </c>
      <c r="O923" s="155">
        <f>Formulario!L931</f>
        <v>0</v>
      </c>
      <c r="P923" s="146">
        <f>IF(O923=1,"09:00",Formulario!M931)</f>
        <v>0</v>
      </c>
      <c r="Q923" s="146">
        <f>IF(O923=1,"18:30",Formulario!N931)</f>
        <v>0</v>
      </c>
      <c r="R923" s="146" t="str">
        <f>IF(Formulario!O931&lt;&gt;"",IF(Formulario!O931=" ",".",Formulario!O931),".")</f>
        <v>.</v>
      </c>
      <c r="S923" s="141" t="s">
        <v>131</v>
      </c>
    </row>
    <row r="924" spans="1:19">
      <c r="A924" s="141">
        <f>Formulario!B932</f>
        <v>0</v>
      </c>
      <c r="B924" s="144" t="str">
        <f>IF(G924="."," ",Formulario!D$5)</f>
        <v xml:space="preserve"> </v>
      </c>
      <c r="C924" s="144" t="str">
        <f>IF(G924=".","",Formulario!D$6)</f>
        <v/>
      </c>
      <c r="D924" s="144" t="str">
        <f>IF(H924=".","",Formulario!D$7)</f>
        <v/>
      </c>
      <c r="E924" s="144" t="str">
        <f>IF(G924=".","",Formulario!J$5)</f>
        <v/>
      </c>
      <c r="F924" s="145" t="str">
        <f>IF(G924=".","",Formulario!J$6)</f>
        <v/>
      </c>
      <c r="G924" s="180" t="str">
        <f>IF(Formulario!C932&lt;&gt;"",IF(Formulario!C932=" ","Falta Depto",IF(H924=".","Error En Descripción",Formulario!C932)),IF(H924=".",".","Falta Datos"))</f>
        <v>.</v>
      </c>
      <c r="H924" s="144" t="str">
        <f>IF(Formulario!D932&lt;&gt;"",IF(Formulario!D932=" ",".",Formulario!D932),".")</f>
        <v>.</v>
      </c>
      <c r="I924" s="144" t="str">
        <f>IF(Formulario!E932&lt;&gt;"",IF(Formulario!E932=" "," ",Formulario!E932),IF(G924=".",".","Falta Propietario"))</f>
        <v>.</v>
      </c>
      <c r="J924" s="144" t="str">
        <f>IF(Formulario!F932&lt;&gt;"",IF(Formulario!F932=" "," ",Formulario!F932)," ")</f>
        <v xml:space="preserve"> </v>
      </c>
      <c r="K924" s="144" t="str">
        <f>IF(Formulario!G932&lt;&gt;"",IF(Formulario!G932=" "," ",Formulario!G932)," ")</f>
        <v xml:space="preserve"> </v>
      </c>
      <c r="L924" s="144" t="str">
        <f>IF(Formulario!H932&lt;&gt;"",IF(Formulario!H932=" "," ",Formulario!H932)," ")</f>
        <v xml:space="preserve"> </v>
      </c>
      <c r="M924" s="144" t="str">
        <f>IF(Formulario!I932&lt;&gt;"",IF(Formulario!I932=" "," ",Formulario!I932)," ")</f>
        <v xml:space="preserve"> </v>
      </c>
      <c r="N924" s="145" t="str">
        <f>IF(Formulario!J932&lt;&gt;"",IF(Formulario!J932=" "," ",Formulario!J932),IF(G924=".",".","Falta Fecha"))</f>
        <v>.</v>
      </c>
      <c r="O924" s="155">
        <f>Formulario!L932</f>
        <v>0</v>
      </c>
      <c r="P924" s="146">
        <f>IF(O924=1,"09:00",Formulario!M932)</f>
        <v>0</v>
      </c>
      <c r="Q924" s="146">
        <f>IF(O924=1,"18:30",Formulario!N932)</f>
        <v>0</v>
      </c>
      <c r="R924" s="146" t="str">
        <f>IF(Formulario!O932&lt;&gt;"",IF(Formulario!O932=" ",".",Formulario!O932),".")</f>
        <v>.</v>
      </c>
      <c r="S924" s="141" t="s">
        <v>131</v>
      </c>
    </row>
    <row r="925" spans="1:19">
      <c r="A925" s="141">
        <f>Formulario!B933</f>
        <v>0</v>
      </c>
      <c r="B925" s="144" t="str">
        <f>IF(G925="."," ",Formulario!D$5)</f>
        <v xml:space="preserve"> </v>
      </c>
      <c r="C925" s="144" t="str">
        <f>IF(G925=".","",Formulario!D$6)</f>
        <v/>
      </c>
      <c r="D925" s="144" t="str">
        <f>IF(H925=".","",Formulario!D$7)</f>
        <v/>
      </c>
      <c r="E925" s="144" t="str">
        <f>IF(G925=".","",Formulario!J$5)</f>
        <v/>
      </c>
      <c r="F925" s="145" t="str">
        <f>IF(G925=".","",Formulario!J$6)</f>
        <v/>
      </c>
      <c r="G925" s="180" t="str">
        <f>IF(Formulario!C933&lt;&gt;"",IF(Formulario!C933=" ","Falta Depto",IF(H925=".","Error En Descripción",Formulario!C933)),IF(H925=".",".","Falta Datos"))</f>
        <v>.</v>
      </c>
      <c r="H925" s="144" t="str">
        <f>IF(Formulario!D933&lt;&gt;"",IF(Formulario!D933=" ",".",Formulario!D933),".")</f>
        <v>.</v>
      </c>
      <c r="I925" s="144" t="str">
        <f>IF(Formulario!E933&lt;&gt;"",IF(Formulario!E933=" "," ",Formulario!E933),IF(G925=".",".","Falta Propietario"))</f>
        <v>.</v>
      </c>
      <c r="J925" s="144" t="str">
        <f>IF(Formulario!F933&lt;&gt;"",IF(Formulario!F933=" "," ",Formulario!F933)," ")</f>
        <v xml:space="preserve"> </v>
      </c>
      <c r="K925" s="144" t="str">
        <f>IF(Formulario!G933&lt;&gt;"",IF(Formulario!G933=" "," ",Formulario!G933)," ")</f>
        <v xml:space="preserve"> </v>
      </c>
      <c r="L925" s="144" t="str">
        <f>IF(Formulario!H933&lt;&gt;"",IF(Formulario!H933=" "," ",Formulario!H933)," ")</f>
        <v xml:space="preserve"> </v>
      </c>
      <c r="M925" s="144" t="str">
        <f>IF(Formulario!I933&lt;&gt;"",IF(Formulario!I933=" "," ",Formulario!I933)," ")</f>
        <v xml:space="preserve"> </v>
      </c>
      <c r="N925" s="145" t="str">
        <f>IF(Formulario!J933&lt;&gt;"",IF(Formulario!J933=" "," ",Formulario!J933),IF(G925=".",".","Falta Fecha"))</f>
        <v>.</v>
      </c>
      <c r="O925" s="155">
        <f>Formulario!L933</f>
        <v>0</v>
      </c>
      <c r="P925" s="146">
        <f>IF(O925=1,"09:00",Formulario!M933)</f>
        <v>0</v>
      </c>
      <c r="Q925" s="146">
        <f>IF(O925=1,"18:30",Formulario!N933)</f>
        <v>0</v>
      </c>
      <c r="R925" s="146" t="str">
        <f>IF(Formulario!O933&lt;&gt;"",IF(Formulario!O933=" ",".",Formulario!O933),".")</f>
        <v>.</v>
      </c>
      <c r="S925" s="141" t="s">
        <v>131</v>
      </c>
    </row>
    <row r="926" spans="1:19">
      <c r="A926" s="141">
        <f>Formulario!B934</f>
        <v>0</v>
      </c>
      <c r="B926" s="144" t="str">
        <f>IF(G926="."," ",Formulario!D$5)</f>
        <v xml:space="preserve"> </v>
      </c>
      <c r="C926" s="144" t="str">
        <f>IF(G926=".","",Formulario!D$6)</f>
        <v/>
      </c>
      <c r="D926" s="144" t="str">
        <f>IF(H926=".","",Formulario!D$7)</f>
        <v/>
      </c>
      <c r="E926" s="144" t="str">
        <f>IF(G926=".","",Formulario!J$5)</f>
        <v/>
      </c>
      <c r="F926" s="145" t="str">
        <f>IF(G926=".","",Formulario!J$6)</f>
        <v/>
      </c>
      <c r="G926" s="180" t="str">
        <f>IF(Formulario!C934&lt;&gt;"",IF(Formulario!C934=" ","Falta Depto",IF(H926=".","Error En Descripción",Formulario!C934)),IF(H926=".",".","Falta Datos"))</f>
        <v>.</v>
      </c>
      <c r="H926" s="144" t="str">
        <f>IF(Formulario!D934&lt;&gt;"",IF(Formulario!D934=" ",".",Formulario!D934),".")</f>
        <v>.</v>
      </c>
      <c r="I926" s="144" t="str">
        <f>IF(Formulario!E934&lt;&gt;"",IF(Formulario!E934=" "," ",Formulario!E934),IF(G926=".",".","Falta Propietario"))</f>
        <v>.</v>
      </c>
      <c r="J926" s="144" t="str">
        <f>IF(Formulario!F934&lt;&gt;"",IF(Formulario!F934=" "," ",Formulario!F934)," ")</f>
        <v xml:space="preserve"> </v>
      </c>
      <c r="K926" s="144" t="str">
        <f>IF(Formulario!G934&lt;&gt;"",IF(Formulario!G934=" "," ",Formulario!G934)," ")</f>
        <v xml:space="preserve"> </v>
      </c>
      <c r="L926" s="144" t="str">
        <f>IF(Formulario!H934&lt;&gt;"",IF(Formulario!H934=" "," ",Formulario!H934)," ")</f>
        <v xml:space="preserve"> </v>
      </c>
      <c r="M926" s="144" t="str">
        <f>IF(Formulario!I934&lt;&gt;"",IF(Formulario!I934=" "," ",Formulario!I934)," ")</f>
        <v xml:space="preserve"> </v>
      </c>
      <c r="N926" s="145" t="str">
        <f>IF(Formulario!J934&lt;&gt;"",IF(Formulario!J934=" "," ",Formulario!J934),IF(G926=".",".","Falta Fecha"))</f>
        <v>.</v>
      </c>
      <c r="O926" s="155">
        <f>Formulario!L934</f>
        <v>0</v>
      </c>
      <c r="P926" s="146">
        <f>IF(O926=1,"09:00",Formulario!M934)</f>
        <v>0</v>
      </c>
      <c r="Q926" s="146">
        <f>IF(O926=1,"18:30",Formulario!N934)</f>
        <v>0</v>
      </c>
      <c r="R926" s="146" t="str">
        <f>IF(Formulario!O934&lt;&gt;"",IF(Formulario!O934=" ",".",Formulario!O934),".")</f>
        <v>.</v>
      </c>
      <c r="S926" s="141" t="s">
        <v>131</v>
      </c>
    </row>
    <row r="927" spans="1:19">
      <c r="A927" s="141">
        <f>Formulario!B935</f>
        <v>0</v>
      </c>
      <c r="B927" s="144" t="str">
        <f>IF(G927="."," ",Formulario!D$5)</f>
        <v xml:space="preserve"> </v>
      </c>
      <c r="C927" s="144" t="str">
        <f>IF(G927=".","",Formulario!D$6)</f>
        <v/>
      </c>
      <c r="D927" s="144" t="str">
        <f>IF(H927=".","",Formulario!D$7)</f>
        <v/>
      </c>
      <c r="E927" s="144" t="str">
        <f>IF(G927=".","",Formulario!J$5)</f>
        <v/>
      </c>
      <c r="F927" s="145" t="str">
        <f>IF(G927=".","",Formulario!J$6)</f>
        <v/>
      </c>
      <c r="G927" s="180" t="str">
        <f>IF(Formulario!C935&lt;&gt;"",IF(Formulario!C935=" ","Falta Depto",IF(H927=".","Error En Descripción",Formulario!C935)),IF(H927=".",".","Falta Datos"))</f>
        <v>.</v>
      </c>
      <c r="H927" s="144" t="str">
        <f>IF(Formulario!D935&lt;&gt;"",IF(Formulario!D935=" ",".",Formulario!D935),".")</f>
        <v>.</v>
      </c>
      <c r="I927" s="144" t="str">
        <f>IF(Formulario!E935&lt;&gt;"",IF(Formulario!E935=" "," ",Formulario!E935),IF(G927=".",".","Falta Propietario"))</f>
        <v>.</v>
      </c>
      <c r="J927" s="144" t="str">
        <f>IF(Formulario!F935&lt;&gt;"",IF(Formulario!F935=" "," ",Formulario!F935)," ")</f>
        <v xml:space="preserve"> </v>
      </c>
      <c r="K927" s="144" t="str">
        <f>IF(Formulario!G935&lt;&gt;"",IF(Formulario!G935=" "," ",Formulario!G935)," ")</f>
        <v xml:space="preserve"> </v>
      </c>
      <c r="L927" s="144" t="str">
        <f>IF(Formulario!H935&lt;&gt;"",IF(Formulario!H935=" "," ",Formulario!H935)," ")</f>
        <v xml:space="preserve"> </v>
      </c>
      <c r="M927" s="144" t="str">
        <f>IF(Formulario!I935&lt;&gt;"",IF(Formulario!I935=" "," ",Formulario!I935)," ")</f>
        <v xml:space="preserve"> </v>
      </c>
      <c r="N927" s="145" t="str">
        <f>IF(Formulario!J935&lt;&gt;"",IF(Formulario!J935=" "," ",Formulario!J935),IF(G927=".",".","Falta Fecha"))</f>
        <v>.</v>
      </c>
      <c r="O927" s="155">
        <f>Formulario!L935</f>
        <v>0</v>
      </c>
      <c r="P927" s="146">
        <f>IF(O927=1,"09:00",Formulario!M935)</f>
        <v>0</v>
      </c>
      <c r="Q927" s="146">
        <f>IF(O927=1,"18:30",Formulario!N935)</f>
        <v>0</v>
      </c>
      <c r="R927" s="146" t="str">
        <f>IF(Formulario!O935&lt;&gt;"",IF(Formulario!O935=" ",".",Formulario!O935),".")</f>
        <v>.</v>
      </c>
      <c r="S927" s="141" t="s">
        <v>131</v>
      </c>
    </row>
    <row r="928" spans="1:19">
      <c r="A928" s="141">
        <f>Formulario!B936</f>
        <v>0</v>
      </c>
      <c r="B928" s="144" t="str">
        <f>IF(G928="."," ",Formulario!D$5)</f>
        <v xml:space="preserve"> </v>
      </c>
      <c r="C928" s="144" t="str">
        <f>IF(G928=".","",Formulario!D$6)</f>
        <v/>
      </c>
      <c r="D928" s="144" t="str">
        <f>IF(H928=".","",Formulario!D$7)</f>
        <v/>
      </c>
      <c r="E928" s="144" t="str">
        <f>IF(G928=".","",Formulario!J$5)</f>
        <v/>
      </c>
      <c r="F928" s="145" t="str">
        <f>IF(G928=".","",Formulario!J$6)</f>
        <v/>
      </c>
      <c r="G928" s="180" t="str">
        <f>IF(Formulario!C936&lt;&gt;"",IF(Formulario!C936=" ","Falta Depto",IF(H928=".","Error En Descripción",Formulario!C936)),IF(H928=".",".","Falta Datos"))</f>
        <v>.</v>
      </c>
      <c r="H928" s="144" t="str">
        <f>IF(Formulario!D936&lt;&gt;"",IF(Formulario!D936=" ",".",Formulario!D936),".")</f>
        <v>.</v>
      </c>
      <c r="I928" s="144" t="str">
        <f>IF(Formulario!E936&lt;&gt;"",IF(Formulario!E936=" "," ",Formulario!E936),IF(G928=".",".","Falta Propietario"))</f>
        <v>.</v>
      </c>
      <c r="J928" s="144" t="str">
        <f>IF(Formulario!F936&lt;&gt;"",IF(Formulario!F936=" "," ",Formulario!F936)," ")</f>
        <v xml:space="preserve"> </v>
      </c>
      <c r="K928" s="144" t="str">
        <f>IF(Formulario!G936&lt;&gt;"",IF(Formulario!G936=" "," ",Formulario!G936)," ")</f>
        <v xml:space="preserve"> </v>
      </c>
      <c r="L928" s="144" t="str">
        <f>IF(Formulario!H936&lt;&gt;"",IF(Formulario!H936=" "," ",Formulario!H936)," ")</f>
        <v xml:space="preserve"> </v>
      </c>
      <c r="M928" s="144" t="str">
        <f>IF(Formulario!I936&lt;&gt;"",IF(Formulario!I936=" "," ",Formulario!I936)," ")</f>
        <v xml:space="preserve"> </v>
      </c>
      <c r="N928" s="145" t="str">
        <f>IF(Formulario!J936&lt;&gt;"",IF(Formulario!J936=" "," ",Formulario!J936),IF(G928=".",".","Falta Fecha"))</f>
        <v>.</v>
      </c>
      <c r="O928" s="155">
        <f>Formulario!L936</f>
        <v>0</v>
      </c>
      <c r="P928" s="146">
        <f>IF(O928=1,"09:00",Formulario!M936)</f>
        <v>0</v>
      </c>
      <c r="Q928" s="146">
        <f>IF(O928=1,"18:30",Formulario!N936)</f>
        <v>0</v>
      </c>
      <c r="R928" s="146" t="str">
        <f>IF(Formulario!O936&lt;&gt;"",IF(Formulario!O936=" ",".",Formulario!O936),".")</f>
        <v>.</v>
      </c>
      <c r="S928" s="141" t="s">
        <v>131</v>
      </c>
    </row>
    <row r="929" spans="1:19">
      <c r="A929" s="141">
        <f>Formulario!B937</f>
        <v>0</v>
      </c>
      <c r="B929" s="144" t="str">
        <f>IF(G929="."," ",Formulario!D$5)</f>
        <v xml:space="preserve"> </v>
      </c>
      <c r="C929" s="144" t="str">
        <f>IF(G929=".","",Formulario!D$6)</f>
        <v/>
      </c>
      <c r="D929" s="144" t="str">
        <f>IF(H929=".","",Formulario!D$7)</f>
        <v/>
      </c>
      <c r="E929" s="144" t="str">
        <f>IF(G929=".","",Formulario!J$5)</f>
        <v/>
      </c>
      <c r="F929" s="145" t="str">
        <f>IF(G929=".","",Formulario!J$6)</f>
        <v/>
      </c>
      <c r="G929" s="180" t="str">
        <f>IF(Formulario!C937&lt;&gt;"",IF(Formulario!C937=" ","Falta Depto",IF(H929=".","Error En Descripción",Formulario!C937)),IF(H929=".",".","Falta Datos"))</f>
        <v>.</v>
      </c>
      <c r="H929" s="144" t="str">
        <f>IF(Formulario!D937&lt;&gt;"",IF(Formulario!D937=" ",".",Formulario!D937),".")</f>
        <v>.</v>
      </c>
      <c r="I929" s="144" t="str">
        <f>IF(Formulario!E937&lt;&gt;"",IF(Formulario!E937=" "," ",Formulario!E937),IF(G929=".",".","Falta Propietario"))</f>
        <v>.</v>
      </c>
      <c r="J929" s="144" t="str">
        <f>IF(Formulario!F937&lt;&gt;"",IF(Formulario!F937=" "," ",Formulario!F937)," ")</f>
        <v xml:space="preserve"> </v>
      </c>
      <c r="K929" s="144" t="str">
        <f>IF(Formulario!G937&lt;&gt;"",IF(Formulario!G937=" "," ",Formulario!G937)," ")</f>
        <v xml:space="preserve"> </v>
      </c>
      <c r="L929" s="144" t="str">
        <f>IF(Formulario!H937&lt;&gt;"",IF(Formulario!H937=" "," ",Formulario!H937)," ")</f>
        <v xml:space="preserve"> </v>
      </c>
      <c r="M929" s="144" t="str">
        <f>IF(Formulario!I937&lt;&gt;"",IF(Formulario!I937=" "," ",Formulario!I937)," ")</f>
        <v xml:space="preserve"> </v>
      </c>
      <c r="N929" s="145" t="str">
        <f>IF(Formulario!J937&lt;&gt;"",IF(Formulario!J937=" "," ",Formulario!J937),IF(G929=".",".","Falta Fecha"))</f>
        <v>.</v>
      </c>
      <c r="O929" s="155">
        <f>Formulario!L937</f>
        <v>0</v>
      </c>
      <c r="P929" s="146">
        <f>IF(O929=1,"09:00",Formulario!M937)</f>
        <v>0</v>
      </c>
      <c r="Q929" s="146">
        <f>IF(O929=1,"18:30",Formulario!N937)</f>
        <v>0</v>
      </c>
      <c r="R929" s="146" t="str">
        <f>IF(Formulario!O937&lt;&gt;"",IF(Formulario!O937=" ",".",Formulario!O937),".")</f>
        <v>.</v>
      </c>
      <c r="S929" s="141" t="s">
        <v>131</v>
      </c>
    </row>
    <row r="930" spans="1:19">
      <c r="A930" s="141">
        <f>Formulario!B938</f>
        <v>0</v>
      </c>
      <c r="B930" s="144" t="str">
        <f>IF(G930="."," ",Formulario!D$5)</f>
        <v xml:space="preserve"> </v>
      </c>
      <c r="C930" s="144" t="str">
        <f>IF(G930=".","",Formulario!D$6)</f>
        <v/>
      </c>
      <c r="D930" s="144" t="str">
        <f>IF(H930=".","",Formulario!D$7)</f>
        <v/>
      </c>
      <c r="E930" s="144" t="str">
        <f>IF(G930=".","",Formulario!J$5)</f>
        <v/>
      </c>
      <c r="F930" s="145" t="str">
        <f>IF(G930=".","",Formulario!J$6)</f>
        <v/>
      </c>
      <c r="G930" s="180" t="str">
        <f>IF(Formulario!C938&lt;&gt;"",IF(Formulario!C938=" ","Falta Depto",IF(H930=".","Error En Descripción",Formulario!C938)),IF(H930=".",".","Falta Datos"))</f>
        <v>.</v>
      </c>
      <c r="H930" s="144" t="str">
        <f>IF(Formulario!D938&lt;&gt;"",IF(Formulario!D938=" ",".",Formulario!D938),".")</f>
        <v>.</v>
      </c>
      <c r="I930" s="144" t="str">
        <f>IF(Formulario!E938&lt;&gt;"",IF(Formulario!E938=" "," ",Formulario!E938),IF(G930=".",".","Falta Propietario"))</f>
        <v>.</v>
      </c>
      <c r="J930" s="144" t="str">
        <f>IF(Formulario!F938&lt;&gt;"",IF(Formulario!F938=" "," ",Formulario!F938)," ")</f>
        <v xml:space="preserve"> </v>
      </c>
      <c r="K930" s="144" t="str">
        <f>IF(Formulario!G938&lt;&gt;"",IF(Formulario!G938=" "," ",Formulario!G938)," ")</f>
        <v xml:space="preserve"> </v>
      </c>
      <c r="L930" s="144" t="str">
        <f>IF(Formulario!H938&lt;&gt;"",IF(Formulario!H938=" "," ",Formulario!H938)," ")</f>
        <v xml:space="preserve"> </v>
      </c>
      <c r="M930" s="144" t="str">
        <f>IF(Formulario!I938&lt;&gt;"",IF(Formulario!I938=" "," ",Formulario!I938)," ")</f>
        <v xml:space="preserve"> </v>
      </c>
      <c r="N930" s="145" t="str">
        <f>IF(Formulario!J938&lt;&gt;"",IF(Formulario!J938=" "," ",Formulario!J938),IF(G930=".",".","Falta Fecha"))</f>
        <v>.</v>
      </c>
      <c r="O930" s="155">
        <f>Formulario!L938</f>
        <v>0</v>
      </c>
      <c r="P930" s="146">
        <f>IF(O930=1,"09:00",Formulario!M938)</f>
        <v>0</v>
      </c>
      <c r="Q930" s="146">
        <f>IF(O930=1,"18:30",Formulario!N938)</f>
        <v>0</v>
      </c>
      <c r="R930" s="146" t="str">
        <f>IF(Formulario!O938&lt;&gt;"",IF(Formulario!O938=" ",".",Formulario!O938),".")</f>
        <v>.</v>
      </c>
      <c r="S930" s="141" t="s">
        <v>131</v>
      </c>
    </row>
    <row r="931" spans="1:19">
      <c r="A931" s="141">
        <f>Formulario!B939</f>
        <v>0</v>
      </c>
      <c r="B931" s="144" t="str">
        <f>IF(G931="."," ",Formulario!D$5)</f>
        <v xml:space="preserve"> </v>
      </c>
      <c r="C931" s="144" t="str">
        <f>IF(G931=".","",Formulario!D$6)</f>
        <v/>
      </c>
      <c r="D931" s="144" t="str">
        <f>IF(H931=".","",Formulario!D$7)</f>
        <v/>
      </c>
      <c r="E931" s="144" t="str">
        <f>IF(G931=".","",Formulario!J$5)</f>
        <v/>
      </c>
      <c r="F931" s="145" t="str">
        <f>IF(G931=".","",Formulario!J$6)</f>
        <v/>
      </c>
      <c r="G931" s="180" t="str">
        <f>IF(Formulario!C939&lt;&gt;"",IF(Formulario!C939=" ","Falta Depto",IF(H931=".","Error En Descripción",Formulario!C939)),IF(H931=".",".","Falta Datos"))</f>
        <v>.</v>
      </c>
      <c r="H931" s="144" t="str">
        <f>IF(Formulario!D939&lt;&gt;"",IF(Formulario!D939=" ",".",Formulario!D939),".")</f>
        <v>.</v>
      </c>
      <c r="I931" s="144" t="str">
        <f>IF(Formulario!E939&lt;&gt;"",IF(Formulario!E939=" "," ",Formulario!E939),IF(G931=".",".","Falta Propietario"))</f>
        <v>.</v>
      </c>
      <c r="J931" s="144" t="str">
        <f>IF(Formulario!F939&lt;&gt;"",IF(Formulario!F939=" "," ",Formulario!F939)," ")</f>
        <v xml:space="preserve"> </v>
      </c>
      <c r="K931" s="144" t="str">
        <f>IF(Formulario!G939&lt;&gt;"",IF(Formulario!G939=" "," ",Formulario!G939)," ")</f>
        <v xml:space="preserve"> </v>
      </c>
      <c r="L931" s="144" t="str">
        <f>IF(Formulario!H939&lt;&gt;"",IF(Formulario!H939=" "," ",Formulario!H939)," ")</f>
        <v xml:space="preserve"> </v>
      </c>
      <c r="M931" s="144" t="str">
        <f>IF(Formulario!I939&lt;&gt;"",IF(Formulario!I939=" "," ",Formulario!I939)," ")</f>
        <v xml:space="preserve"> </v>
      </c>
      <c r="N931" s="145" t="str">
        <f>IF(Formulario!J939&lt;&gt;"",IF(Formulario!J939=" "," ",Formulario!J939),IF(G931=".",".","Falta Fecha"))</f>
        <v>.</v>
      </c>
      <c r="O931" s="155">
        <f>Formulario!L939</f>
        <v>0</v>
      </c>
      <c r="P931" s="146">
        <f>IF(O931=1,"09:00",Formulario!M939)</f>
        <v>0</v>
      </c>
      <c r="Q931" s="146">
        <f>IF(O931=1,"18:30",Formulario!N939)</f>
        <v>0</v>
      </c>
      <c r="R931" s="146" t="str">
        <f>IF(Formulario!O939&lt;&gt;"",IF(Formulario!O939=" ",".",Formulario!O939),".")</f>
        <v>.</v>
      </c>
      <c r="S931" s="141" t="s">
        <v>131</v>
      </c>
    </row>
    <row r="932" spans="1:19">
      <c r="A932" s="141">
        <f>Formulario!B940</f>
        <v>0</v>
      </c>
      <c r="B932" s="144" t="str">
        <f>IF(G932="."," ",Formulario!D$5)</f>
        <v xml:space="preserve"> </v>
      </c>
      <c r="C932" s="144" t="str">
        <f>IF(G932=".","",Formulario!D$6)</f>
        <v/>
      </c>
      <c r="D932" s="144" t="str">
        <f>IF(H932=".","",Formulario!D$7)</f>
        <v/>
      </c>
      <c r="E932" s="144" t="str">
        <f>IF(G932=".","",Formulario!J$5)</f>
        <v/>
      </c>
      <c r="F932" s="145" t="str">
        <f>IF(G932=".","",Formulario!J$6)</f>
        <v/>
      </c>
      <c r="G932" s="180" t="str">
        <f>IF(Formulario!C940&lt;&gt;"",IF(Formulario!C940=" ","Falta Depto",IF(H932=".","Error En Descripción",Formulario!C940)),IF(H932=".",".","Falta Datos"))</f>
        <v>.</v>
      </c>
      <c r="H932" s="144" t="str">
        <f>IF(Formulario!D940&lt;&gt;"",IF(Formulario!D940=" ",".",Formulario!D940),".")</f>
        <v>.</v>
      </c>
      <c r="I932" s="144" t="str">
        <f>IF(Formulario!E940&lt;&gt;"",IF(Formulario!E940=" "," ",Formulario!E940),IF(G932=".",".","Falta Propietario"))</f>
        <v>.</v>
      </c>
      <c r="J932" s="144" t="str">
        <f>IF(Formulario!F940&lt;&gt;"",IF(Formulario!F940=" "," ",Formulario!F940)," ")</f>
        <v xml:space="preserve"> </v>
      </c>
      <c r="K932" s="144" t="str">
        <f>IF(Formulario!G940&lt;&gt;"",IF(Formulario!G940=" "," ",Formulario!G940)," ")</f>
        <v xml:space="preserve"> </v>
      </c>
      <c r="L932" s="144" t="str">
        <f>IF(Formulario!H940&lt;&gt;"",IF(Formulario!H940=" "," ",Formulario!H940)," ")</f>
        <v xml:space="preserve"> </v>
      </c>
      <c r="M932" s="144" t="str">
        <f>IF(Formulario!I940&lt;&gt;"",IF(Formulario!I940=" "," ",Formulario!I940)," ")</f>
        <v xml:space="preserve"> </v>
      </c>
      <c r="N932" s="145" t="str">
        <f>IF(Formulario!J940&lt;&gt;"",IF(Formulario!J940=" "," ",Formulario!J940),IF(G932=".",".","Falta Fecha"))</f>
        <v>.</v>
      </c>
      <c r="O932" s="155">
        <f>Formulario!L940</f>
        <v>0</v>
      </c>
      <c r="P932" s="146">
        <f>IF(O932=1,"09:00",Formulario!M940)</f>
        <v>0</v>
      </c>
      <c r="Q932" s="146">
        <f>IF(O932=1,"18:30",Formulario!N940)</f>
        <v>0</v>
      </c>
      <c r="R932" s="146" t="str">
        <f>IF(Formulario!O940&lt;&gt;"",IF(Formulario!O940=" ",".",Formulario!O940),".")</f>
        <v>.</v>
      </c>
      <c r="S932" s="141" t="s">
        <v>131</v>
      </c>
    </row>
    <row r="933" spans="1:19">
      <c r="A933" s="141">
        <f>Formulario!B941</f>
        <v>0</v>
      </c>
      <c r="B933" s="144" t="str">
        <f>IF(G933="."," ",Formulario!D$5)</f>
        <v xml:space="preserve"> </v>
      </c>
      <c r="C933" s="144" t="str">
        <f>IF(G933=".","",Formulario!D$6)</f>
        <v/>
      </c>
      <c r="D933" s="144" t="str">
        <f>IF(H933=".","",Formulario!D$7)</f>
        <v/>
      </c>
      <c r="E933" s="144" t="str">
        <f>IF(G933=".","",Formulario!J$5)</f>
        <v/>
      </c>
      <c r="F933" s="145" t="str">
        <f>IF(G933=".","",Formulario!J$6)</f>
        <v/>
      </c>
      <c r="G933" s="180" t="str">
        <f>IF(Formulario!C941&lt;&gt;"",IF(Formulario!C941=" ","Falta Depto",IF(H933=".","Error En Descripción",Formulario!C941)),IF(H933=".",".","Falta Datos"))</f>
        <v>.</v>
      </c>
      <c r="H933" s="144" t="str">
        <f>IF(Formulario!D941&lt;&gt;"",IF(Formulario!D941=" ",".",Formulario!D941),".")</f>
        <v>.</v>
      </c>
      <c r="I933" s="144" t="str">
        <f>IF(Formulario!E941&lt;&gt;"",IF(Formulario!E941=" "," ",Formulario!E941),IF(G933=".",".","Falta Propietario"))</f>
        <v>.</v>
      </c>
      <c r="J933" s="144" t="str">
        <f>IF(Formulario!F941&lt;&gt;"",IF(Formulario!F941=" "," ",Formulario!F941)," ")</f>
        <v xml:space="preserve"> </v>
      </c>
      <c r="K933" s="144" t="str">
        <f>IF(Formulario!G941&lt;&gt;"",IF(Formulario!G941=" "," ",Formulario!G941)," ")</f>
        <v xml:space="preserve"> </v>
      </c>
      <c r="L933" s="144" t="str">
        <f>IF(Formulario!H941&lt;&gt;"",IF(Formulario!H941=" "," ",Formulario!H941)," ")</f>
        <v xml:space="preserve"> </v>
      </c>
      <c r="M933" s="144" t="str">
        <f>IF(Formulario!I941&lt;&gt;"",IF(Formulario!I941=" "," ",Formulario!I941)," ")</f>
        <v xml:space="preserve"> </v>
      </c>
      <c r="N933" s="145" t="str">
        <f>IF(Formulario!J941&lt;&gt;"",IF(Formulario!J941=" "," ",Formulario!J941),IF(G933=".",".","Falta Fecha"))</f>
        <v>.</v>
      </c>
      <c r="O933" s="155">
        <f>Formulario!L941</f>
        <v>0</v>
      </c>
      <c r="P933" s="146">
        <f>IF(O933=1,"09:00",Formulario!M941)</f>
        <v>0</v>
      </c>
      <c r="Q933" s="146">
        <f>IF(O933=1,"18:30",Formulario!N941)</f>
        <v>0</v>
      </c>
      <c r="R933" s="146" t="str">
        <f>IF(Formulario!O941&lt;&gt;"",IF(Formulario!O941=" ",".",Formulario!O941),".")</f>
        <v>.</v>
      </c>
      <c r="S933" s="141" t="s">
        <v>131</v>
      </c>
    </row>
    <row r="934" spans="1:19">
      <c r="A934" s="141">
        <f>Formulario!B942</f>
        <v>0</v>
      </c>
      <c r="B934" s="144" t="str">
        <f>IF(G934="."," ",Formulario!D$5)</f>
        <v xml:space="preserve"> </v>
      </c>
      <c r="C934" s="144" t="str">
        <f>IF(G934=".","",Formulario!D$6)</f>
        <v/>
      </c>
      <c r="D934" s="144" t="str">
        <f>IF(H934=".","",Formulario!D$7)</f>
        <v/>
      </c>
      <c r="E934" s="144" t="str">
        <f>IF(G934=".","",Formulario!J$5)</f>
        <v/>
      </c>
      <c r="F934" s="145" t="str">
        <f>IF(G934=".","",Formulario!J$6)</f>
        <v/>
      </c>
      <c r="G934" s="180" t="str">
        <f>IF(Formulario!C942&lt;&gt;"",IF(Formulario!C942=" ","Falta Depto",IF(H934=".","Error En Descripción",Formulario!C942)),IF(H934=".",".","Falta Datos"))</f>
        <v>.</v>
      </c>
      <c r="H934" s="144" t="str">
        <f>IF(Formulario!D942&lt;&gt;"",IF(Formulario!D942=" ",".",Formulario!D942),".")</f>
        <v>.</v>
      </c>
      <c r="I934" s="144" t="str">
        <f>IF(Formulario!E942&lt;&gt;"",IF(Formulario!E942=" "," ",Formulario!E942),IF(G934=".",".","Falta Propietario"))</f>
        <v>.</v>
      </c>
      <c r="J934" s="144" t="str">
        <f>IF(Formulario!F942&lt;&gt;"",IF(Formulario!F942=" "," ",Formulario!F942)," ")</f>
        <v xml:space="preserve"> </v>
      </c>
      <c r="K934" s="144" t="str">
        <f>IF(Formulario!G942&lt;&gt;"",IF(Formulario!G942=" "," ",Formulario!G942)," ")</f>
        <v xml:space="preserve"> </v>
      </c>
      <c r="L934" s="144" t="str">
        <f>IF(Formulario!H942&lt;&gt;"",IF(Formulario!H942=" "," ",Formulario!H942)," ")</f>
        <v xml:space="preserve"> </v>
      </c>
      <c r="M934" s="144" t="str">
        <f>IF(Formulario!I942&lt;&gt;"",IF(Formulario!I942=" "," ",Formulario!I942)," ")</f>
        <v xml:space="preserve"> </v>
      </c>
      <c r="N934" s="145" t="str">
        <f>IF(Formulario!J942&lt;&gt;"",IF(Formulario!J942=" "," ",Formulario!J942),IF(G934=".",".","Falta Fecha"))</f>
        <v>.</v>
      </c>
      <c r="O934" s="155">
        <f>Formulario!L942</f>
        <v>0</v>
      </c>
      <c r="P934" s="146">
        <f>IF(O934=1,"09:00",Formulario!M942)</f>
        <v>0</v>
      </c>
      <c r="Q934" s="146">
        <f>IF(O934=1,"18:30",Formulario!N942)</f>
        <v>0</v>
      </c>
      <c r="R934" s="146" t="str">
        <f>IF(Formulario!O942&lt;&gt;"",IF(Formulario!O942=" ",".",Formulario!O942),".")</f>
        <v>.</v>
      </c>
      <c r="S934" s="141" t="s">
        <v>131</v>
      </c>
    </row>
    <row r="935" spans="1:19">
      <c r="A935" s="141">
        <f>Formulario!B943</f>
        <v>0</v>
      </c>
      <c r="B935" s="144" t="str">
        <f>IF(G935="."," ",Formulario!D$5)</f>
        <v xml:space="preserve"> </v>
      </c>
      <c r="C935" s="144" t="str">
        <f>IF(G935=".","",Formulario!D$6)</f>
        <v/>
      </c>
      <c r="D935" s="144" t="str">
        <f>IF(H935=".","",Formulario!D$7)</f>
        <v/>
      </c>
      <c r="E935" s="144" t="str">
        <f>IF(G935=".","",Formulario!J$5)</f>
        <v/>
      </c>
      <c r="F935" s="145" t="str">
        <f>IF(G935=".","",Formulario!J$6)</f>
        <v/>
      </c>
      <c r="G935" s="180" t="str">
        <f>IF(Formulario!C943&lt;&gt;"",IF(Formulario!C943=" ","Falta Depto",IF(H935=".","Error En Descripción",Formulario!C943)),IF(H935=".",".","Falta Datos"))</f>
        <v>.</v>
      </c>
      <c r="H935" s="144" t="str">
        <f>IF(Formulario!D943&lt;&gt;"",IF(Formulario!D943=" ",".",Formulario!D943),".")</f>
        <v>.</v>
      </c>
      <c r="I935" s="144" t="str">
        <f>IF(Formulario!E943&lt;&gt;"",IF(Formulario!E943=" "," ",Formulario!E943),IF(G935=".",".","Falta Propietario"))</f>
        <v>.</v>
      </c>
      <c r="J935" s="144" t="str">
        <f>IF(Formulario!F943&lt;&gt;"",IF(Formulario!F943=" "," ",Formulario!F943)," ")</f>
        <v xml:space="preserve"> </v>
      </c>
      <c r="K935" s="144" t="str">
        <f>IF(Formulario!G943&lt;&gt;"",IF(Formulario!G943=" "," ",Formulario!G943)," ")</f>
        <v xml:space="preserve"> </v>
      </c>
      <c r="L935" s="144" t="str">
        <f>IF(Formulario!H943&lt;&gt;"",IF(Formulario!H943=" "," ",Formulario!H943)," ")</f>
        <v xml:space="preserve"> </v>
      </c>
      <c r="M935" s="144" t="str">
        <f>IF(Formulario!I943&lt;&gt;"",IF(Formulario!I943=" "," ",Formulario!I943)," ")</f>
        <v xml:space="preserve"> </v>
      </c>
      <c r="N935" s="145" t="str">
        <f>IF(Formulario!J943&lt;&gt;"",IF(Formulario!J943=" "," ",Formulario!J943),IF(G935=".",".","Falta Fecha"))</f>
        <v>.</v>
      </c>
      <c r="O935" s="155">
        <f>Formulario!L943</f>
        <v>0</v>
      </c>
      <c r="P935" s="146">
        <f>IF(O935=1,"09:00",Formulario!M943)</f>
        <v>0</v>
      </c>
      <c r="Q935" s="146">
        <f>IF(O935=1,"18:30",Formulario!N943)</f>
        <v>0</v>
      </c>
      <c r="R935" s="146" t="str">
        <f>IF(Formulario!O943&lt;&gt;"",IF(Formulario!O943=" ",".",Formulario!O943),".")</f>
        <v>.</v>
      </c>
      <c r="S935" s="141" t="s">
        <v>131</v>
      </c>
    </row>
    <row r="936" spans="1:19">
      <c r="A936" s="141">
        <f>Formulario!B944</f>
        <v>0</v>
      </c>
      <c r="B936" s="144" t="str">
        <f>IF(G936="."," ",Formulario!D$5)</f>
        <v xml:space="preserve"> </v>
      </c>
      <c r="C936" s="144" t="str">
        <f>IF(G936=".","",Formulario!D$6)</f>
        <v/>
      </c>
      <c r="D936" s="144" t="str">
        <f>IF(H936=".","",Formulario!D$7)</f>
        <v/>
      </c>
      <c r="E936" s="144" t="str">
        <f>IF(G936=".","",Formulario!J$5)</f>
        <v/>
      </c>
      <c r="F936" s="145" t="str">
        <f>IF(G936=".","",Formulario!J$6)</f>
        <v/>
      </c>
      <c r="G936" s="180" t="str">
        <f>IF(Formulario!C944&lt;&gt;"",IF(Formulario!C944=" ","Falta Depto",IF(H936=".","Error En Descripción",Formulario!C944)),IF(H936=".",".","Falta Datos"))</f>
        <v>.</v>
      </c>
      <c r="H936" s="144" t="str">
        <f>IF(Formulario!D944&lt;&gt;"",IF(Formulario!D944=" ",".",Formulario!D944),".")</f>
        <v>.</v>
      </c>
      <c r="I936" s="144" t="str">
        <f>IF(Formulario!E944&lt;&gt;"",IF(Formulario!E944=" "," ",Formulario!E944),IF(G936=".",".","Falta Propietario"))</f>
        <v>.</v>
      </c>
      <c r="J936" s="144" t="str">
        <f>IF(Formulario!F944&lt;&gt;"",IF(Formulario!F944=" "," ",Formulario!F944)," ")</f>
        <v xml:space="preserve"> </v>
      </c>
      <c r="K936" s="144" t="str">
        <f>IF(Formulario!G944&lt;&gt;"",IF(Formulario!G944=" "," ",Formulario!G944)," ")</f>
        <v xml:space="preserve"> </v>
      </c>
      <c r="L936" s="144" t="str">
        <f>IF(Formulario!H944&lt;&gt;"",IF(Formulario!H944=" "," ",Formulario!H944)," ")</f>
        <v xml:space="preserve"> </v>
      </c>
      <c r="M936" s="144" t="str">
        <f>IF(Formulario!I944&lt;&gt;"",IF(Formulario!I944=" "," ",Formulario!I944)," ")</f>
        <v xml:space="preserve"> </v>
      </c>
      <c r="N936" s="145" t="str">
        <f>IF(Formulario!J944&lt;&gt;"",IF(Formulario!J944=" "," ",Formulario!J944),IF(G936=".",".","Falta Fecha"))</f>
        <v>.</v>
      </c>
      <c r="O936" s="155">
        <f>Formulario!L944</f>
        <v>0</v>
      </c>
      <c r="P936" s="146">
        <f>IF(O936=1,"09:00",Formulario!M944)</f>
        <v>0</v>
      </c>
      <c r="Q936" s="146">
        <f>IF(O936=1,"18:30",Formulario!N944)</f>
        <v>0</v>
      </c>
      <c r="R936" s="146" t="str">
        <f>IF(Formulario!O944&lt;&gt;"",IF(Formulario!O944=" ",".",Formulario!O944),".")</f>
        <v>.</v>
      </c>
      <c r="S936" s="141" t="s">
        <v>131</v>
      </c>
    </row>
    <row r="937" spans="1:19">
      <c r="A937" s="141">
        <f>Formulario!B945</f>
        <v>0</v>
      </c>
      <c r="B937" s="144" t="str">
        <f>IF(G937="."," ",Formulario!D$5)</f>
        <v xml:space="preserve"> </v>
      </c>
      <c r="C937" s="144" t="str">
        <f>IF(G937=".","",Formulario!D$6)</f>
        <v/>
      </c>
      <c r="D937" s="144" t="str">
        <f>IF(H937=".","",Formulario!D$7)</f>
        <v/>
      </c>
      <c r="E937" s="144" t="str">
        <f>IF(G937=".","",Formulario!J$5)</f>
        <v/>
      </c>
      <c r="F937" s="145" t="str">
        <f>IF(G937=".","",Formulario!J$6)</f>
        <v/>
      </c>
      <c r="G937" s="180" t="str">
        <f>IF(Formulario!C945&lt;&gt;"",IF(Formulario!C945=" ","Falta Depto",IF(H937=".","Error En Descripción",Formulario!C945)),IF(H937=".",".","Falta Datos"))</f>
        <v>.</v>
      </c>
      <c r="H937" s="144" t="str">
        <f>IF(Formulario!D945&lt;&gt;"",IF(Formulario!D945=" ",".",Formulario!D945),".")</f>
        <v>.</v>
      </c>
      <c r="I937" s="144" t="str">
        <f>IF(Formulario!E945&lt;&gt;"",IF(Formulario!E945=" "," ",Formulario!E945),IF(G937=".",".","Falta Propietario"))</f>
        <v>.</v>
      </c>
      <c r="J937" s="144" t="str">
        <f>IF(Formulario!F945&lt;&gt;"",IF(Formulario!F945=" "," ",Formulario!F945)," ")</f>
        <v xml:space="preserve"> </v>
      </c>
      <c r="K937" s="144" t="str">
        <f>IF(Formulario!G945&lt;&gt;"",IF(Formulario!G945=" "," ",Formulario!G945)," ")</f>
        <v xml:space="preserve"> </v>
      </c>
      <c r="L937" s="144" t="str">
        <f>IF(Formulario!H945&lt;&gt;"",IF(Formulario!H945=" "," ",Formulario!H945)," ")</f>
        <v xml:space="preserve"> </v>
      </c>
      <c r="M937" s="144" t="str">
        <f>IF(Formulario!I945&lt;&gt;"",IF(Formulario!I945=" "," ",Formulario!I945)," ")</f>
        <v xml:space="preserve"> </v>
      </c>
      <c r="N937" s="145" t="str">
        <f>IF(Formulario!J945&lt;&gt;"",IF(Formulario!J945=" "," ",Formulario!J945),IF(G937=".",".","Falta Fecha"))</f>
        <v>.</v>
      </c>
      <c r="O937" s="155">
        <f>Formulario!L945</f>
        <v>0</v>
      </c>
      <c r="P937" s="146">
        <f>IF(O937=1,"09:00",Formulario!M945)</f>
        <v>0</v>
      </c>
      <c r="Q937" s="146">
        <f>IF(O937=1,"18:30",Formulario!N945)</f>
        <v>0</v>
      </c>
      <c r="R937" s="146" t="str">
        <f>IF(Formulario!O945&lt;&gt;"",IF(Formulario!O945=" ",".",Formulario!O945),".")</f>
        <v>.</v>
      </c>
      <c r="S937" s="141" t="s">
        <v>131</v>
      </c>
    </row>
    <row r="938" spans="1:19">
      <c r="A938" s="141">
        <f>Formulario!B946</f>
        <v>0</v>
      </c>
      <c r="B938" s="144" t="str">
        <f>IF(G938="."," ",Formulario!D$5)</f>
        <v xml:space="preserve"> </v>
      </c>
      <c r="C938" s="144" t="str">
        <f>IF(G938=".","",Formulario!D$6)</f>
        <v/>
      </c>
      <c r="D938" s="144" t="str">
        <f>IF(H938=".","",Formulario!D$7)</f>
        <v/>
      </c>
      <c r="E938" s="144" t="str">
        <f>IF(G938=".","",Formulario!J$5)</f>
        <v/>
      </c>
      <c r="F938" s="145" t="str">
        <f>IF(G938=".","",Formulario!J$6)</f>
        <v/>
      </c>
      <c r="G938" s="180" t="str">
        <f>IF(Formulario!C946&lt;&gt;"",IF(Formulario!C946=" ","Falta Depto",IF(H938=".","Error En Descripción",Formulario!C946)),IF(H938=".",".","Falta Datos"))</f>
        <v>.</v>
      </c>
      <c r="H938" s="144" t="str">
        <f>IF(Formulario!D946&lt;&gt;"",IF(Formulario!D946=" ",".",Formulario!D946),".")</f>
        <v>.</v>
      </c>
      <c r="I938" s="144" t="str">
        <f>IF(Formulario!E946&lt;&gt;"",IF(Formulario!E946=" "," ",Formulario!E946),IF(G938=".",".","Falta Propietario"))</f>
        <v>.</v>
      </c>
      <c r="J938" s="144" t="str">
        <f>IF(Formulario!F946&lt;&gt;"",IF(Formulario!F946=" "," ",Formulario!F946)," ")</f>
        <v xml:space="preserve"> </v>
      </c>
      <c r="K938" s="144" t="str">
        <f>IF(Formulario!G946&lt;&gt;"",IF(Formulario!G946=" "," ",Formulario!G946)," ")</f>
        <v xml:space="preserve"> </v>
      </c>
      <c r="L938" s="144" t="str">
        <f>IF(Formulario!H946&lt;&gt;"",IF(Formulario!H946=" "," ",Formulario!H946)," ")</f>
        <v xml:space="preserve"> </v>
      </c>
      <c r="M938" s="144" t="str">
        <f>IF(Formulario!I946&lt;&gt;"",IF(Formulario!I946=" "," ",Formulario!I946)," ")</f>
        <v xml:space="preserve"> </v>
      </c>
      <c r="N938" s="145" t="str">
        <f>IF(Formulario!J946&lt;&gt;"",IF(Formulario!J946=" "," ",Formulario!J946),IF(G938=".",".","Falta Fecha"))</f>
        <v>.</v>
      </c>
      <c r="O938" s="155">
        <f>Formulario!L946</f>
        <v>0</v>
      </c>
      <c r="P938" s="146">
        <f>IF(O938=1,"09:00",Formulario!M946)</f>
        <v>0</v>
      </c>
      <c r="Q938" s="146">
        <f>IF(O938=1,"18:30",Formulario!N946)</f>
        <v>0</v>
      </c>
      <c r="R938" s="146" t="str">
        <f>IF(Formulario!O946&lt;&gt;"",IF(Formulario!O946=" ",".",Formulario!O946),".")</f>
        <v>.</v>
      </c>
      <c r="S938" s="141" t="s">
        <v>131</v>
      </c>
    </row>
    <row r="939" spans="1:19">
      <c r="A939" s="141">
        <f>Formulario!B947</f>
        <v>0</v>
      </c>
      <c r="B939" s="144" t="str">
        <f>IF(G939="."," ",Formulario!D$5)</f>
        <v xml:space="preserve"> </v>
      </c>
      <c r="C939" s="144" t="str">
        <f>IF(G939=".","",Formulario!D$6)</f>
        <v/>
      </c>
      <c r="D939" s="144" t="str">
        <f>IF(H939=".","",Formulario!D$7)</f>
        <v/>
      </c>
      <c r="E939" s="144" t="str">
        <f>IF(G939=".","",Formulario!J$5)</f>
        <v/>
      </c>
      <c r="F939" s="145" t="str">
        <f>IF(G939=".","",Formulario!J$6)</f>
        <v/>
      </c>
      <c r="G939" s="180" t="str">
        <f>IF(Formulario!C947&lt;&gt;"",IF(Formulario!C947=" ","Falta Depto",IF(H939=".","Error En Descripción",Formulario!C947)),IF(H939=".",".","Falta Datos"))</f>
        <v>.</v>
      </c>
      <c r="H939" s="144" t="str">
        <f>IF(Formulario!D947&lt;&gt;"",IF(Formulario!D947=" ",".",Formulario!D947),".")</f>
        <v>.</v>
      </c>
      <c r="I939" s="144" t="str">
        <f>IF(Formulario!E947&lt;&gt;"",IF(Formulario!E947=" "," ",Formulario!E947),IF(G939=".",".","Falta Propietario"))</f>
        <v>.</v>
      </c>
      <c r="J939" s="144" t="str">
        <f>IF(Formulario!F947&lt;&gt;"",IF(Formulario!F947=" "," ",Formulario!F947)," ")</f>
        <v xml:space="preserve"> </v>
      </c>
      <c r="K939" s="144" t="str">
        <f>IF(Formulario!G947&lt;&gt;"",IF(Formulario!G947=" "," ",Formulario!G947)," ")</f>
        <v xml:space="preserve"> </v>
      </c>
      <c r="L939" s="144" t="str">
        <f>IF(Formulario!H947&lt;&gt;"",IF(Formulario!H947=" "," ",Formulario!H947)," ")</f>
        <v xml:space="preserve"> </v>
      </c>
      <c r="M939" s="144" t="str">
        <f>IF(Formulario!I947&lt;&gt;"",IF(Formulario!I947=" "," ",Formulario!I947)," ")</f>
        <v xml:space="preserve"> </v>
      </c>
      <c r="N939" s="145" t="str">
        <f>IF(Formulario!J947&lt;&gt;"",IF(Formulario!J947=" "," ",Formulario!J947),IF(G939=".",".","Falta Fecha"))</f>
        <v>.</v>
      </c>
      <c r="O939" s="155">
        <f>Formulario!L947</f>
        <v>0</v>
      </c>
      <c r="P939" s="146">
        <f>IF(O939=1,"09:00",Formulario!M947)</f>
        <v>0</v>
      </c>
      <c r="Q939" s="146">
        <f>IF(O939=1,"18:30",Formulario!N947)</f>
        <v>0</v>
      </c>
      <c r="R939" s="146" t="str">
        <f>IF(Formulario!O947&lt;&gt;"",IF(Formulario!O947=" ",".",Formulario!O947),".")</f>
        <v>.</v>
      </c>
      <c r="S939" s="141" t="s">
        <v>131</v>
      </c>
    </row>
    <row r="940" spans="1:19">
      <c r="A940" s="141">
        <f>Formulario!B948</f>
        <v>0</v>
      </c>
      <c r="B940" s="144" t="str">
        <f>IF(G940="."," ",Formulario!D$5)</f>
        <v xml:space="preserve"> </v>
      </c>
      <c r="C940" s="144" t="str">
        <f>IF(G940=".","",Formulario!D$6)</f>
        <v/>
      </c>
      <c r="D940" s="144" t="str">
        <f>IF(H940=".","",Formulario!D$7)</f>
        <v/>
      </c>
      <c r="E940" s="144" t="str">
        <f>IF(G940=".","",Formulario!J$5)</f>
        <v/>
      </c>
      <c r="F940" s="145" t="str">
        <f>IF(G940=".","",Formulario!J$6)</f>
        <v/>
      </c>
      <c r="G940" s="180" t="str">
        <f>IF(Formulario!C948&lt;&gt;"",IF(Formulario!C948=" ","Falta Depto",IF(H940=".","Error En Descripción",Formulario!C948)),IF(H940=".",".","Falta Datos"))</f>
        <v>.</v>
      </c>
      <c r="H940" s="144" t="str">
        <f>IF(Formulario!D948&lt;&gt;"",IF(Formulario!D948=" ",".",Formulario!D948),".")</f>
        <v>.</v>
      </c>
      <c r="I940" s="144" t="str">
        <f>IF(Formulario!E948&lt;&gt;"",IF(Formulario!E948=" "," ",Formulario!E948),IF(G940=".",".","Falta Propietario"))</f>
        <v>.</v>
      </c>
      <c r="J940" s="144" t="str">
        <f>IF(Formulario!F948&lt;&gt;"",IF(Formulario!F948=" "," ",Formulario!F948)," ")</f>
        <v xml:space="preserve"> </v>
      </c>
      <c r="K940" s="144" t="str">
        <f>IF(Formulario!G948&lt;&gt;"",IF(Formulario!G948=" "," ",Formulario!G948)," ")</f>
        <v xml:space="preserve"> </v>
      </c>
      <c r="L940" s="144" t="str">
        <f>IF(Formulario!H948&lt;&gt;"",IF(Formulario!H948=" "," ",Formulario!H948)," ")</f>
        <v xml:space="preserve"> </v>
      </c>
      <c r="M940" s="144" t="str">
        <f>IF(Formulario!I948&lt;&gt;"",IF(Formulario!I948=" "," ",Formulario!I948)," ")</f>
        <v xml:space="preserve"> </v>
      </c>
      <c r="N940" s="145" t="str">
        <f>IF(Formulario!J948&lt;&gt;"",IF(Formulario!J948=" "," ",Formulario!J948),IF(G940=".",".","Falta Fecha"))</f>
        <v>.</v>
      </c>
      <c r="O940" s="155">
        <f>Formulario!L948</f>
        <v>0</v>
      </c>
      <c r="P940" s="146">
        <f>IF(O940=1,"09:00",Formulario!M948)</f>
        <v>0</v>
      </c>
      <c r="Q940" s="146">
        <f>IF(O940=1,"18:30",Formulario!N948)</f>
        <v>0</v>
      </c>
      <c r="R940" s="146" t="str">
        <f>IF(Formulario!O948&lt;&gt;"",IF(Formulario!O948=" ",".",Formulario!O948),".")</f>
        <v>.</v>
      </c>
      <c r="S940" s="141" t="s">
        <v>131</v>
      </c>
    </row>
    <row r="941" spans="1:19">
      <c r="A941" s="141">
        <f>Formulario!B949</f>
        <v>0</v>
      </c>
      <c r="B941" s="144" t="str">
        <f>IF(G941="."," ",Formulario!D$5)</f>
        <v xml:space="preserve"> </v>
      </c>
      <c r="C941" s="144" t="str">
        <f>IF(G941=".","",Formulario!D$6)</f>
        <v/>
      </c>
      <c r="D941" s="144" t="str">
        <f>IF(H941=".","",Formulario!D$7)</f>
        <v/>
      </c>
      <c r="E941" s="144" t="str">
        <f>IF(G941=".","",Formulario!J$5)</f>
        <v/>
      </c>
      <c r="F941" s="145" t="str">
        <f>IF(G941=".","",Formulario!J$6)</f>
        <v/>
      </c>
      <c r="G941" s="180" t="str">
        <f>IF(Formulario!C949&lt;&gt;"",IF(Formulario!C949=" ","Falta Depto",IF(H941=".","Error En Descripción",Formulario!C949)),IF(H941=".",".","Falta Datos"))</f>
        <v>.</v>
      </c>
      <c r="H941" s="144" t="str">
        <f>IF(Formulario!D949&lt;&gt;"",IF(Formulario!D949=" ",".",Formulario!D949),".")</f>
        <v>.</v>
      </c>
      <c r="I941" s="144" t="str">
        <f>IF(Formulario!E949&lt;&gt;"",IF(Formulario!E949=" "," ",Formulario!E949),IF(G941=".",".","Falta Propietario"))</f>
        <v>.</v>
      </c>
      <c r="J941" s="144" t="str">
        <f>IF(Formulario!F949&lt;&gt;"",IF(Formulario!F949=" "," ",Formulario!F949)," ")</f>
        <v xml:space="preserve"> </v>
      </c>
      <c r="K941" s="144" t="str">
        <f>IF(Formulario!G949&lt;&gt;"",IF(Formulario!G949=" "," ",Formulario!G949)," ")</f>
        <v xml:space="preserve"> </v>
      </c>
      <c r="L941" s="144" t="str">
        <f>IF(Formulario!H949&lt;&gt;"",IF(Formulario!H949=" "," ",Formulario!H949)," ")</f>
        <v xml:space="preserve"> </v>
      </c>
      <c r="M941" s="144" t="str">
        <f>IF(Formulario!I949&lt;&gt;"",IF(Formulario!I949=" "," ",Formulario!I949)," ")</f>
        <v xml:space="preserve"> </v>
      </c>
      <c r="N941" s="145" t="str">
        <f>IF(Formulario!J949&lt;&gt;"",IF(Formulario!J949=" "," ",Formulario!J949),IF(G941=".",".","Falta Fecha"))</f>
        <v>.</v>
      </c>
      <c r="O941" s="155">
        <f>Formulario!L949</f>
        <v>0</v>
      </c>
      <c r="P941" s="146">
        <f>IF(O941=1,"09:00",Formulario!M949)</f>
        <v>0</v>
      </c>
      <c r="Q941" s="146">
        <f>IF(O941=1,"18:30",Formulario!N949)</f>
        <v>0</v>
      </c>
      <c r="R941" s="146" t="str">
        <f>IF(Formulario!O949&lt;&gt;"",IF(Formulario!O949=" ",".",Formulario!O949),".")</f>
        <v>.</v>
      </c>
      <c r="S941" s="141" t="s">
        <v>131</v>
      </c>
    </row>
    <row r="942" spans="1:19">
      <c r="A942" s="141">
        <f>Formulario!B950</f>
        <v>0</v>
      </c>
      <c r="B942" s="144" t="str">
        <f>IF(G942="."," ",Formulario!D$5)</f>
        <v xml:space="preserve"> </v>
      </c>
      <c r="C942" s="144" t="str">
        <f>IF(G942=".","",Formulario!D$6)</f>
        <v/>
      </c>
      <c r="D942" s="144" t="str">
        <f>IF(H942=".","",Formulario!D$7)</f>
        <v/>
      </c>
      <c r="E942" s="144" t="str">
        <f>IF(G942=".","",Formulario!J$5)</f>
        <v/>
      </c>
      <c r="F942" s="145" t="str">
        <f>IF(G942=".","",Formulario!J$6)</f>
        <v/>
      </c>
      <c r="G942" s="180" t="str">
        <f>IF(Formulario!C950&lt;&gt;"",IF(Formulario!C950=" ","Falta Depto",IF(H942=".","Error En Descripción",Formulario!C950)),IF(H942=".",".","Falta Datos"))</f>
        <v>.</v>
      </c>
      <c r="H942" s="144" t="str">
        <f>IF(Formulario!D950&lt;&gt;"",IF(Formulario!D950=" ",".",Formulario!D950),".")</f>
        <v>.</v>
      </c>
      <c r="I942" s="144" t="str">
        <f>IF(Formulario!E950&lt;&gt;"",IF(Formulario!E950=" "," ",Formulario!E950),IF(G942=".",".","Falta Propietario"))</f>
        <v>.</v>
      </c>
      <c r="J942" s="144" t="str">
        <f>IF(Formulario!F950&lt;&gt;"",IF(Formulario!F950=" "," ",Formulario!F950)," ")</f>
        <v xml:space="preserve"> </v>
      </c>
      <c r="K942" s="144" t="str">
        <f>IF(Formulario!G950&lt;&gt;"",IF(Formulario!G950=" "," ",Formulario!G950)," ")</f>
        <v xml:space="preserve"> </v>
      </c>
      <c r="L942" s="144" t="str">
        <f>IF(Formulario!H950&lt;&gt;"",IF(Formulario!H950=" "," ",Formulario!H950)," ")</f>
        <v xml:space="preserve"> </v>
      </c>
      <c r="M942" s="144" t="str">
        <f>IF(Formulario!I950&lt;&gt;"",IF(Formulario!I950=" "," ",Formulario!I950)," ")</f>
        <v xml:space="preserve"> </v>
      </c>
      <c r="N942" s="145" t="str">
        <f>IF(Formulario!J950&lt;&gt;"",IF(Formulario!J950=" "," ",Formulario!J950),IF(G942=".",".","Falta Fecha"))</f>
        <v>.</v>
      </c>
      <c r="O942" s="155">
        <f>Formulario!L950</f>
        <v>0</v>
      </c>
      <c r="P942" s="146">
        <f>IF(O942=1,"09:00",Formulario!M950)</f>
        <v>0</v>
      </c>
      <c r="Q942" s="146">
        <f>IF(O942=1,"18:30",Formulario!N950)</f>
        <v>0</v>
      </c>
      <c r="R942" s="146" t="str">
        <f>IF(Formulario!O950&lt;&gt;"",IF(Formulario!O950=" ",".",Formulario!O950),".")</f>
        <v>.</v>
      </c>
      <c r="S942" s="141" t="s">
        <v>131</v>
      </c>
    </row>
    <row r="943" spans="1:19">
      <c r="A943" s="141">
        <f>Formulario!B951</f>
        <v>0</v>
      </c>
      <c r="B943" s="144" t="str">
        <f>IF(G943="."," ",Formulario!D$5)</f>
        <v xml:space="preserve"> </v>
      </c>
      <c r="C943" s="144" t="str">
        <f>IF(G943=".","",Formulario!D$6)</f>
        <v/>
      </c>
      <c r="D943" s="144" t="str">
        <f>IF(H943=".","",Formulario!D$7)</f>
        <v/>
      </c>
      <c r="E943" s="144" t="str">
        <f>IF(G943=".","",Formulario!J$5)</f>
        <v/>
      </c>
      <c r="F943" s="145" t="str">
        <f>IF(G943=".","",Formulario!J$6)</f>
        <v/>
      </c>
      <c r="G943" s="180" t="str">
        <f>IF(Formulario!C951&lt;&gt;"",IF(Formulario!C951=" ","Falta Depto",IF(H943=".","Error En Descripción",Formulario!C951)),IF(H943=".",".","Falta Datos"))</f>
        <v>.</v>
      </c>
      <c r="H943" s="144" t="str">
        <f>IF(Formulario!D951&lt;&gt;"",IF(Formulario!D951=" ",".",Formulario!D951),".")</f>
        <v>.</v>
      </c>
      <c r="I943" s="144" t="str">
        <f>IF(Formulario!E951&lt;&gt;"",IF(Formulario!E951=" "," ",Formulario!E951),IF(G943=".",".","Falta Propietario"))</f>
        <v>.</v>
      </c>
      <c r="J943" s="144" t="str">
        <f>IF(Formulario!F951&lt;&gt;"",IF(Formulario!F951=" "," ",Formulario!F951)," ")</f>
        <v xml:space="preserve"> </v>
      </c>
      <c r="K943" s="144" t="str">
        <f>IF(Formulario!G951&lt;&gt;"",IF(Formulario!G951=" "," ",Formulario!G951)," ")</f>
        <v xml:space="preserve"> </v>
      </c>
      <c r="L943" s="144" t="str">
        <f>IF(Formulario!H951&lt;&gt;"",IF(Formulario!H951=" "," ",Formulario!H951)," ")</f>
        <v xml:space="preserve"> </v>
      </c>
      <c r="M943" s="144" t="str">
        <f>IF(Formulario!I951&lt;&gt;"",IF(Formulario!I951=" "," ",Formulario!I951)," ")</f>
        <v xml:space="preserve"> </v>
      </c>
      <c r="N943" s="145" t="str">
        <f>IF(Formulario!J951&lt;&gt;"",IF(Formulario!J951=" "," ",Formulario!J951),IF(G943=".",".","Falta Fecha"))</f>
        <v>.</v>
      </c>
      <c r="O943" s="155">
        <f>Formulario!L951</f>
        <v>0</v>
      </c>
      <c r="P943" s="146">
        <f>IF(O943=1,"09:00",Formulario!M951)</f>
        <v>0</v>
      </c>
      <c r="Q943" s="146">
        <f>IF(O943=1,"18:30",Formulario!N951)</f>
        <v>0</v>
      </c>
      <c r="R943" s="146" t="str">
        <f>IF(Formulario!O951&lt;&gt;"",IF(Formulario!O951=" ",".",Formulario!O951),".")</f>
        <v>.</v>
      </c>
      <c r="S943" s="141" t="s">
        <v>131</v>
      </c>
    </row>
    <row r="944" spans="1:19">
      <c r="A944" s="141">
        <f>Formulario!B952</f>
        <v>0</v>
      </c>
      <c r="B944" s="144" t="str">
        <f>IF(G944="."," ",Formulario!D$5)</f>
        <v xml:space="preserve"> </v>
      </c>
      <c r="C944" s="144" t="str">
        <f>IF(G944=".","",Formulario!D$6)</f>
        <v/>
      </c>
      <c r="D944" s="144" t="str">
        <f>IF(H944=".","",Formulario!D$7)</f>
        <v/>
      </c>
      <c r="E944" s="144" t="str">
        <f>IF(G944=".","",Formulario!J$5)</f>
        <v/>
      </c>
      <c r="F944" s="145" t="str">
        <f>IF(G944=".","",Formulario!J$6)</f>
        <v/>
      </c>
      <c r="G944" s="180" t="str">
        <f>IF(Formulario!C952&lt;&gt;"",IF(Formulario!C952=" ","Falta Depto",IF(H944=".","Error En Descripción",Formulario!C952)),IF(H944=".",".","Falta Datos"))</f>
        <v>.</v>
      </c>
      <c r="H944" s="144" t="str">
        <f>IF(Formulario!D952&lt;&gt;"",IF(Formulario!D952=" ",".",Formulario!D952),".")</f>
        <v>.</v>
      </c>
      <c r="I944" s="144" t="str">
        <f>IF(Formulario!E952&lt;&gt;"",IF(Formulario!E952=" "," ",Formulario!E952),IF(G944=".",".","Falta Propietario"))</f>
        <v>.</v>
      </c>
      <c r="J944" s="144" t="str">
        <f>IF(Formulario!F952&lt;&gt;"",IF(Formulario!F952=" "," ",Formulario!F952)," ")</f>
        <v xml:space="preserve"> </v>
      </c>
      <c r="K944" s="144" t="str">
        <f>IF(Formulario!G952&lt;&gt;"",IF(Formulario!G952=" "," ",Formulario!G952)," ")</f>
        <v xml:space="preserve"> </v>
      </c>
      <c r="L944" s="144" t="str">
        <f>IF(Formulario!H952&lt;&gt;"",IF(Formulario!H952=" "," ",Formulario!H952)," ")</f>
        <v xml:space="preserve"> </v>
      </c>
      <c r="M944" s="144" t="str">
        <f>IF(Formulario!I952&lt;&gt;"",IF(Formulario!I952=" "," ",Formulario!I952)," ")</f>
        <v xml:space="preserve"> </v>
      </c>
      <c r="N944" s="145" t="str">
        <f>IF(Formulario!J952&lt;&gt;"",IF(Formulario!J952=" "," ",Formulario!J952),IF(G944=".",".","Falta Fecha"))</f>
        <v>.</v>
      </c>
      <c r="O944" s="155">
        <f>Formulario!L952</f>
        <v>0</v>
      </c>
      <c r="P944" s="146">
        <f>IF(O944=1,"09:00",Formulario!M952)</f>
        <v>0</v>
      </c>
      <c r="Q944" s="146">
        <f>IF(O944=1,"18:30",Formulario!N952)</f>
        <v>0</v>
      </c>
      <c r="R944" s="146" t="str">
        <f>IF(Formulario!O952&lt;&gt;"",IF(Formulario!O952=" ",".",Formulario!O952),".")</f>
        <v>.</v>
      </c>
      <c r="S944" s="141" t="s">
        <v>131</v>
      </c>
    </row>
    <row r="945" spans="1:19">
      <c r="A945" s="141">
        <f>Formulario!B953</f>
        <v>0</v>
      </c>
      <c r="B945" s="144" t="str">
        <f>IF(G945="."," ",Formulario!D$5)</f>
        <v xml:space="preserve"> </v>
      </c>
      <c r="C945" s="144" t="str">
        <f>IF(G945=".","",Formulario!D$6)</f>
        <v/>
      </c>
      <c r="D945" s="144" t="str">
        <f>IF(H945=".","",Formulario!D$7)</f>
        <v/>
      </c>
      <c r="E945" s="144" t="str">
        <f>IF(G945=".","",Formulario!J$5)</f>
        <v/>
      </c>
      <c r="F945" s="145" t="str">
        <f>IF(G945=".","",Formulario!J$6)</f>
        <v/>
      </c>
      <c r="G945" s="180" t="str">
        <f>IF(Formulario!C953&lt;&gt;"",IF(Formulario!C953=" ","Falta Depto",IF(H945=".","Error En Descripción",Formulario!C953)),IF(H945=".",".","Falta Datos"))</f>
        <v>.</v>
      </c>
      <c r="H945" s="144" t="str">
        <f>IF(Formulario!D953&lt;&gt;"",IF(Formulario!D953=" ",".",Formulario!D953),".")</f>
        <v>.</v>
      </c>
      <c r="I945" s="144" t="str">
        <f>IF(Formulario!E953&lt;&gt;"",IF(Formulario!E953=" "," ",Formulario!E953),IF(G945=".",".","Falta Propietario"))</f>
        <v>.</v>
      </c>
      <c r="J945" s="144" t="str">
        <f>IF(Formulario!F953&lt;&gt;"",IF(Formulario!F953=" "," ",Formulario!F953)," ")</f>
        <v xml:space="preserve"> </v>
      </c>
      <c r="K945" s="144" t="str">
        <f>IF(Formulario!G953&lt;&gt;"",IF(Formulario!G953=" "," ",Formulario!G953)," ")</f>
        <v xml:space="preserve"> </v>
      </c>
      <c r="L945" s="144" t="str">
        <f>IF(Formulario!H953&lt;&gt;"",IF(Formulario!H953=" "," ",Formulario!H953)," ")</f>
        <v xml:space="preserve"> </v>
      </c>
      <c r="M945" s="144" t="str">
        <f>IF(Formulario!I953&lt;&gt;"",IF(Formulario!I953=" "," ",Formulario!I953)," ")</f>
        <v xml:space="preserve"> </v>
      </c>
      <c r="N945" s="145" t="str">
        <f>IF(Formulario!J953&lt;&gt;"",IF(Formulario!J953=" "," ",Formulario!J953),IF(G945=".",".","Falta Fecha"))</f>
        <v>.</v>
      </c>
      <c r="O945" s="155">
        <f>Formulario!L953</f>
        <v>0</v>
      </c>
      <c r="P945" s="146">
        <f>IF(O945=1,"09:00",Formulario!M953)</f>
        <v>0</v>
      </c>
      <c r="Q945" s="146">
        <f>IF(O945=1,"18:30",Formulario!N953)</f>
        <v>0</v>
      </c>
      <c r="R945" s="146" t="str">
        <f>IF(Formulario!O953&lt;&gt;"",IF(Formulario!O953=" ",".",Formulario!O953),".")</f>
        <v>.</v>
      </c>
      <c r="S945" s="141" t="s">
        <v>131</v>
      </c>
    </row>
    <row r="946" spans="1:19">
      <c r="A946" s="141">
        <f>Formulario!B954</f>
        <v>0</v>
      </c>
      <c r="B946" s="144" t="str">
        <f>IF(G946="."," ",Formulario!D$5)</f>
        <v xml:space="preserve"> </v>
      </c>
      <c r="C946" s="144" t="str">
        <f>IF(G946=".","",Formulario!D$6)</f>
        <v/>
      </c>
      <c r="D946" s="144" t="str">
        <f>IF(H946=".","",Formulario!D$7)</f>
        <v/>
      </c>
      <c r="E946" s="144" t="str">
        <f>IF(G946=".","",Formulario!J$5)</f>
        <v/>
      </c>
      <c r="F946" s="145" t="str">
        <f>IF(G946=".","",Formulario!J$6)</f>
        <v/>
      </c>
      <c r="G946" s="180" t="str">
        <f>IF(Formulario!C954&lt;&gt;"",IF(Formulario!C954=" ","Falta Depto",IF(H946=".","Error En Descripción",Formulario!C954)),IF(H946=".",".","Falta Datos"))</f>
        <v>.</v>
      </c>
      <c r="H946" s="144" t="str">
        <f>IF(Formulario!D954&lt;&gt;"",IF(Formulario!D954=" ",".",Formulario!D954),".")</f>
        <v>.</v>
      </c>
      <c r="I946" s="144" t="str">
        <f>IF(Formulario!E954&lt;&gt;"",IF(Formulario!E954=" "," ",Formulario!E954),IF(G946=".",".","Falta Propietario"))</f>
        <v>.</v>
      </c>
      <c r="J946" s="144" t="str">
        <f>IF(Formulario!F954&lt;&gt;"",IF(Formulario!F954=" "," ",Formulario!F954)," ")</f>
        <v xml:space="preserve"> </v>
      </c>
      <c r="K946" s="144" t="str">
        <f>IF(Formulario!G954&lt;&gt;"",IF(Formulario!G954=" "," ",Formulario!G954)," ")</f>
        <v xml:space="preserve"> </v>
      </c>
      <c r="L946" s="144" t="str">
        <f>IF(Formulario!H954&lt;&gt;"",IF(Formulario!H954=" "," ",Formulario!H954)," ")</f>
        <v xml:space="preserve"> </v>
      </c>
      <c r="M946" s="144" t="str">
        <f>IF(Formulario!I954&lt;&gt;"",IF(Formulario!I954=" "," ",Formulario!I954)," ")</f>
        <v xml:space="preserve"> </v>
      </c>
      <c r="N946" s="145" t="str">
        <f>IF(Formulario!J954&lt;&gt;"",IF(Formulario!J954=" "," ",Formulario!J954),IF(G946=".",".","Falta Fecha"))</f>
        <v>.</v>
      </c>
      <c r="O946" s="155">
        <f>Formulario!L954</f>
        <v>0</v>
      </c>
      <c r="P946" s="146">
        <f>IF(O946=1,"09:00",Formulario!M954)</f>
        <v>0</v>
      </c>
      <c r="Q946" s="146">
        <f>IF(O946=1,"18:30",Formulario!N954)</f>
        <v>0</v>
      </c>
      <c r="R946" s="146" t="str">
        <f>IF(Formulario!O954&lt;&gt;"",IF(Formulario!O954=" ",".",Formulario!O954),".")</f>
        <v>.</v>
      </c>
      <c r="S946" s="141" t="s">
        <v>131</v>
      </c>
    </row>
    <row r="947" spans="1:19">
      <c r="A947" s="141">
        <f>Formulario!B955</f>
        <v>0</v>
      </c>
      <c r="B947" s="144" t="str">
        <f>IF(G947="."," ",Formulario!D$5)</f>
        <v xml:space="preserve"> </v>
      </c>
      <c r="C947" s="144" t="str">
        <f>IF(G947=".","",Formulario!D$6)</f>
        <v/>
      </c>
      <c r="D947" s="144" t="str">
        <f>IF(H947=".","",Formulario!D$7)</f>
        <v/>
      </c>
      <c r="E947" s="144" t="str">
        <f>IF(G947=".","",Formulario!J$5)</f>
        <v/>
      </c>
      <c r="F947" s="145" t="str">
        <f>IF(G947=".","",Formulario!J$6)</f>
        <v/>
      </c>
      <c r="G947" s="180" t="str">
        <f>IF(Formulario!C955&lt;&gt;"",IF(Formulario!C955=" ","Falta Depto",IF(H947=".","Error En Descripción",Formulario!C955)),IF(H947=".",".","Falta Datos"))</f>
        <v>.</v>
      </c>
      <c r="H947" s="144" t="str">
        <f>IF(Formulario!D955&lt;&gt;"",IF(Formulario!D955=" ",".",Formulario!D955),".")</f>
        <v>.</v>
      </c>
      <c r="I947" s="144" t="str">
        <f>IF(Formulario!E955&lt;&gt;"",IF(Formulario!E955=" "," ",Formulario!E955),IF(G947=".",".","Falta Propietario"))</f>
        <v>.</v>
      </c>
      <c r="J947" s="144" t="str">
        <f>IF(Formulario!F955&lt;&gt;"",IF(Formulario!F955=" "," ",Formulario!F955)," ")</f>
        <v xml:space="preserve"> </v>
      </c>
      <c r="K947" s="144" t="str">
        <f>IF(Formulario!G955&lt;&gt;"",IF(Formulario!G955=" "," ",Formulario!G955)," ")</f>
        <v xml:space="preserve"> </v>
      </c>
      <c r="L947" s="144" t="str">
        <f>IF(Formulario!H955&lt;&gt;"",IF(Formulario!H955=" "," ",Formulario!H955)," ")</f>
        <v xml:space="preserve"> </v>
      </c>
      <c r="M947" s="144" t="str">
        <f>IF(Formulario!I955&lt;&gt;"",IF(Formulario!I955=" "," ",Formulario!I955)," ")</f>
        <v xml:space="preserve"> </v>
      </c>
      <c r="N947" s="145" t="str">
        <f>IF(Formulario!J955&lt;&gt;"",IF(Formulario!J955=" "," ",Formulario!J955),IF(G947=".",".","Falta Fecha"))</f>
        <v>.</v>
      </c>
      <c r="O947" s="155">
        <f>Formulario!L955</f>
        <v>0</v>
      </c>
      <c r="P947" s="146">
        <f>IF(O947=1,"09:00",Formulario!M955)</f>
        <v>0</v>
      </c>
      <c r="Q947" s="146">
        <f>IF(O947=1,"18:30",Formulario!N955)</f>
        <v>0</v>
      </c>
      <c r="R947" s="146" t="str">
        <f>IF(Formulario!O955&lt;&gt;"",IF(Formulario!O955=" ",".",Formulario!O955),".")</f>
        <v>.</v>
      </c>
      <c r="S947" s="141" t="s">
        <v>131</v>
      </c>
    </row>
    <row r="948" spans="1:19">
      <c r="A948" s="141">
        <f>Formulario!B956</f>
        <v>0</v>
      </c>
      <c r="B948" s="144" t="str">
        <f>IF(G948="."," ",Formulario!D$5)</f>
        <v xml:space="preserve"> </v>
      </c>
      <c r="C948" s="144" t="str">
        <f>IF(G948=".","",Formulario!D$6)</f>
        <v/>
      </c>
      <c r="D948" s="144" t="str">
        <f>IF(H948=".","",Formulario!D$7)</f>
        <v/>
      </c>
      <c r="E948" s="144" t="str">
        <f>IF(G948=".","",Formulario!J$5)</f>
        <v/>
      </c>
      <c r="F948" s="145" t="str">
        <f>IF(G948=".","",Formulario!J$6)</f>
        <v/>
      </c>
      <c r="G948" s="180" t="str">
        <f>IF(Formulario!C956&lt;&gt;"",IF(Formulario!C956=" ","Falta Depto",IF(H948=".","Error En Descripción",Formulario!C956)),IF(H948=".",".","Falta Datos"))</f>
        <v>.</v>
      </c>
      <c r="H948" s="144" t="str">
        <f>IF(Formulario!D956&lt;&gt;"",IF(Formulario!D956=" ",".",Formulario!D956),".")</f>
        <v>.</v>
      </c>
      <c r="I948" s="144" t="str">
        <f>IF(Formulario!E956&lt;&gt;"",IF(Formulario!E956=" "," ",Formulario!E956),IF(G948=".",".","Falta Propietario"))</f>
        <v>.</v>
      </c>
      <c r="J948" s="144" t="str">
        <f>IF(Formulario!F956&lt;&gt;"",IF(Formulario!F956=" "," ",Formulario!F956)," ")</f>
        <v xml:space="preserve"> </v>
      </c>
      <c r="K948" s="144" t="str">
        <f>IF(Formulario!G956&lt;&gt;"",IF(Formulario!G956=" "," ",Formulario!G956)," ")</f>
        <v xml:space="preserve"> </v>
      </c>
      <c r="L948" s="144" t="str">
        <f>IF(Formulario!H956&lt;&gt;"",IF(Formulario!H956=" "," ",Formulario!H956)," ")</f>
        <v xml:space="preserve"> </v>
      </c>
      <c r="M948" s="144" t="str">
        <f>IF(Formulario!I956&lt;&gt;"",IF(Formulario!I956=" "," ",Formulario!I956)," ")</f>
        <v xml:space="preserve"> </v>
      </c>
      <c r="N948" s="145" t="str">
        <f>IF(Formulario!J956&lt;&gt;"",IF(Formulario!J956=" "," ",Formulario!J956),IF(G948=".",".","Falta Fecha"))</f>
        <v>.</v>
      </c>
      <c r="O948" s="155">
        <f>Formulario!L956</f>
        <v>0</v>
      </c>
      <c r="P948" s="146">
        <f>IF(O948=1,"09:00",Formulario!M956)</f>
        <v>0</v>
      </c>
      <c r="Q948" s="146">
        <f>IF(O948=1,"18:30",Formulario!N956)</f>
        <v>0</v>
      </c>
      <c r="R948" s="146" t="str">
        <f>IF(Formulario!O956&lt;&gt;"",IF(Formulario!O956=" ",".",Formulario!O956),".")</f>
        <v>.</v>
      </c>
      <c r="S948" s="141" t="s">
        <v>131</v>
      </c>
    </row>
    <row r="949" spans="1:19">
      <c r="A949" s="141">
        <f>Formulario!B957</f>
        <v>0</v>
      </c>
      <c r="B949" s="144" t="str">
        <f>IF(G949="."," ",Formulario!D$5)</f>
        <v xml:space="preserve"> </v>
      </c>
      <c r="C949" s="144" t="str">
        <f>IF(G949=".","",Formulario!D$6)</f>
        <v/>
      </c>
      <c r="D949" s="144" t="str">
        <f>IF(H949=".","",Formulario!D$7)</f>
        <v/>
      </c>
      <c r="E949" s="144" t="str">
        <f>IF(G949=".","",Formulario!J$5)</f>
        <v/>
      </c>
      <c r="F949" s="145" t="str">
        <f>IF(G949=".","",Formulario!J$6)</f>
        <v/>
      </c>
      <c r="G949" s="180" t="str">
        <f>IF(Formulario!C957&lt;&gt;"",IF(Formulario!C957=" ","Falta Depto",IF(H949=".","Error En Descripción",Formulario!C957)),IF(H949=".",".","Falta Datos"))</f>
        <v>.</v>
      </c>
      <c r="H949" s="144" t="str">
        <f>IF(Formulario!D957&lt;&gt;"",IF(Formulario!D957=" ",".",Formulario!D957),".")</f>
        <v>.</v>
      </c>
      <c r="I949" s="144" t="str">
        <f>IF(Formulario!E957&lt;&gt;"",IF(Formulario!E957=" "," ",Formulario!E957),IF(G949=".",".","Falta Propietario"))</f>
        <v>.</v>
      </c>
      <c r="J949" s="144" t="str">
        <f>IF(Formulario!F957&lt;&gt;"",IF(Formulario!F957=" "," ",Formulario!F957)," ")</f>
        <v xml:space="preserve"> </v>
      </c>
      <c r="K949" s="144" t="str">
        <f>IF(Formulario!G957&lt;&gt;"",IF(Formulario!G957=" "," ",Formulario!G957)," ")</f>
        <v xml:space="preserve"> </v>
      </c>
      <c r="L949" s="144" t="str">
        <f>IF(Formulario!H957&lt;&gt;"",IF(Formulario!H957=" "," ",Formulario!H957)," ")</f>
        <v xml:space="preserve"> </v>
      </c>
      <c r="M949" s="144" t="str">
        <f>IF(Formulario!I957&lt;&gt;"",IF(Formulario!I957=" "," ",Formulario!I957)," ")</f>
        <v xml:space="preserve"> </v>
      </c>
      <c r="N949" s="145" t="str">
        <f>IF(Formulario!J957&lt;&gt;"",IF(Formulario!J957=" "," ",Formulario!J957),IF(G949=".",".","Falta Fecha"))</f>
        <v>.</v>
      </c>
      <c r="O949" s="155">
        <f>Formulario!L957</f>
        <v>0</v>
      </c>
      <c r="P949" s="146">
        <f>IF(O949=1,"09:00",Formulario!M957)</f>
        <v>0</v>
      </c>
      <c r="Q949" s="146">
        <f>IF(O949=1,"18:30",Formulario!N957)</f>
        <v>0</v>
      </c>
      <c r="R949" s="146" t="str">
        <f>IF(Formulario!O957&lt;&gt;"",IF(Formulario!O957=" ",".",Formulario!O957),".")</f>
        <v>.</v>
      </c>
      <c r="S949" s="141" t="s">
        <v>131</v>
      </c>
    </row>
    <row r="950" spans="1:19">
      <c r="A950" s="141">
        <f>Formulario!B958</f>
        <v>0</v>
      </c>
      <c r="B950" s="144" t="str">
        <f>IF(G950="."," ",Formulario!D$5)</f>
        <v xml:space="preserve"> </v>
      </c>
      <c r="C950" s="144" t="str">
        <f>IF(G950=".","",Formulario!D$6)</f>
        <v/>
      </c>
      <c r="D950" s="144" t="str">
        <f>IF(H950=".","",Formulario!D$7)</f>
        <v/>
      </c>
      <c r="E950" s="144" t="str">
        <f>IF(G950=".","",Formulario!J$5)</f>
        <v/>
      </c>
      <c r="F950" s="145" t="str">
        <f>IF(G950=".","",Formulario!J$6)</f>
        <v/>
      </c>
      <c r="G950" s="180" t="str">
        <f>IF(Formulario!C958&lt;&gt;"",IF(Formulario!C958=" ","Falta Depto",IF(H950=".","Error En Descripción",Formulario!C958)),IF(H950=".",".","Falta Datos"))</f>
        <v>.</v>
      </c>
      <c r="H950" s="144" t="str">
        <f>IF(Formulario!D958&lt;&gt;"",IF(Formulario!D958=" ",".",Formulario!D958),".")</f>
        <v>.</v>
      </c>
      <c r="I950" s="144" t="str">
        <f>IF(Formulario!E958&lt;&gt;"",IF(Formulario!E958=" "," ",Formulario!E958),IF(G950=".",".","Falta Propietario"))</f>
        <v>.</v>
      </c>
      <c r="J950" s="144" t="str">
        <f>IF(Formulario!F958&lt;&gt;"",IF(Formulario!F958=" "," ",Formulario!F958)," ")</f>
        <v xml:space="preserve"> </v>
      </c>
      <c r="K950" s="144" t="str">
        <f>IF(Formulario!G958&lt;&gt;"",IF(Formulario!G958=" "," ",Formulario!G958)," ")</f>
        <v xml:space="preserve"> </v>
      </c>
      <c r="L950" s="144" t="str">
        <f>IF(Formulario!H958&lt;&gt;"",IF(Formulario!H958=" "," ",Formulario!H958)," ")</f>
        <v xml:space="preserve"> </v>
      </c>
      <c r="M950" s="144" t="str">
        <f>IF(Formulario!I958&lt;&gt;"",IF(Formulario!I958=" "," ",Formulario!I958)," ")</f>
        <v xml:space="preserve"> </v>
      </c>
      <c r="N950" s="145" t="str">
        <f>IF(Formulario!J958&lt;&gt;"",IF(Formulario!J958=" "," ",Formulario!J958),IF(G950=".",".","Falta Fecha"))</f>
        <v>.</v>
      </c>
      <c r="O950" s="155">
        <f>Formulario!L958</f>
        <v>0</v>
      </c>
      <c r="P950" s="146">
        <f>IF(O950=1,"09:00",Formulario!M958)</f>
        <v>0</v>
      </c>
      <c r="Q950" s="146">
        <f>IF(O950=1,"18:30",Formulario!N958)</f>
        <v>0</v>
      </c>
      <c r="R950" s="146" t="str">
        <f>IF(Formulario!O958&lt;&gt;"",IF(Formulario!O958=" ",".",Formulario!O958),".")</f>
        <v>.</v>
      </c>
      <c r="S950" s="141" t="s">
        <v>131</v>
      </c>
    </row>
    <row r="951" spans="1:19">
      <c r="A951" s="141">
        <f>Formulario!B959</f>
        <v>0</v>
      </c>
      <c r="B951" s="144" t="str">
        <f>IF(G951="."," ",Formulario!D$5)</f>
        <v xml:space="preserve"> </v>
      </c>
      <c r="C951" s="144" t="str">
        <f>IF(G951=".","",Formulario!D$6)</f>
        <v/>
      </c>
      <c r="D951" s="144" t="str">
        <f>IF(H951=".","",Formulario!D$7)</f>
        <v/>
      </c>
      <c r="E951" s="144" t="str">
        <f>IF(G951=".","",Formulario!J$5)</f>
        <v/>
      </c>
      <c r="F951" s="145" t="str">
        <f>IF(G951=".","",Formulario!J$6)</f>
        <v/>
      </c>
      <c r="G951" s="180" t="str">
        <f>IF(Formulario!C959&lt;&gt;"",IF(Formulario!C959=" ","Falta Depto",IF(H951=".","Error En Descripción",Formulario!C959)),IF(H951=".",".","Falta Datos"))</f>
        <v>.</v>
      </c>
      <c r="H951" s="144" t="str">
        <f>IF(Formulario!D959&lt;&gt;"",IF(Formulario!D959=" ",".",Formulario!D959),".")</f>
        <v>.</v>
      </c>
      <c r="I951" s="144" t="str">
        <f>IF(Formulario!E959&lt;&gt;"",IF(Formulario!E959=" "," ",Formulario!E959),IF(G951=".",".","Falta Propietario"))</f>
        <v>.</v>
      </c>
      <c r="J951" s="144" t="str">
        <f>IF(Formulario!F959&lt;&gt;"",IF(Formulario!F959=" "," ",Formulario!F959)," ")</f>
        <v xml:space="preserve"> </v>
      </c>
      <c r="K951" s="144" t="str">
        <f>IF(Formulario!G959&lt;&gt;"",IF(Formulario!G959=" "," ",Formulario!G959)," ")</f>
        <v xml:space="preserve"> </v>
      </c>
      <c r="L951" s="144" t="str">
        <f>IF(Formulario!H959&lt;&gt;"",IF(Formulario!H959=" "," ",Formulario!H959)," ")</f>
        <v xml:space="preserve"> </v>
      </c>
      <c r="M951" s="144" t="str">
        <f>IF(Formulario!I959&lt;&gt;"",IF(Formulario!I959=" "," ",Formulario!I959)," ")</f>
        <v xml:space="preserve"> </v>
      </c>
      <c r="N951" s="145" t="str">
        <f>IF(Formulario!J959&lt;&gt;"",IF(Formulario!J959=" "," ",Formulario!J959),IF(G951=".",".","Falta Fecha"))</f>
        <v>.</v>
      </c>
      <c r="O951" s="155">
        <f>Formulario!L959</f>
        <v>0</v>
      </c>
      <c r="P951" s="146">
        <f>IF(O951=1,"09:00",Formulario!M959)</f>
        <v>0</v>
      </c>
      <c r="Q951" s="146">
        <f>IF(O951=1,"18:30",Formulario!N959)</f>
        <v>0</v>
      </c>
      <c r="R951" s="146" t="str">
        <f>IF(Formulario!O959&lt;&gt;"",IF(Formulario!O959=" ",".",Formulario!O959),".")</f>
        <v>.</v>
      </c>
      <c r="S951" s="141" t="s">
        <v>131</v>
      </c>
    </row>
    <row r="952" spans="1:19">
      <c r="A952" s="141">
        <f>Formulario!B960</f>
        <v>0</v>
      </c>
      <c r="B952" s="144" t="str">
        <f>IF(G952="."," ",Formulario!D$5)</f>
        <v xml:space="preserve"> </v>
      </c>
      <c r="C952" s="144" t="str">
        <f>IF(G952=".","",Formulario!D$6)</f>
        <v/>
      </c>
      <c r="D952" s="144" t="str">
        <f>IF(H952=".","",Formulario!D$7)</f>
        <v/>
      </c>
      <c r="E952" s="144" t="str">
        <f>IF(G952=".","",Formulario!J$5)</f>
        <v/>
      </c>
      <c r="F952" s="145" t="str">
        <f>IF(G952=".","",Formulario!J$6)</f>
        <v/>
      </c>
      <c r="G952" s="180" t="str">
        <f>IF(Formulario!C960&lt;&gt;"",IF(Formulario!C960=" ","Falta Depto",IF(H952=".","Error En Descripción",Formulario!C960)),IF(H952=".",".","Falta Datos"))</f>
        <v>.</v>
      </c>
      <c r="H952" s="144" t="str">
        <f>IF(Formulario!D960&lt;&gt;"",IF(Formulario!D960=" ",".",Formulario!D960),".")</f>
        <v>.</v>
      </c>
      <c r="I952" s="144" t="str">
        <f>IF(Formulario!E960&lt;&gt;"",IF(Formulario!E960=" "," ",Formulario!E960),IF(G952=".",".","Falta Propietario"))</f>
        <v>.</v>
      </c>
      <c r="J952" s="144" t="str">
        <f>IF(Formulario!F960&lt;&gt;"",IF(Formulario!F960=" "," ",Formulario!F960)," ")</f>
        <v xml:space="preserve"> </v>
      </c>
      <c r="K952" s="144" t="str">
        <f>IF(Formulario!G960&lt;&gt;"",IF(Formulario!G960=" "," ",Formulario!G960)," ")</f>
        <v xml:space="preserve"> </v>
      </c>
      <c r="L952" s="144" t="str">
        <f>IF(Formulario!H960&lt;&gt;"",IF(Formulario!H960=" "," ",Formulario!H960)," ")</f>
        <v xml:space="preserve"> </v>
      </c>
      <c r="M952" s="144" t="str">
        <f>IF(Formulario!I960&lt;&gt;"",IF(Formulario!I960=" "," ",Formulario!I960)," ")</f>
        <v xml:space="preserve"> </v>
      </c>
      <c r="N952" s="145" t="str">
        <f>IF(Formulario!J960&lt;&gt;"",IF(Formulario!J960=" "," ",Formulario!J960),IF(G952=".",".","Falta Fecha"))</f>
        <v>.</v>
      </c>
      <c r="O952" s="155">
        <f>Formulario!L960</f>
        <v>0</v>
      </c>
      <c r="P952" s="146">
        <f>IF(O952=1,"09:00",Formulario!M960)</f>
        <v>0</v>
      </c>
      <c r="Q952" s="146">
        <f>IF(O952=1,"18:30",Formulario!N960)</f>
        <v>0</v>
      </c>
      <c r="R952" s="146" t="str">
        <f>IF(Formulario!O960&lt;&gt;"",IF(Formulario!O960=" ",".",Formulario!O960),".")</f>
        <v>.</v>
      </c>
      <c r="S952" s="141" t="s">
        <v>131</v>
      </c>
    </row>
    <row r="953" spans="1:19">
      <c r="A953" s="141">
        <f>Formulario!B961</f>
        <v>0</v>
      </c>
      <c r="B953" s="144" t="str">
        <f>IF(G953="."," ",Formulario!D$5)</f>
        <v xml:space="preserve"> </v>
      </c>
      <c r="C953" s="144" t="str">
        <f>IF(G953=".","",Formulario!D$6)</f>
        <v/>
      </c>
      <c r="D953" s="144" t="str">
        <f>IF(H953=".","",Formulario!D$7)</f>
        <v/>
      </c>
      <c r="E953" s="144" t="str">
        <f>IF(G953=".","",Formulario!J$5)</f>
        <v/>
      </c>
      <c r="F953" s="145" t="str">
        <f>IF(G953=".","",Formulario!J$6)</f>
        <v/>
      </c>
      <c r="G953" s="180" t="str">
        <f>IF(Formulario!C961&lt;&gt;"",IF(Formulario!C961=" ","Falta Depto",IF(H953=".","Error En Descripción",Formulario!C961)),IF(H953=".",".","Falta Datos"))</f>
        <v>.</v>
      </c>
      <c r="H953" s="144" t="str">
        <f>IF(Formulario!D961&lt;&gt;"",IF(Formulario!D961=" ",".",Formulario!D961),".")</f>
        <v>.</v>
      </c>
      <c r="I953" s="144" t="str">
        <f>IF(Formulario!E961&lt;&gt;"",IF(Formulario!E961=" "," ",Formulario!E961),IF(G953=".",".","Falta Propietario"))</f>
        <v>.</v>
      </c>
      <c r="J953" s="144" t="str">
        <f>IF(Formulario!F961&lt;&gt;"",IF(Formulario!F961=" "," ",Formulario!F961)," ")</f>
        <v xml:space="preserve"> </v>
      </c>
      <c r="K953" s="144" t="str">
        <f>IF(Formulario!G961&lt;&gt;"",IF(Formulario!G961=" "," ",Formulario!G961)," ")</f>
        <v xml:space="preserve"> </v>
      </c>
      <c r="L953" s="144" t="str">
        <f>IF(Formulario!H961&lt;&gt;"",IF(Formulario!H961=" "," ",Formulario!H961)," ")</f>
        <v xml:space="preserve"> </v>
      </c>
      <c r="M953" s="144" t="str">
        <f>IF(Formulario!I961&lt;&gt;"",IF(Formulario!I961=" "," ",Formulario!I961)," ")</f>
        <v xml:space="preserve"> </v>
      </c>
      <c r="N953" s="145" t="str">
        <f>IF(Formulario!J961&lt;&gt;"",IF(Formulario!J961=" "," ",Formulario!J961),IF(G953=".",".","Falta Fecha"))</f>
        <v>.</v>
      </c>
      <c r="O953" s="155">
        <f>Formulario!L961</f>
        <v>0</v>
      </c>
      <c r="P953" s="146">
        <f>IF(O953=1,"09:00",Formulario!M961)</f>
        <v>0</v>
      </c>
      <c r="Q953" s="146">
        <f>IF(O953=1,"18:30",Formulario!N961)</f>
        <v>0</v>
      </c>
      <c r="R953" s="146" t="str">
        <f>IF(Formulario!O961&lt;&gt;"",IF(Formulario!O961=" ",".",Formulario!O961),".")</f>
        <v>.</v>
      </c>
      <c r="S953" s="141" t="s">
        <v>131</v>
      </c>
    </row>
    <row r="954" spans="1:19">
      <c r="A954" s="141">
        <f>Formulario!B962</f>
        <v>0</v>
      </c>
      <c r="B954" s="144" t="str">
        <f>IF(G954="."," ",Formulario!D$5)</f>
        <v xml:space="preserve"> </v>
      </c>
      <c r="C954" s="144" t="str">
        <f>IF(G954=".","",Formulario!D$6)</f>
        <v/>
      </c>
      <c r="D954" s="144" t="str">
        <f>IF(H954=".","",Formulario!D$7)</f>
        <v/>
      </c>
      <c r="E954" s="144" t="str">
        <f>IF(G954=".","",Formulario!J$5)</f>
        <v/>
      </c>
      <c r="F954" s="145" t="str">
        <f>IF(G954=".","",Formulario!J$6)</f>
        <v/>
      </c>
      <c r="G954" s="180" t="str">
        <f>IF(Formulario!C962&lt;&gt;"",IF(Formulario!C962=" ","Falta Depto",IF(H954=".","Error En Descripción",Formulario!C962)),IF(H954=".",".","Falta Datos"))</f>
        <v>.</v>
      </c>
      <c r="H954" s="144" t="str">
        <f>IF(Formulario!D962&lt;&gt;"",IF(Formulario!D962=" ",".",Formulario!D962),".")</f>
        <v>.</v>
      </c>
      <c r="I954" s="144" t="str">
        <f>IF(Formulario!E962&lt;&gt;"",IF(Formulario!E962=" "," ",Formulario!E962),IF(G954=".",".","Falta Propietario"))</f>
        <v>.</v>
      </c>
      <c r="J954" s="144" t="str">
        <f>IF(Formulario!F962&lt;&gt;"",IF(Formulario!F962=" "," ",Formulario!F962)," ")</f>
        <v xml:space="preserve"> </v>
      </c>
      <c r="K954" s="144" t="str">
        <f>IF(Formulario!G962&lt;&gt;"",IF(Formulario!G962=" "," ",Formulario!G962)," ")</f>
        <v xml:space="preserve"> </v>
      </c>
      <c r="L954" s="144" t="str">
        <f>IF(Formulario!H962&lt;&gt;"",IF(Formulario!H962=" "," ",Formulario!H962)," ")</f>
        <v xml:space="preserve"> </v>
      </c>
      <c r="M954" s="144" t="str">
        <f>IF(Formulario!I962&lt;&gt;"",IF(Formulario!I962=" "," ",Formulario!I962)," ")</f>
        <v xml:space="preserve"> </v>
      </c>
      <c r="N954" s="145" t="str">
        <f>IF(Formulario!J962&lt;&gt;"",IF(Formulario!J962=" "," ",Formulario!J962),IF(G954=".",".","Falta Fecha"))</f>
        <v>.</v>
      </c>
      <c r="O954" s="155">
        <f>Formulario!L962</f>
        <v>0</v>
      </c>
      <c r="P954" s="146">
        <f>IF(O954=1,"09:00",Formulario!M962)</f>
        <v>0</v>
      </c>
      <c r="Q954" s="146">
        <f>IF(O954=1,"18:30",Formulario!N962)</f>
        <v>0</v>
      </c>
      <c r="R954" s="146" t="str">
        <f>IF(Formulario!O962&lt;&gt;"",IF(Formulario!O962=" ",".",Formulario!O962),".")</f>
        <v>.</v>
      </c>
      <c r="S954" s="141" t="s">
        <v>131</v>
      </c>
    </row>
    <row r="955" spans="1:19">
      <c r="A955" s="141">
        <f>Formulario!B963</f>
        <v>0</v>
      </c>
      <c r="B955" s="144" t="str">
        <f>IF(G955="."," ",Formulario!D$5)</f>
        <v xml:space="preserve"> </v>
      </c>
      <c r="C955" s="144" t="str">
        <f>IF(G955=".","",Formulario!D$6)</f>
        <v/>
      </c>
      <c r="D955" s="144" t="str">
        <f>IF(H955=".","",Formulario!D$7)</f>
        <v/>
      </c>
      <c r="E955" s="144" t="str">
        <f>IF(G955=".","",Formulario!J$5)</f>
        <v/>
      </c>
      <c r="F955" s="145" t="str">
        <f>IF(G955=".","",Formulario!J$6)</f>
        <v/>
      </c>
      <c r="G955" s="180" t="str">
        <f>IF(Formulario!C963&lt;&gt;"",IF(Formulario!C963=" ","Falta Depto",IF(H955=".","Error En Descripción",Formulario!C963)),IF(H955=".",".","Falta Datos"))</f>
        <v>.</v>
      </c>
      <c r="H955" s="144" t="str">
        <f>IF(Formulario!D963&lt;&gt;"",IF(Formulario!D963=" ",".",Formulario!D963),".")</f>
        <v>.</v>
      </c>
      <c r="I955" s="144" t="str">
        <f>IF(Formulario!E963&lt;&gt;"",IF(Formulario!E963=" "," ",Formulario!E963),IF(G955=".",".","Falta Propietario"))</f>
        <v>.</v>
      </c>
      <c r="J955" s="144" t="str">
        <f>IF(Formulario!F963&lt;&gt;"",IF(Formulario!F963=" "," ",Formulario!F963)," ")</f>
        <v xml:space="preserve"> </v>
      </c>
      <c r="K955" s="144" t="str">
        <f>IF(Formulario!G963&lt;&gt;"",IF(Formulario!G963=" "," ",Formulario!G963)," ")</f>
        <v xml:space="preserve"> </v>
      </c>
      <c r="L955" s="144" t="str">
        <f>IF(Formulario!H963&lt;&gt;"",IF(Formulario!H963=" "," ",Formulario!H963)," ")</f>
        <v xml:space="preserve"> </v>
      </c>
      <c r="M955" s="144" t="str">
        <f>IF(Formulario!I963&lt;&gt;"",IF(Formulario!I963=" "," ",Formulario!I963)," ")</f>
        <v xml:space="preserve"> </v>
      </c>
      <c r="N955" s="145" t="str">
        <f>IF(Formulario!J963&lt;&gt;"",IF(Formulario!J963=" "," ",Formulario!J963),IF(G955=".",".","Falta Fecha"))</f>
        <v>.</v>
      </c>
      <c r="O955" s="155">
        <f>Formulario!L963</f>
        <v>0</v>
      </c>
      <c r="P955" s="146">
        <f>IF(O955=1,"09:00",Formulario!M963)</f>
        <v>0</v>
      </c>
      <c r="Q955" s="146">
        <f>IF(O955=1,"18:30",Formulario!N963)</f>
        <v>0</v>
      </c>
      <c r="R955" s="146" t="str">
        <f>IF(Formulario!O963&lt;&gt;"",IF(Formulario!O963=" ",".",Formulario!O963),".")</f>
        <v>.</v>
      </c>
      <c r="S955" s="141" t="s">
        <v>131</v>
      </c>
    </row>
    <row r="956" spans="1:19">
      <c r="A956" s="141">
        <f>Formulario!B964</f>
        <v>0</v>
      </c>
      <c r="B956" s="144" t="str">
        <f>IF(G956="."," ",Formulario!D$5)</f>
        <v xml:space="preserve"> </v>
      </c>
      <c r="C956" s="144" t="str">
        <f>IF(G956=".","",Formulario!D$6)</f>
        <v/>
      </c>
      <c r="D956" s="144" t="str">
        <f>IF(H956=".","",Formulario!D$7)</f>
        <v/>
      </c>
      <c r="E956" s="144" t="str">
        <f>IF(G956=".","",Formulario!J$5)</f>
        <v/>
      </c>
      <c r="F956" s="145" t="str">
        <f>IF(G956=".","",Formulario!J$6)</f>
        <v/>
      </c>
      <c r="G956" s="180" t="str">
        <f>IF(Formulario!C964&lt;&gt;"",IF(Formulario!C964=" ","Falta Depto",IF(H956=".","Error En Descripción",Formulario!C964)),IF(H956=".",".","Falta Datos"))</f>
        <v>.</v>
      </c>
      <c r="H956" s="144" t="str">
        <f>IF(Formulario!D964&lt;&gt;"",IF(Formulario!D964=" ",".",Formulario!D964),".")</f>
        <v>.</v>
      </c>
      <c r="I956" s="144" t="str">
        <f>IF(Formulario!E964&lt;&gt;"",IF(Formulario!E964=" "," ",Formulario!E964),IF(G956=".",".","Falta Propietario"))</f>
        <v>.</v>
      </c>
      <c r="J956" s="144" t="str">
        <f>IF(Formulario!F964&lt;&gt;"",IF(Formulario!F964=" "," ",Formulario!F964)," ")</f>
        <v xml:space="preserve"> </v>
      </c>
      <c r="K956" s="144" t="str">
        <f>IF(Formulario!G964&lt;&gt;"",IF(Formulario!G964=" "," ",Formulario!G964)," ")</f>
        <v xml:space="preserve"> </v>
      </c>
      <c r="L956" s="144" t="str">
        <f>IF(Formulario!H964&lt;&gt;"",IF(Formulario!H964=" "," ",Formulario!H964)," ")</f>
        <v xml:space="preserve"> </v>
      </c>
      <c r="M956" s="144" t="str">
        <f>IF(Formulario!I964&lt;&gt;"",IF(Formulario!I964=" "," ",Formulario!I964)," ")</f>
        <v xml:space="preserve"> </v>
      </c>
      <c r="N956" s="145" t="str">
        <f>IF(Formulario!J964&lt;&gt;"",IF(Formulario!J964=" "," ",Formulario!J964),IF(G956=".",".","Falta Fecha"))</f>
        <v>.</v>
      </c>
      <c r="O956" s="155">
        <f>Formulario!L964</f>
        <v>0</v>
      </c>
      <c r="P956" s="146">
        <f>IF(O956=1,"09:00",Formulario!M964)</f>
        <v>0</v>
      </c>
      <c r="Q956" s="146">
        <f>IF(O956=1,"18:30",Formulario!N964)</f>
        <v>0</v>
      </c>
      <c r="R956" s="146" t="str">
        <f>IF(Formulario!O964&lt;&gt;"",IF(Formulario!O964=" ",".",Formulario!O964),".")</f>
        <v>.</v>
      </c>
      <c r="S956" s="141" t="s">
        <v>131</v>
      </c>
    </row>
    <row r="957" spans="1:19">
      <c r="A957" s="141">
        <f>Formulario!B965</f>
        <v>0</v>
      </c>
      <c r="B957" s="144" t="str">
        <f>IF(G957="."," ",Formulario!D$5)</f>
        <v xml:space="preserve"> </v>
      </c>
      <c r="C957" s="144" t="str">
        <f>IF(G957=".","",Formulario!D$6)</f>
        <v/>
      </c>
      <c r="D957" s="144" t="str">
        <f>IF(H957=".","",Formulario!D$7)</f>
        <v/>
      </c>
      <c r="E957" s="144" t="str">
        <f>IF(G957=".","",Formulario!J$5)</f>
        <v/>
      </c>
      <c r="F957" s="145" t="str">
        <f>IF(G957=".","",Formulario!J$6)</f>
        <v/>
      </c>
      <c r="G957" s="180" t="str">
        <f>IF(Formulario!C965&lt;&gt;"",IF(Formulario!C965=" ","Falta Depto",IF(H957=".","Error En Descripción",Formulario!C965)),IF(H957=".",".","Falta Datos"))</f>
        <v>.</v>
      </c>
      <c r="H957" s="144" t="str">
        <f>IF(Formulario!D965&lt;&gt;"",IF(Formulario!D965=" ",".",Formulario!D965),".")</f>
        <v>.</v>
      </c>
      <c r="I957" s="144" t="str">
        <f>IF(Formulario!E965&lt;&gt;"",IF(Formulario!E965=" "," ",Formulario!E965),IF(G957=".",".","Falta Propietario"))</f>
        <v>.</v>
      </c>
      <c r="J957" s="144" t="str">
        <f>IF(Formulario!F965&lt;&gt;"",IF(Formulario!F965=" "," ",Formulario!F965)," ")</f>
        <v xml:space="preserve"> </v>
      </c>
      <c r="K957" s="144" t="str">
        <f>IF(Formulario!G965&lt;&gt;"",IF(Formulario!G965=" "," ",Formulario!G965)," ")</f>
        <v xml:space="preserve"> </v>
      </c>
      <c r="L957" s="144" t="str">
        <f>IF(Formulario!H965&lt;&gt;"",IF(Formulario!H965=" "," ",Formulario!H965)," ")</f>
        <v xml:space="preserve"> </v>
      </c>
      <c r="M957" s="144" t="str">
        <f>IF(Formulario!I965&lt;&gt;"",IF(Formulario!I965=" "," ",Formulario!I965)," ")</f>
        <v xml:space="preserve"> </v>
      </c>
      <c r="N957" s="145" t="str">
        <f>IF(Formulario!J965&lt;&gt;"",IF(Formulario!J965=" "," ",Formulario!J965),IF(G957=".",".","Falta Fecha"))</f>
        <v>.</v>
      </c>
      <c r="O957" s="155">
        <f>Formulario!L965</f>
        <v>0</v>
      </c>
      <c r="P957" s="146">
        <f>IF(O957=1,"09:00",Formulario!M965)</f>
        <v>0</v>
      </c>
      <c r="Q957" s="146">
        <f>IF(O957=1,"18:30",Formulario!N965)</f>
        <v>0</v>
      </c>
      <c r="R957" s="146" t="str">
        <f>IF(Formulario!O965&lt;&gt;"",IF(Formulario!O965=" ",".",Formulario!O965),".")</f>
        <v>.</v>
      </c>
      <c r="S957" s="141" t="s">
        <v>131</v>
      </c>
    </row>
    <row r="958" spans="1:19">
      <c r="A958" s="141">
        <f>Formulario!B966</f>
        <v>0</v>
      </c>
      <c r="B958" s="144" t="str">
        <f>IF(G958="."," ",Formulario!D$5)</f>
        <v xml:space="preserve"> </v>
      </c>
      <c r="C958" s="144" t="str">
        <f>IF(G958=".","",Formulario!D$6)</f>
        <v/>
      </c>
      <c r="D958" s="144" t="str">
        <f>IF(H958=".","",Formulario!D$7)</f>
        <v/>
      </c>
      <c r="E958" s="144" t="str">
        <f>IF(G958=".","",Formulario!J$5)</f>
        <v/>
      </c>
      <c r="F958" s="145" t="str">
        <f>IF(G958=".","",Formulario!J$6)</f>
        <v/>
      </c>
      <c r="G958" s="180" t="str">
        <f>IF(Formulario!C966&lt;&gt;"",IF(Formulario!C966=" ","Falta Depto",IF(H958=".","Error En Descripción",Formulario!C966)),IF(H958=".",".","Falta Datos"))</f>
        <v>.</v>
      </c>
      <c r="H958" s="144" t="str">
        <f>IF(Formulario!D966&lt;&gt;"",IF(Formulario!D966=" ",".",Formulario!D966),".")</f>
        <v>.</v>
      </c>
      <c r="I958" s="144" t="str">
        <f>IF(Formulario!E966&lt;&gt;"",IF(Formulario!E966=" "," ",Formulario!E966),IF(G958=".",".","Falta Propietario"))</f>
        <v>.</v>
      </c>
      <c r="J958" s="144" t="str">
        <f>IF(Formulario!F966&lt;&gt;"",IF(Formulario!F966=" "," ",Formulario!F966)," ")</f>
        <v xml:space="preserve"> </v>
      </c>
      <c r="K958" s="144" t="str">
        <f>IF(Formulario!G966&lt;&gt;"",IF(Formulario!G966=" "," ",Formulario!G966)," ")</f>
        <v xml:space="preserve"> </v>
      </c>
      <c r="L958" s="144" t="str">
        <f>IF(Formulario!H966&lt;&gt;"",IF(Formulario!H966=" "," ",Formulario!H966)," ")</f>
        <v xml:space="preserve"> </v>
      </c>
      <c r="M958" s="144" t="str">
        <f>IF(Formulario!I966&lt;&gt;"",IF(Formulario!I966=" "," ",Formulario!I966)," ")</f>
        <v xml:space="preserve"> </v>
      </c>
      <c r="N958" s="145" t="str">
        <f>IF(Formulario!J966&lt;&gt;"",IF(Formulario!J966=" "," ",Formulario!J966),IF(G958=".",".","Falta Fecha"))</f>
        <v>.</v>
      </c>
      <c r="O958" s="155">
        <f>Formulario!L966</f>
        <v>0</v>
      </c>
      <c r="P958" s="146">
        <f>IF(O958=1,"09:00",Formulario!M966)</f>
        <v>0</v>
      </c>
      <c r="Q958" s="146">
        <f>IF(O958=1,"18:30",Formulario!N966)</f>
        <v>0</v>
      </c>
      <c r="R958" s="146" t="str">
        <f>IF(Formulario!O966&lt;&gt;"",IF(Formulario!O966=" ",".",Formulario!O966),".")</f>
        <v>.</v>
      </c>
      <c r="S958" s="141" t="s">
        <v>131</v>
      </c>
    </row>
    <row r="959" spans="1:19">
      <c r="A959" s="141">
        <f>Formulario!B967</f>
        <v>0</v>
      </c>
      <c r="B959" s="144" t="str">
        <f>IF(G959="."," ",Formulario!D$5)</f>
        <v xml:space="preserve"> </v>
      </c>
      <c r="C959" s="144" t="str">
        <f>IF(G959=".","",Formulario!D$6)</f>
        <v/>
      </c>
      <c r="D959" s="144" t="str">
        <f>IF(H959=".","",Formulario!D$7)</f>
        <v/>
      </c>
      <c r="E959" s="144" t="str">
        <f>IF(G959=".","",Formulario!J$5)</f>
        <v/>
      </c>
      <c r="F959" s="145" t="str">
        <f>IF(G959=".","",Formulario!J$6)</f>
        <v/>
      </c>
      <c r="G959" s="180" t="str">
        <f>IF(Formulario!C967&lt;&gt;"",IF(Formulario!C967=" ","Falta Depto",IF(H959=".","Error En Descripción",Formulario!C967)),IF(H959=".",".","Falta Datos"))</f>
        <v>.</v>
      </c>
      <c r="H959" s="144" t="str">
        <f>IF(Formulario!D967&lt;&gt;"",IF(Formulario!D967=" ",".",Formulario!D967),".")</f>
        <v>.</v>
      </c>
      <c r="I959" s="144" t="str">
        <f>IF(Formulario!E967&lt;&gt;"",IF(Formulario!E967=" "," ",Formulario!E967),IF(G959=".",".","Falta Propietario"))</f>
        <v>.</v>
      </c>
      <c r="J959" s="144" t="str">
        <f>IF(Formulario!F967&lt;&gt;"",IF(Formulario!F967=" "," ",Formulario!F967)," ")</f>
        <v xml:space="preserve"> </v>
      </c>
      <c r="K959" s="144" t="str">
        <f>IF(Formulario!G967&lt;&gt;"",IF(Formulario!G967=" "," ",Formulario!G967)," ")</f>
        <v xml:space="preserve"> </v>
      </c>
      <c r="L959" s="144" t="str">
        <f>IF(Formulario!H967&lt;&gt;"",IF(Formulario!H967=" "," ",Formulario!H967)," ")</f>
        <v xml:space="preserve"> </v>
      </c>
      <c r="M959" s="144" t="str">
        <f>IF(Formulario!I967&lt;&gt;"",IF(Formulario!I967=" "," ",Formulario!I967)," ")</f>
        <v xml:space="preserve"> </v>
      </c>
      <c r="N959" s="145" t="str">
        <f>IF(Formulario!J967&lt;&gt;"",IF(Formulario!J967=" "," ",Formulario!J967),IF(G959=".",".","Falta Fecha"))</f>
        <v>.</v>
      </c>
      <c r="O959" s="155">
        <f>Formulario!L967</f>
        <v>0</v>
      </c>
      <c r="P959" s="146">
        <f>IF(O959=1,"09:00",Formulario!M967)</f>
        <v>0</v>
      </c>
      <c r="Q959" s="146">
        <f>IF(O959=1,"18:30",Formulario!N967)</f>
        <v>0</v>
      </c>
      <c r="R959" s="146" t="str">
        <f>IF(Formulario!O967&lt;&gt;"",IF(Formulario!O967=" ",".",Formulario!O967),".")</f>
        <v>.</v>
      </c>
      <c r="S959" s="141" t="s">
        <v>131</v>
      </c>
    </row>
    <row r="960" spans="1:19">
      <c r="A960" s="141">
        <f>Formulario!B968</f>
        <v>0</v>
      </c>
      <c r="B960" s="144" t="str">
        <f>IF(G960="."," ",Formulario!D$5)</f>
        <v xml:space="preserve"> </v>
      </c>
      <c r="C960" s="144" t="str">
        <f>IF(G960=".","",Formulario!D$6)</f>
        <v/>
      </c>
      <c r="D960" s="144" t="str">
        <f>IF(H960=".","",Formulario!D$7)</f>
        <v/>
      </c>
      <c r="E960" s="144" t="str">
        <f>IF(G960=".","",Formulario!J$5)</f>
        <v/>
      </c>
      <c r="F960" s="145" t="str">
        <f>IF(G960=".","",Formulario!J$6)</f>
        <v/>
      </c>
      <c r="G960" s="180" t="str">
        <f>IF(Formulario!C968&lt;&gt;"",IF(Formulario!C968=" ","Falta Depto",IF(H960=".","Error En Descripción",Formulario!C968)),IF(H960=".",".","Falta Datos"))</f>
        <v>.</v>
      </c>
      <c r="H960" s="144" t="str">
        <f>IF(Formulario!D968&lt;&gt;"",IF(Formulario!D968=" ",".",Formulario!D968),".")</f>
        <v>.</v>
      </c>
      <c r="I960" s="144" t="str">
        <f>IF(Formulario!E968&lt;&gt;"",IF(Formulario!E968=" "," ",Formulario!E968),IF(G960=".",".","Falta Propietario"))</f>
        <v>.</v>
      </c>
      <c r="J960" s="144" t="str">
        <f>IF(Formulario!F968&lt;&gt;"",IF(Formulario!F968=" "," ",Formulario!F968)," ")</f>
        <v xml:space="preserve"> </v>
      </c>
      <c r="K960" s="144" t="str">
        <f>IF(Formulario!G968&lt;&gt;"",IF(Formulario!G968=" "," ",Formulario!G968)," ")</f>
        <v xml:space="preserve"> </v>
      </c>
      <c r="L960" s="144" t="str">
        <f>IF(Formulario!H968&lt;&gt;"",IF(Formulario!H968=" "," ",Formulario!H968)," ")</f>
        <v xml:space="preserve"> </v>
      </c>
      <c r="M960" s="144" t="str">
        <f>IF(Formulario!I968&lt;&gt;"",IF(Formulario!I968=" "," ",Formulario!I968)," ")</f>
        <v xml:space="preserve"> </v>
      </c>
      <c r="N960" s="145" t="str">
        <f>IF(Formulario!J968&lt;&gt;"",IF(Formulario!J968=" "," ",Formulario!J968),IF(G960=".",".","Falta Fecha"))</f>
        <v>.</v>
      </c>
      <c r="O960" s="155">
        <f>Formulario!L968</f>
        <v>0</v>
      </c>
      <c r="P960" s="146">
        <f>IF(O960=1,"09:00",Formulario!M968)</f>
        <v>0</v>
      </c>
      <c r="Q960" s="146">
        <f>IF(O960=1,"18:30",Formulario!N968)</f>
        <v>0</v>
      </c>
      <c r="R960" s="146" t="str">
        <f>IF(Formulario!O968&lt;&gt;"",IF(Formulario!O968=" ",".",Formulario!O968),".")</f>
        <v>.</v>
      </c>
      <c r="S960" s="141" t="s">
        <v>131</v>
      </c>
    </row>
    <row r="961" spans="1:19">
      <c r="A961" s="141">
        <f>Formulario!B969</f>
        <v>0</v>
      </c>
      <c r="B961" s="144" t="str">
        <f>IF(G961="."," ",Formulario!D$5)</f>
        <v xml:space="preserve"> </v>
      </c>
      <c r="C961" s="144" t="str">
        <f>IF(G961=".","",Formulario!D$6)</f>
        <v/>
      </c>
      <c r="D961" s="144" t="str">
        <f>IF(H961=".","",Formulario!D$7)</f>
        <v/>
      </c>
      <c r="E961" s="144" t="str">
        <f>IF(G961=".","",Formulario!J$5)</f>
        <v/>
      </c>
      <c r="F961" s="145" t="str">
        <f>IF(G961=".","",Formulario!J$6)</f>
        <v/>
      </c>
      <c r="G961" s="180" t="str">
        <f>IF(Formulario!C969&lt;&gt;"",IF(Formulario!C969=" ","Falta Depto",IF(H961=".","Error En Descripción",Formulario!C969)),IF(H961=".",".","Falta Datos"))</f>
        <v>.</v>
      </c>
      <c r="H961" s="144" t="str">
        <f>IF(Formulario!D969&lt;&gt;"",IF(Formulario!D969=" ",".",Formulario!D969),".")</f>
        <v>.</v>
      </c>
      <c r="I961" s="144" t="str">
        <f>IF(Formulario!E969&lt;&gt;"",IF(Formulario!E969=" "," ",Formulario!E969),IF(G961=".",".","Falta Propietario"))</f>
        <v>.</v>
      </c>
      <c r="J961" s="144" t="str">
        <f>IF(Formulario!F969&lt;&gt;"",IF(Formulario!F969=" "," ",Formulario!F969)," ")</f>
        <v xml:space="preserve"> </v>
      </c>
      <c r="K961" s="144" t="str">
        <f>IF(Formulario!G969&lt;&gt;"",IF(Formulario!G969=" "," ",Formulario!G969)," ")</f>
        <v xml:space="preserve"> </v>
      </c>
      <c r="L961" s="144" t="str">
        <f>IF(Formulario!H969&lt;&gt;"",IF(Formulario!H969=" "," ",Formulario!H969)," ")</f>
        <v xml:space="preserve"> </v>
      </c>
      <c r="M961" s="144" t="str">
        <f>IF(Formulario!I969&lt;&gt;"",IF(Formulario!I969=" "," ",Formulario!I969)," ")</f>
        <v xml:space="preserve"> </v>
      </c>
      <c r="N961" s="145" t="str">
        <f>IF(Formulario!J969&lt;&gt;"",IF(Formulario!J969=" "," ",Formulario!J969),IF(G961=".",".","Falta Fecha"))</f>
        <v>.</v>
      </c>
      <c r="O961" s="155">
        <f>Formulario!L969</f>
        <v>0</v>
      </c>
      <c r="P961" s="146">
        <f>IF(O961=1,"09:00",Formulario!M969)</f>
        <v>0</v>
      </c>
      <c r="Q961" s="146">
        <f>IF(O961=1,"18:30",Formulario!N969)</f>
        <v>0</v>
      </c>
      <c r="R961" s="146" t="str">
        <f>IF(Formulario!O969&lt;&gt;"",IF(Formulario!O969=" ",".",Formulario!O969),".")</f>
        <v>.</v>
      </c>
      <c r="S961" s="141" t="s">
        <v>131</v>
      </c>
    </row>
    <row r="962" spans="1:19">
      <c r="A962" s="141">
        <f>Formulario!B970</f>
        <v>0</v>
      </c>
      <c r="B962" s="144" t="str">
        <f>IF(G962="."," ",Formulario!D$5)</f>
        <v xml:space="preserve"> </v>
      </c>
      <c r="C962" s="144" t="str">
        <f>IF(G962=".","",Formulario!D$6)</f>
        <v/>
      </c>
      <c r="D962" s="144" t="str">
        <f>IF(H962=".","",Formulario!D$7)</f>
        <v/>
      </c>
      <c r="E962" s="144" t="str">
        <f>IF(G962=".","",Formulario!J$5)</f>
        <v/>
      </c>
      <c r="F962" s="145" t="str">
        <f>IF(G962=".","",Formulario!J$6)</f>
        <v/>
      </c>
      <c r="G962" s="180" t="str">
        <f>IF(Formulario!C970&lt;&gt;"",IF(Formulario!C970=" ","Falta Depto",IF(H962=".","Error En Descripción",Formulario!C970)),IF(H962=".",".","Falta Datos"))</f>
        <v>.</v>
      </c>
      <c r="H962" s="144" t="str">
        <f>IF(Formulario!D970&lt;&gt;"",IF(Formulario!D970=" ",".",Formulario!D970),".")</f>
        <v>.</v>
      </c>
      <c r="I962" s="144" t="str">
        <f>IF(Formulario!E970&lt;&gt;"",IF(Formulario!E970=" "," ",Formulario!E970),IF(G962=".",".","Falta Propietario"))</f>
        <v>.</v>
      </c>
      <c r="J962" s="144" t="str">
        <f>IF(Formulario!F970&lt;&gt;"",IF(Formulario!F970=" "," ",Formulario!F970)," ")</f>
        <v xml:space="preserve"> </v>
      </c>
      <c r="K962" s="144" t="str">
        <f>IF(Formulario!G970&lt;&gt;"",IF(Formulario!G970=" "," ",Formulario!G970)," ")</f>
        <v xml:space="preserve"> </v>
      </c>
      <c r="L962" s="144" t="str">
        <f>IF(Formulario!H970&lt;&gt;"",IF(Formulario!H970=" "," ",Formulario!H970)," ")</f>
        <v xml:space="preserve"> </v>
      </c>
      <c r="M962" s="144" t="str">
        <f>IF(Formulario!I970&lt;&gt;"",IF(Formulario!I970=" "," ",Formulario!I970)," ")</f>
        <v xml:space="preserve"> </v>
      </c>
      <c r="N962" s="145" t="str">
        <f>IF(Formulario!J970&lt;&gt;"",IF(Formulario!J970=" "," ",Formulario!J970),IF(G962=".",".","Falta Fecha"))</f>
        <v>.</v>
      </c>
      <c r="O962" s="155">
        <f>Formulario!L970</f>
        <v>0</v>
      </c>
      <c r="P962" s="146">
        <f>IF(O962=1,"09:00",Formulario!M970)</f>
        <v>0</v>
      </c>
      <c r="Q962" s="146">
        <f>IF(O962=1,"18:30",Formulario!N970)</f>
        <v>0</v>
      </c>
      <c r="R962" s="146" t="str">
        <f>IF(Formulario!O970&lt;&gt;"",IF(Formulario!O970=" ",".",Formulario!O970),".")</f>
        <v>.</v>
      </c>
      <c r="S962" s="141" t="s">
        <v>131</v>
      </c>
    </row>
    <row r="963" spans="1:19">
      <c r="A963" s="141">
        <f>Formulario!B971</f>
        <v>0</v>
      </c>
      <c r="B963" s="144" t="str">
        <f>IF(G963="."," ",Formulario!D$5)</f>
        <v xml:space="preserve"> </v>
      </c>
      <c r="C963" s="144" t="str">
        <f>IF(G963=".","",Formulario!D$6)</f>
        <v/>
      </c>
      <c r="D963" s="144" t="str">
        <f>IF(H963=".","",Formulario!D$7)</f>
        <v/>
      </c>
      <c r="E963" s="144" t="str">
        <f>IF(G963=".","",Formulario!J$5)</f>
        <v/>
      </c>
      <c r="F963" s="145" t="str">
        <f>IF(G963=".","",Formulario!J$6)</f>
        <v/>
      </c>
      <c r="G963" s="180" t="str">
        <f>IF(Formulario!C971&lt;&gt;"",IF(Formulario!C971=" ","Falta Depto",IF(H963=".","Error En Descripción",Formulario!C971)),IF(H963=".",".","Falta Datos"))</f>
        <v>.</v>
      </c>
      <c r="H963" s="144" t="str">
        <f>IF(Formulario!D971&lt;&gt;"",IF(Formulario!D971=" ",".",Formulario!D971),".")</f>
        <v>.</v>
      </c>
      <c r="I963" s="144" t="str">
        <f>IF(Formulario!E971&lt;&gt;"",IF(Formulario!E971=" "," ",Formulario!E971),IF(G963=".",".","Falta Propietario"))</f>
        <v>.</v>
      </c>
      <c r="J963" s="144" t="str">
        <f>IF(Formulario!F971&lt;&gt;"",IF(Formulario!F971=" "," ",Formulario!F971)," ")</f>
        <v xml:space="preserve"> </v>
      </c>
      <c r="K963" s="144" t="str">
        <f>IF(Formulario!G971&lt;&gt;"",IF(Formulario!G971=" "," ",Formulario!G971)," ")</f>
        <v xml:space="preserve"> </v>
      </c>
      <c r="L963" s="144" t="str">
        <f>IF(Formulario!H971&lt;&gt;"",IF(Formulario!H971=" "," ",Formulario!H971)," ")</f>
        <v xml:space="preserve"> </v>
      </c>
      <c r="M963" s="144" t="str">
        <f>IF(Formulario!I971&lt;&gt;"",IF(Formulario!I971=" "," ",Formulario!I971)," ")</f>
        <v xml:space="preserve"> </v>
      </c>
      <c r="N963" s="145" t="str">
        <f>IF(Formulario!J971&lt;&gt;"",IF(Formulario!J971=" "," ",Formulario!J971),IF(G963=".",".","Falta Fecha"))</f>
        <v>.</v>
      </c>
      <c r="O963" s="155">
        <f>Formulario!L971</f>
        <v>0</v>
      </c>
      <c r="P963" s="146">
        <f>IF(O963=1,"09:00",Formulario!M971)</f>
        <v>0</v>
      </c>
      <c r="Q963" s="146">
        <f>IF(O963=1,"18:30",Formulario!N971)</f>
        <v>0</v>
      </c>
      <c r="R963" s="146" t="str">
        <f>IF(Formulario!O971&lt;&gt;"",IF(Formulario!O971=" ",".",Formulario!O971),".")</f>
        <v>.</v>
      </c>
      <c r="S963" s="141" t="s">
        <v>131</v>
      </c>
    </row>
    <row r="964" spans="1:19">
      <c r="A964" s="141">
        <f>Formulario!B972</f>
        <v>0</v>
      </c>
      <c r="B964" s="144" t="str">
        <f>IF(G964="."," ",Formulario!D$5)</f>
        <v xml:space="preserve"> </v>
      </c>
      <c r="C964" s="144" t="str">
        <f>IF(G964=".","",Formulario!D$6)</f>
        <v/>
      </c>
      <c r="D964" s="144" t="str">
        <f>IF(H964=".","",Formulario!D$7)</f>
        <v/>
      </c>
      <c r="E964" s="144" t="str">
        <f>IF(G964=".","",Formulario!J$5)</f>
        <v/>
      </c>
      <c r="F964" s="145" t="str">
        <f>IF(G964=".","",Formulario!J$6)</f>
        <v/>
      </c>
      <c r="G964" s="180" t="str">
        <f>IF(Formulario!C972&lt;&gt;"",IF(Formulario!C972=" ","Falta Depto",IF(H964=".","Error En Descripción",Formulario!C972)),IF(H964=".",".","Falta Datos"))</f>
        <v>.</v>
      </c>
      <c r="H964" s="144" t="str">
        <f>IF(Formulario!D972&lt;&gt;"",IF(Formulario!D972=" ",".",Formulario!D972),".")</f>
        <v>.</v>
      </c>
      <c r="I964" s="144" t="str">
        <f>IF(Formulario!E972&lt;&gt;"",IF(Formulario!E972=" "," ",Formulario!E972),IF(G964=".",".","Falta Propietario"))</f>
        <v>.</v>
      </c>
      <c r="J964" s="144" t="str">
        <f>IF(Formulario!F972&lt;&gt;"",IF(Formulario!F972=" "," ",Formulario!F972)," ")</f>
        <v xml:space="preserve"> </v>
      </c>
      <c r="K964" s="144" t="str">
        <f>IF(Formulario!G972&lt;&gt;"",IF(Formulario!G972=" "," ",Formulario!G972)," ")</f>
        <v xml:space="preserve"> </v>
      </c>
      <c r="L964" s="144" t="str">
        <f>IF(Formulario!H972&lt;&gt;"",IF(Formulario!H972=" "," ",Formulario!H972)," ")</f>
        <v xml:space="preserve"> </v>
      </c>
      <c r="M964" s="144" t="str">
        <f>IF(Formulario!I972&lt;&gt;"",IF(Formulario!I972=" "," ",Formulario!I972)," ")</f>
        <v xml:space="preserve"> </v>
      </c>
      <c r="N964" s="145" t="str">
        <f>IF(Formulario!J972&lt;&gt;"",IF(Formulario!J972=" "," ",Formulario!J972),IF(G964=".",".","Falta Fecha"))</f>
        <v>.</v>
      </c>
      <c r="O964" s="155">
        <f>Formulario!L972</f>
        <v>0</v>
      </c>
      <c r="P964" s="146">
        <f>IF(O964=1,"09:00",Formulario!M972)</f>
        <v>0</v>
      </c>
      <c r="Q964" s="146">
        <f>IF(O964=1,"18:30",Formulario!N972)</f>
        <v>0</v>
      </c>
      <c r="R964" s="146" t="str">
        <f>IF(Formulario!O972&lt;&gt;"",IF(Formulario!O972=" ",".",Formulario!O972),".")</f>
        <v>.</v>
      </c>
      <c r="S964" s="141" t="s">
        <v>131</v>
      </c>
    </row>
    <row r="965" spans="1:19">
      <c r="A965" s="141">
        <f>Formulario!B973</f>
        <v>0</v>
      </c>
      <c r="B965" s="144" t="str">
        <f>IF(G965="."," ",Formulario!D$5)</f>
        <v xml:space="preserve"> </v>
      </c>
      <c r="C965" s="144" t="str">
        <f>IF(G965=".","",Formulario!D$6)</f>
        <v/>
      </c>
      <c r="D965" s="144" t="str">
        <f>IF(H965=".","",Formulario!D$7)</f>
        <v/>
      </c>
      <c r="E965" s="144" t="str">
        <f>IF(G965=".","",Formulario!J$5)</f>
        <v/>
      </c>
      <c r="F965" s="145" t="str">
        <f>IF(G965=".","",Formulario!J$6)</f>
        <v/>
      </c>
      <c r="G965" s="180" t="str">
        <f>IF(Formulario!C973&lt;&gt;"",IF(Formulario!C973=" ","Falta Depto",IF(H965=".","Error En Descripción",Formulario!C973)),IF(H965=".",".","Falta Datos"))</f>
        <v>.</v>
      </c>
      <c r="H965" s="144" t="str">
        <f>IF(Formulario!D973&lt;&gt;"",IF(Formulario!D973=" ",".",Formulario!D973),".")</f>
        <v>.</v>
      </c>
      <c r="I965" s="144" t="str">
        <f>IF(Formulario!E973&lt;&gt;"",IF(Formulario!E973=" "," ",Formulario!E973),IF(G965=".",".","Falta Propietario"))</f>
        <v>.</v>
      </c>
      <c r="J965" s="144" t="str">
        <f>IF(Formulario!F973&lt;&gt;"",IF(Formulario!F973=" "," ",Formulario!F973)," ")</f>
        <v xml:space="preserve"> </v>
      </c>
      <c r="K965" s="144" t="str">
        <f>IF(Formulario!G973&lt;&gt;"",IF(Formulario!G973=" "," ",Formulario!G973)," ")</f>
        <v xml:space="preserve"> </v>
      </c>
      <c r="L965" s="144" t="str">
        <f>IF(Formulario!H973&lt;&gt;"",IF(Formulario!H973=" "," ",Formulario!H973)," ")</f>
        <v xml:space="preserve"> </v>
      </c>
      <c r="M965" s="144" t="str">
        <f>IF(Formulario!I973&lt;&gt;"",IF(Formulario!I973=" "," ",Formulario!I973)," ")</f>
        <v xml:space="preserve"> </v>
      </c>
      <c r="N965" s="145" t="str">
        <f>IF(Formulario!J973&lt;&gt;"",IF(Formulario!J973=" "," ",Formulario!J973),IF(G965=".",".","Falta Fecha"))</f>
        <v>.</v>
      </c>
      <c r="O965" s="155">
        <f>Formulario!L973</f>
        <v>0</v>
      </c>
      <c r="P965" s="146">
        <f>IF(O965=1,"09:00",Formulario!M973)</f>
        <v>0</v>
      </c>
      <c r="Q965" s="146">
        <f>IF(O965=1,"18:30",Formulario!N973)</f>
        <v>0</v>
      </c>
      <c r="R965" s="146" t="str">
        <f>IF(Formulario!O973&lt;&gt;"",IF(Formulario!O973=" ",".",Formulario!O973),".")</f>
        <v>.</v>
      </c>
      <c r="S965" s="141" t="s">
        <v>131</v>
      </c>
    </row>
    <row r="966" spans="1:19">
      <c r="A966" s="141">
        <f>Formulario!B974</f>
        <v>0</v>
      </c>
      <c r="B966" s="144" t="str">
        <f>IF(G966="."," ",Formulario!D$5)</f>
        <v xml:space="preserve"> </v>
      </c>
      <c r="C966" s="144" t="str">
        <f>IF(G966=".","",Formulario!D$6)</f>
        <v/>
      </c>
      <c r="D966" s="144" t="str">
        <f>IF(H966=".","",Formulario!D$7)</f>
        <v/>
      </c>
      <c r="E966" s="144" t="str">
        <f>IF(G966=".","",Formulario!J$5)</f>
        <v/>
      </c>
      <c r="F966" s="145" t="str">
        <f>IF(G966=".","",Formulario!J$6)</f>
        <v/>
      </c>
      <c r="G966" s="180" t="str">
        <f>IF(Formulario!C974&lt;&gt;"",IF(Formulario!C974=" ","Falta Depto",IF(H966=".","Error En Descripción",Formulario!C974)),IF(H966=".",".","Falta Datos"))</f>
        <v>.</v>
      </c>
      <c r="H966" s="144" t="str">
        <f>IF(Formulario!D974&lt;&gt;"",IF(Formulario!D974=" ",".",Formulario!D974),".")</f>
        <v>.</v>
      </c>
      <c r="I966" s="144" t="str">
        <f>IF(Formulario!E974&lt;&gt;"",IF(Formulario!E974=" "," ",Formulario!E974),IF(G966=".",".","Falta Propietario"))</f>
        <v>.</v>
      </c>
      <c r="J966" s="144" t="str">
        <f>IF(Formulario!F974&lt;&gt;"",IF(Formulario!F974=" "," ",Formulario!F974)," ")</f>
        <v xml:space="preserve"> </v>
      </c>
      <c r="K966" s="144" t="str">
        <f>IF(Formulario!G974&lt;&gt;"",IF(Formulario!G974=" "," ",Formulario!G974)," ")</f>
        <v xml:space="preserve"> </v>
      </c>
      <c r="L966" s="144" t="str">
        <f>IF(Formulario!H974&lt;&gt;"",IF(Formulario!H974=" "," ",Formulario!H974)," ")</f>
        <v xml:space="preserve"> </v>
      </c>
      <c r="M966" s="144" t="str">
        <f>IF(Formulario!I974&lt;&gt;"",IF(Formulario!I974=" "," ",Formulario!I974)," ")</f>
        <v xml:space="preserve"> </v>
      </c>
      <c r="N966" s="145" t="str">
        <f>IF(Formulario!J974&lt;&gt;"",IF(Formulario!J974=" "," ",Formulario!J974),IF(G966=".",".","Falta Fecha"))</f>
        <v>.</v>
      </c>
      <c r="O966" s="155">
        <f>Formulario!L974</f>
        <v>0</v>
      </c>
      <c r="P966" s="146">
        <f>IF(O966=1,"09:00",Formulario!M974)</f>
        <v>0</v>
      </c>
      <c r="Q966" s="146">
        <f>IF(O966=1,"18:30",Formulario!N974)</f>
        <v>0</v>
      </c>
      <c r="R966" s="146" t="str">
        <f>IF(Formulario!O974&lt;&gt;"",IF(Formulario!O974=" ",".",Formulario!O974),".")</f>
        <v>.</v>
      </c>
      <c r="S966" s="141" t="s">
        <v>131</v>
      </c>
    </row>
    <row r="967" spans="1:19">
      <c r="A967" s="141">
        <f>Formulario!B975</f>
        <v>0</v>
      </c>
      <c r="B967" s="144" t="str">
        <f>IF(G967="."," ",Formulario!D$5)</f>
        <v xml:space="preserve"> </v>
      </c>
      <c r="C967" s="144" t="str">
        <f>IF(G967=".","",Formulario!D$6)</f>
        <v/>
      </c>
      <c r="D967" s="144" t="str">
        <f>IF(H967=".","",Formulario!D$7)</f>
        <v/>
      </c>
      <c r="E967" s="144" t="str">
        <f>IF(G967=".","",Formulario!J$5)</f>
        <v/>
      </c>
      <c r="F967" s="145" t="str">
        <f>IF(G967=".","",Formulario!J$6)</f>
        <v/>
      </c>
      <c r="G967" s="180" t="str">
        <f>IF(Formulario!C975&lt;&gt;"",IF(Formulario!C975=" ","Falta Depto",IF(H967=".","Error En Descripción",Formulario!C975)),IF(H967=".",".","Falta Datos"))</f>
        <v>.</v>
      </c>
      <c r="H967" s="144" t="str">
        <f>IF(Formulario!D975&lt;&gt;"",IF(Formulario!D975=" ",".",Formulario!D975),".")</f>
        <v>.</v>
      </c>
      <c r="I967" s="144" t="str">
        <f>IF(Formulario!E975&lt;&gt;"",IF(Formulario!E975=" "," ",Formulario!E975),IF(G967=".",".","Falta Propietario"))</f>
        <v>.</v>
      </c>
      <c r="J967" s="144" t="str">
        <f>IF(Formulario!F975&lt;&gt;"",IF(Formulario!F975=" "," ",Formulario!F975)," ")</f>
        <v xml:space="preserve"> </v>
      </c>
      <c r="K967" s="144" t="str">
        <f>IF(Formulario!G975&lt;&gt;"",IF(Formulario!G975=" "," ",Formulario!G975)," ")</f>
        <v xml:space="preserve"> </v>
      </c>
      <c r="L967" s="144" t="str">
        <f>IF(Formulario!H975&lt;&gt;"",IF(Formulario!H975=" "," ",Formulario!H975)," ")</f>
        <v xml:space="preserve"> </v>
      </c>
      <c r="M967" s="144" t="str">
        <f>IF(Formulario!I975&lt;&gt;"",IF(Formulario!I975=" "," ",Formulario!I975)," ")</f>
        <v xml:space="preserve"> </v>
      </c>
      <c r="N967" s="145" t="str">
        <f>IF(Formulario!J975&lt;&gt;"",IF(Formulario!J975=" "," ",Formulario!J975),IF(G967=".",".","Falta Fecha"))</f>
        <v>.</v>
      </c>
      <c r="O967" s="155">
        <f>Formulario!L975</f>
        <v>0</v>
      </c>
      <c r="P967" s="146">
        <f>IF(O967=1,"09:00",Formulario!M975)</f>
        <v>0</v>
      </c>
      <c r="Q967" s="146">
        <f>IF(O967=1,"18:30",Formulario!N975)</f>
        <v>0</v>
      </c>
      <c r="R967" s="146" t="str">
        <f>IF(Formulario!O975&lt;&gt;"",IF(Formulario!O975=" ",".",Formulario!O975),".")</f>
        <v>.</v>
      </c>
      <c r="S967" s="141" t="s">
        <v>131</v>
      </c>
    </row>
    <row r="968" spans="1:19">
      <c r="A968" s="141">
        <f>Formulario!B976</f>
        <v>0</v>
      </c>
      <c r="B968" s="144" t="str">
        <f>IF(G968="."," ",Formulario!D$5)</f>
        <v xml:space="preserve"> </v>
      </c>
      <c r="C968" s="144" t="str">
        <f>IF(G968=".","",Formulario!D$6)</f>
        <v/>
      </c>
      <c r="D968" s="144" t="str">
        <f>IF(H968=".","",Formulario!D$7)</f>
        <v/>
      </c>
      <c r="E968" s="144" t="str">
        <f>IF(G968=".","",Formulario!J$5)</f>
        <v/>
      </c>
      <c r="F968" s="145" t="str">
        <f>IF(G968=".","",Formulario!J$6)</f>
        <v/>
      </c>
      <c r="G968" s="180" t="str">
        <f>IF(Formulario!C976&lt;&gt;"",IF(Formulario!C976=" ","Falta Depto",IF(H968=".","Error En Descripción",Formulario!C976)),IF(H968=".",".","Falta Datos"))</f>
        <v>.</v>
      </c>
      <c r="H968" s="144" t="str">
        <f>IF(Formulario!D976&lt;&gt;"",IF(Formulario!D976=" ",".",Formulario!D976),".")</f>
        <v>.</v>
      </c>
      <c r="I968" s="144" t="str">
        <f>IF(Formulario!E976&lt;&gt;"",IF(Formulario!E976=" "," ",Formulario!E976),IF(G968=".",".","Falta Propietario"))</f>
        <v>.</v>
      </c>
      <c r="J968" s="144" t="str">
        <f>IF(Formulario!F976&lt;&gt;"",IF(Formulario!F976=" "," ",Formulario!F976)," ")</f>
        <v xml:space="preserve"> </v>
      </c>
      <c r="K968" s="144" t="str">
        <f>IF(Formulario!G976&lt;&gt;"",IF(Formulario!G976=" "," ",Formulario!G976)," ")</f>
        <v xml:space="preserve"> </v>
      </c>
      <c r="L968" s="144" t="str">
        <f>IF(Formulario!H976&lt;&gt;"",IF(Formulario!H976=" "," ",Formulario!H976)," ")</f>
        <v xml:space="preserve"> </v>
      </c>
      <c r="M968" s="144" t="str">
        <f>IF(Formulario!I976&lt;&gt;"",IF(Formulario!I976=" "," ",Formulario!I976)," ")</f>
        <v xml:space="preserve"> </v>
      </c>
      <c r="N968" s="145" t="str">
        <f>IF(Formulario!J976&lt;&gt;"",IF(Formulario!J976=" "," ",Formulario!J976),IF(G968=".",".","Falta Fecha"))</f>
        <v>.</v>
      </c>
      <c r="O968" s="155">
        <f>Formulario!L976</f>
        <v>0</v>
      </c>
      <c r="P968" s="146">
        <f>IF(O968=1,"09:00",Formulario!M976)</f>
        <v>0</v>
      </c>
      <c r="Q968" s="146">
        <f>IF(O968=1,"18:30",Formulario!N976)</f>
        <v>0</v>
      </c>
      <c r="R968" s="146" t="str">
        <f>IF(Formulario!O976&lt;&gt;"",IF(Formulario!O976=" ",".",Formulario!O976),".")</f>
        <v>.</v>
      </c>
      <c r="S968" s="141" t="s">
        <v>131</v>
      </c>
    </row>
    <row r="969" spans="1:19">
      <c r="A969" s="141">
        <f>Formulario!B977</f>
        <v>0</v>
      </c>
      <c r="B969" s="144" t="str">
        <f>IF(G969="."," ",Formulario!D$5)</f>
        <v xml:space="preserve"> </v>
      </c>
      <c r="C969" s="144" t="str">
        <f>IF(G969=".","",Formulario!D$6)</f>
        <v/>
      </c>
      <c r="D969" s="144" t="str">
        <f>IF(H969=".","",Formulario!D$7)</f>
        <v/>
      </c>
      <c r="E969" s="144" t="str">
        <f>IF(G969=".","",Formulario!J$5)</f>
        <v/>
      </c>
      <c r="F969" s="145" t="str">
        <f>IF(G969=".","",Formulario!J$6)</f>
        <v/>
      </c>
      <c r="G969" s="180" t="str">
        <f>IF(Formulario!C977&lt;&gt;"",IF(Formulario!C977=" ","Falta Depto",IF(H969=".","Error En Descripción",Formulario!C977)),IF(H969=".",".","Falta Datos"))</f>
        <v>.</v>
      </c>
      <c r="H969" s="144" t="str">
        <f>IF(Formulario!D977&lt;&gt;"",IF(Formulario!D977=" ",".",Formulario!D977),".")</f>
        <v>.</v>
      </c>
      <c r="I969" s="144" t="str">
        <f>IF(Formulario!E977&lt;&gt;"",IF(Formulario!E977=" "," ",Formulario!E977),IF(G969=".",".","Falta Propietario"))</f>
        <v>.</v>
      </c>
      <c r="J969" s="144" t="str">
        <f>IF(Formulario!F977&lt;&gt;"",IF(Formulario!F977=" "," ",Formulario!F977)," ")</f>
        <v xml:space="preserve"> </v>
      </c>
      <c r="K969" s="144" t="str">
        <f>IF(Formulario!G977&lt;&gt;"",IF(Formulario!G977=" "," ",Formulario!G977)," ")</f>
        <v xml:space="preserve"> </v>
      </c>
      <c r="L969" s="144" t="str">
        <f>IF(Formulario!H977&lt;&gt;"",IF(Formulario!H977=" "," ",Formulario!H977)," ")</f>
        <v xml:space="preserve"> </v>
      </c>
      <c r="M969" s="144" t="str">
        <f>IF(Formulario!I977&lt;&gt;"",IF(Formulario!I977=" "," ",Formulario!I977)," ")</f>
        <v xml:space="preserve"> </v>
      </c>
      <c r="N969" s="145" t="str">
        <f>IF(Formulario!J977&lt;&gt;"",IF(Formulario!J977=" "," ",Formulario!J977),IF(G969=".",".","Falta Fecha"))</f>
        <v>.</v>
      </c>
      <c r="O969" s="155">
        <f>Formulario!L977</f>
        <v>0</v>
      </c>
      <c r="P969" s="146">
        <f>IF(O969=1,"09:00",Formulario!M977)</f>
        <v>0</v>
      </c>
      <c r="Q969" s="146">
        <f>IF(O969=1,"18:30",Formulario!N977)</f>
        <v>0</v>
      </c>
      <c r="R969" s="146" t="str">
        <f>IF(Formulario!O977&lt;&gt;"",IF(Formulario!O977=" ",".",Formulario!O977),".")</f>
        <v>.</v>
      </c>
      <c r="S969" s="141" t="s">
        <v>131</v>
      </c>
    </row>
    <row r="970" spans="1:19">
      <c r="A970" s="141">
        <f>Formulario!B978</f>
        <v>0</v>
      </c>
      <c r="B970" s="144" t="str">
        <f>IF(G970="."," ",Formulario!D$5)</f>
        <v xml:space="preserve"> </v>
      </c>
      <c r="C970" s="144" t="str">
        <f>IF(G970=".","",Formulario!D$6)</f>
        <v/>
      </c>
      <c r="D970" s="144" t="str">
        <f>IF(H970=".","",Formulario!D$7)</f>
        <v/>
      </c>
      <c r="E970" s="144" t="str">
        <f>IF(G970=".","",Formulario!J$5)</f>
        <v/>
      </c>
      <c r="F970" s="145" t="str">
        <f>IF(G970=".","",Formulario!J$6)</f>
        <v/>
      </c>
      <c r="G970" s="180" t="str">
        <f>IF(Formulario!C978&lt;&gt;"",IF(Formulario!C978=" ","Falta Depto",IF(H970=".","Error En Descripción",Formulario!C978)),IF(H970=".",".","Falta Datos"))</f>
        <v>.</v>
      </c>
      <c r="H970" s="144" t="str">
        <f>IF(Formulario!D978&lt;&gt;"",IF(Formulario!D978=" ",".",Formulario!D978),".")</f>
        <v>.</v>
      </c>
      <c r="I970" s="144" t="str">
        <f>IF(Formulario!E978&lt;&gt;"",IF(Formulario!E978=" "," ",Formulario!E978),IF(G970=".",".","Falta Propietario"))</f>
        <v>.</v>
      </c>
      <c r="J970" s="144" t="str">
        <f>IF(Formulario!F978&lt;&gt;"",IF(Formulario!F978=" "," ",Formulario!F978)," ")</f>
        <v xml:space="preserve"> </v>
      </c>
      <c r="K970" s="144" t="str">
        <f>IF(Formulario!G978&lt;&gt;"",IF(Formulario!G978=" "," ",Formulario!G978)," ")</f>
        <v xml:space="preserve"> </v>
      </c>
      <c r="L970" s="144" t="str">
        <f>IF(Formulario!H978&lt;&gt;"",IF(Formulario!H978=" "," ",Formulario!H978)," ")</f>
        <v xml:space="preserve"> </v>
      </c>
      <c r="M970" s="144" t="str">
        <f>IF(Formulario!I978&lt;&gt;"",IF(Formulario!I978=" "," ",Formulario!I978)," ")</f>
        <v xml:space="preserve"> </v>
      </c>
      <c r="N970" s="145" t="str">
        <f>IF(Formulario!J978&lt;&gt;"",IF(Formulario!J978=" "," ",Formulario!J978),IF(G970=".",".","Falta Fecha"))</f>
        <v>.</v>
      </c>
      <c r="O970" s="155">
        <f>Formulario!L978</f>
        <v>0</v>
      </c>
      <c r="P970" s="146">
        <f>IF(O970=1,"09:00",Formulario!M978)</f>
        <v>0</v>
      </c>
      <c r="Q970" s="146">
        <f>IF(O970=1,"18:30",Formulario!N978)</f>
        <v>0</v>
      </c>
      <c r="R970" s="146" t="str">
        <f>IF(Formulario!O978&lt;&gt;"",IF(Formulario!O978=" ",".",Formulario!O978),".")</f>
        <v>.</v>
      </c>
      <c r="S970" s="141" t="s">
        <v>131</v>
      </c>
    </row>
    <row r="971" spans="1:19">
      <c r="A971" s="141">
        <f>Formulario!B979</f>
        <v>0</v>
      </c>
      <c r="B971" s="144" t="str">
        <f>IF(G971="."," ",Formulario!D$5)</f>
        <v xml:space="preserve"> </v>
      </c>
      <c r="C971" s="144" t="str">
        <f>IF(G971=".","",Formulario!D$6)</f>
        <v/>
      </c>
      <c r="D971" s="144" t="str">
        <f>IF(H971=".","",Formulario!D$7)</f>
        <v/>
      </c>
      <c r="E971" s="144" t="str">
        <f>IF(G971=".","",Formulario!J$5)</f>
        <v/>
      </c>
      <c r="F971" s="145" t="str">
        <f>IF(G971=".","",Formulario!J$6)</f>
        <v/>
      </c>
      <c r="G971" s="180" t="str">
        <f>IF(Formulario!C979&lt;&gt;"",IF(Formulario!C979=" ","Falta Depto",IF(H971=".","Error En Descripción",Formulario!C979)),IF(H971=".",".","Falta Datos"))</f>
        <v>.</v>
      </c>
      <c r="H971" s="144" t="str">
        <f>IF(Formulario!D979&lt;&gt;"",IF(Formulario!D979=" ",".",Formulario!D979),".")</f>
        <v>.</v>
      </c>
      <c r="I971" s="144" t="str">
        <f>IF(Formulario!E979&lt;&gt;"",IF(Formulario!E979=" "," ",Formulario!E979),IF(G971=".",".","Falta Propietario"))</f>
        <v>.</v>
      </c>
      <c r="J971" s="144" t="str">
        <f>IF(Formulario!F979&lt;&gt;"",IF(Formulario!F979=" "," ",Formulario!F979)," ")</f>
        <v xml:space="preserve"> </v>
      </c>
      <c r="K971" s="144" t="str">
        <f>IF(Formulario!G979&lt;&gt;"",IF(Formulario!G979=" "," ",Formulario!G979)," ")</f>
        <v xml:space="preserve"> </v>
      </c>
      <c r="L971" s="144" t="str">
        <f>IF(Formulario!H979&lt;&gt;"",IF(Formulario!H979=" "," ",Formulario!H979)," ")</f>
        <v xml:space="preserve"> </v>
      </c>
      <c r="M971" s="144" t="str">
        <f>IF(Formulario!I979&lt;&gt;"",IF(Formulario!I979=" "," ",Formulario!I979)," ")</f>
        <v xml:space="preserve"> </v>
      </c>
      <c r="N971" s="145" t="str">
        <f>IF(Formulario!J979&lt;&gt;"",IF(Formulario!J979=" "," ",Formulario!J979),IF(G971=".",".","Falta Fecha"))</f>
        <v>.</v>
      </c>
      <c r="O971" s="155">
        <f>Formulario!L979</f>
        <v>0</v>
      </c>
      <c r="P971" s="146">
        <f>IF(O971=1,"09:00",Formulario!M979)</f>
        <v>0</v>
      </c>
      <c r="Q971" s="146">
        <f>IF(O971=1,"18:30",Formulario!N979)</f>
        <v>0</v>
      </c>
      <c r="R971" s="146" t="str">
        <f>IF(Formulario!O979&lt;&gt;"",IF(Formulario!O979=" ",".",Formulario!O979),".")</f>
        <v>.</v>
      </c>
      <c r="S971" s="141" t="s">
        <v>131</v>
      </c>
    </row>
    <row r="972" spans="1:19">
      <c r="A972" s="141">
        <f>Formulario!B980</f>
        <v>0</v>
      </c>
      <c r="B972" s="144" t="str">
        <f>IF(G972="."," ",Formulario!D$5)</f>
        <v xml:space="preserve"> </v>
      </c>
      <c r="C972" s="144" t="str">
        <f>IF(G972=".","",Formulario!D$6)</f>
        <v/>
      </c>
      <c r="D972" s="144" t="str">
        <f>IF(H972=".","",Formulario!D$7)</f>
        <v/>
      </c>
      <c r="E972" s="144" t="str">
        <f>IF(G972=".","",Formulario!J$5)</f>
        <v/>
      </c>
      <c r="F972" s="145" t="str">
        <f>IF(G972=".","",Formulario!J$6)</f>
        <v/>
      </c>
      <c r="G972" s="180" t="str">
        <f>IF(Formulario!C980&lt;&gt;"",IF(Formulario!C980=" ","Falta Depto",IF(H972=".","Error En Descripción",Formulario!C980)),IF(H972=".",".","Falta Datos"))</f>
        <v>.</v>
      </c>
      <c r="H972" s="144" t="str">
        <f>IF(Formulario!D980&lt;&gt;"",IF(Formulario!D980=" ",".",Formulario!D980),".")</f>
        <v>.</v>
      </c>
      <c r="I972" s="144" t="str">
        <f>IF(Formulario!E980&lt;&gt;"",IF(Formulario!E980=" "," ",Formulario!E980),IF(G972=".",".","Falta Propietario"))</f>
        <v>.</v>
      </c>
      <c r="J972" s="144" t="str">
        <f>IF(Formulario!F980&lt;&gt;"",IF(Formulario!F980=" "," ",Formulario!F980)," ")</f>
        <v xml:space="preserve"> </v>
      </c>
      <c r="K972" s="144" t="str">
        <f>IF(Formulario!G980&lt;&gt;"",IF(Formulario!G980=" "," ",Formulario!G980)," ")</f>
        <v xml:space="preserve"> </v>
      </c>
      <c r="L972" s="144" t="str">
        <f>IF(Formulario!H980&lt;&gt;"",IF(Formulario!H980=" "," ",Formulario!H980)," ")</f>
        <v xml:space="preserve"> </v>
      </c>
      <c r="M972" s="144" t="str">
        <f>IF(Formulario!I980&lt;&gt;"",IF(Formulario!I980=" "," ",Formulario!I980)," ")</f>
        <v xml:space="preserve"> </v>
      </c>
      <c r="N972" s="145" t="str">
        <f>IF(Formulario!J980&lt;&gt;"",IF(Formulario!J980=" "," ",Formulario!J980),IF(G972=".",".","Falta Fecha"))</f>
        <v>.</v>
      </c>
      <c r="O972" s="155">
        <f>Formulario!L980</f>
        <v>0</v>
      </c>
      <c r="P972" s="146">
        <f>IF(O972=1,"09:00",Formulario!M980)</f>
        <v>0</v>
      </c>
      <c r="Q972" s="146">
        <f>IF(O972=1,"18:30",Formulario!N980)</f>
        <v>0</v>
      </c>
      <c r="R972" s="146" t="str">
        <f>IF(Formulario!O980&lt;&gt;"",IF(Formulario!O980=" ",".",Formulario!O980),".")</f>
        <v>.</v>
      </c>
      <c r="S972" s="141" t="s">
        <v>131</v>
      </c>
    </row>
    <row r="973" spans="1:19">
      <c r="A973" s="141">
        <f>Formulario!B981</f>
        <v>0</v>
      </c>
      <c r="B973" s="144" t="str">
        <f>IF(G973="."," ",Formulario!D$5)</f>
        <v xml:space="preserve"> </v>
      </c>
      <c r="C973" s="144" t="str">
        <f>IF(G973=".","",Formulario!D$6)</f>
        <v/>
      </c>
      <c r="D973" s="144" t="str">
        <f>IF(H973=".","",Formulario!D$7)</f>
        <v/>
      </c>
      <c r="E973" s="144" t="str">
        <f>IF(G973=".","",Formulario!J$5)</f>
        <v/>
      </c>
      <c r="F973" s="145" t="str">
        <f>IF(G973=".","",Formulario!J$6)</f>
        <v/>
      </c>
      <c r="G973" s="180" t="str">
        <f>IF(Formulario!C981&lt;&gt;"",IF(Formulario!C981=" ","Falta Depto",IF(H973=".","Error En Descripción",Formulario!C981)),IF(H973=".",".","Falta Datos"))</f>
        <v>.</v>
      </c>
      <c r="H973" s="144" t="str">
        <f>IF(Formulario!D981&lt;&gt;"",IF(Formulario!D981=" ",".",Formulario!D981),".")</f>
        <v>.</v>
      </c>
      <c r="I973" s="144" t="str">
        <f>IF(Formulario!E981&lt;&gt;"",IF(Formulario!E981=" "," ",Formulario!E981),IF(G973=".",".","Falta Propietario"))</f>
        <v>.</v>
      </c>
      <c r="J973" s="144" t="str">
        <f>IF(Formulario!F981&lt;&gt;"",IF(Formulario!F981=" "," ",Formulario!F981)," ")</f>
        <v xml:space="preserve"> </v>
      </c>
      <c r="K973" s="144" t="str">
        <f>IF(Formulario!G981&lt;&gt;"",IF(Formulario!G981=" "," ",Formulario!G981)," ")</f>
        <v xml:space="preserve"> </v>
      </c>
      <c r="L973" s="144" t="str">
        <f>IF(Formulario!H981&lt;&gt;"",IF(Formulario!H981=" "," ",Formulario!H981)," ")</f>
        <v xml:space="preserve"> </v>
      </c>
      <c r="M973" s="144" t="str">
        <f>IF(Formulario!I981&lt;&gt;"",IF(Formulario!I981=" "," ",Formulario!I981)," ")</f>
        <v xml:space="preserve"> </v>
      </c>
      <c r="N973" s="145" t="str">
        <f>IF(Formulario!J981&lt;&gt;"",IF(Formulario!J981=" "," ",Formulario!J981),IF(G973=".",".","Falta Fecha"))</f>
        <v>.</v>
      </c>
      <c r="O973" s="155">
        <f>Formulario!L981</f>
        <v>0</v>
      </c>
      <c r="P973" s="146">
        <f>IF(O973=1,"09:00",Formulario!M981)</f>
        <v>0</v>
      </c>
      <c r="Q973" s="146">
        <f>IF(O973=1,"18:30",Formulario!N981)</f>
        <v>0</v>
      </c>
      <c r="R973" s="146" t="str">
        <f>IF(Formulario!O981&lt;&gt;"",IF(Formulario!O981=" ",".",Formulario!O981),".")</f>
        <v>.</v>
      </c>
      <c r="S973" s="141" t="s">
        <v>131</v>
      </c>
    </row>
    <row r="974" spans="1:19">
      <c r="A974" s="141">
        <f>Formulario!B982</f>
        <v>0</v>
      </c>
      <c r="B974" s="144" t="str">
        <f>IF(G974="."," ",Formulario!D$5)</f>
        <v xml:space="preserve"> </v>
      </c>
      <c r="C974" s="144" t="str">
        <f>IF(G974=".","",Formulario!D$6)</f>
        <v/>
      </c>
      <c r="D974" s="144" t="str">
        <f>IF(H974=".","",Formulario!D$7)</f>
        <v/>
      </c>
      <c r="E974" s="144" t="str">
        <f>IF(G974=".","",Formulario!J$5)</f>
        <v/>
      </c>
      <c r="F974" s="145" t="str">
        <f>IF(G974=".","",Formulario!J$6)</f>
        <v/>
      </c>
      <c r="G974" s="180" t="str">
        <f>IF(Formulario!C982&lt;&gt;"",IF(Formulario!C982=" ","Falta Depto",IF(H974=".","Error En Descripción",Formulario!C982)),IF(H974=".",".","Falta Datos"))</f>
        <v>.</v>
      </c>
      <c r="H974" s="144" t="str">
        <f>IF(Formulario!D982&lt;&gt;"",IF(Formulario!D982=" ",".",Formulario!D982),".")</f>
        <v>.</v>
      </c>
      <c r="I974" s="144" t="str">
        <f>IF(Formulario!E982&lt;&gt;"",IF(Formulario!E982=" "," ",Formulario!E982),IF(G974=".",".","Falta Propietario"))</f>
        <v>.</v>
      </c>
      <c r="J974" s="144" t="str">
        <f>IF(Formulario!F982&lt;&gt;"",IF(Formulario!F982=" "," ",Formulario!F982)," ")</f>
        <v xml:space="preserve"> </v>
      </c>
      <c r="K974" s="144" t="str">
        <f>IF(Formulario!G982&lt;&gt;"",IF(Formulario!G982=" "," ",Formulario!G982)," ")</f>
        <v xml:space="preserve"> </v>
      </c>
      <c r="L974" s="144" t="str">
        <f>IF(Formulario!H982&lt;&gt;"",IF(Formulario!H982=" "," ",Formulario!H982)," ")</f>
        <v xml:space="preserve"> </v>
      </c>
      <c r="M974" s="144" t="str">
        <f>IF(Formulario!I982&lt;&gt;"",IF(Formulario!I982=" "," ",Formulario!I982)," ")</f>
        <v xml:space="preserve"> </v>
      </c>
      <c r="N974" s="145" t="str">
        <f>IF(Formulario!J982&lt;&gt;"",IF(Formulario!J982=" "," ",Formulario!J982),IF(G974=".",".","Falta Fecha"))</f>
        <v>.</v>
      </c>
      <c r="O974" s="155">
        <f>Formulario!L982</f>
        <v>0</v>
      </c>
      <c r="P974" s="146">
        <f>IF(O974=1,"09:00",Formulario!M982)</f>
        <v>0</v>
      </c>
      <c r="Q974" s="146">
        <f>IF(O974=1,"18:30",Formulario!N982)</f>
        <v>0</v>
      </c>
      <c r="R974" s="146" t="str">
        <f>IF(Formulario!O982&lt;&gt;"",IF(Formulario!O982=" ",".",Formulario!O982),".")</f>
        <v>.</v>
      </c>
      <c r="S974" s="141" t="s">
        <v>131</v>
      </c>
    </row>
    <row r="975" spans="1:19">
      <c r="A975" s="141">
        <f>Formulario!B983</f>
        <v>0</v>
      </c>
      <c r="B975" s="144" t="str">
        <f>IF(G975="."," ",Formulario!D$5)</f>
        <v xml:space="preserve"> </v>
      </c>
      <c r="C975" s="144" t="str">
        <f>IF(G975=".","",Formulario!D$6)</f>
        <v/>
      </c>
      <c r="D975" s="144" t="str">
        <f>IF(H975=".","",Formulario!D$7)</f>
        <v/>
      </c>
      <c r="E975" s="144" t="str">
        <f>IF(G975=".","",Formulario!J$5)</f>
        <v/>
      </c>
      <c r="F975" s="145" t="str">
        <f>IF(G975=".","",Formulario!J$6)</f>
        <v/>
      </c>
      <c r="G975" s="180" t="str">
        <f>IF(Formulario!C983&lt;&gt;"",IF(Formulario!C983=" ","Falta Depto",IF(H975=".","Error En Descripción",Formulario!C983)),IF(H975=".",".","Falta Datos"))</f>
        <v>.</v>
      </c>
      <c r="H975" s="144" t="str">
        <f>IF(Formulario!D983&lt;&gt;"",IF(Formulario!D983=" ",".",Formulario!D983),".")</f>
        <v>.</v>
      </c>
      <c r="I975" s="144" t="str">
        <f>IF(Formulario!E983&lt;&gt;"",IF(Formulario!E983=" "," ",Formulario!E983),IF(G975=".",".","Falta Propietario"))</f>
        <v>.</v>
      </c>
      <c r="J975" s="144" t="str">
        <f>IF(Formulario!F983&lt;&gt;"",IF(Formulario!F983=" "," ",Formulario!F983)," ")</f>
        <v xml:space="preserve"> </v>
      </c>
      <c r="K975" s="144" t="str">
        <f>IF(Formulario!G983&lt;&gt;"",IF(Formulario!G983=" "," ",Formulario!G983)," ")</f>
        <v xml:space="preserve"> </v>
      </c>
      <c r="L975" s="144" t="str">
        <f>IF(Formulario!H983&lt;&gt;"",IF(Formulario!H983=" "," ",Formulario!H983)," ")</f>
        <v xml:space="preserve"> </v>
      </c>
      <c r="M975" s="144" t="str">
        <f>IF(Formulario!I983&lt;&gt;"",IF(Formulario!I983=" "," ",Formulario!I983)," ")</f>
        <v xml:space="preserve"> </v>
      </c>
      <c r="N975" s="145" t="str">
        <f>IF(Formulario!J983&lt;&gt;"",IF(Formulario!J983=" "," ",Formulario!J983),IF(G975=".",".","Falta Fecha"))</f>
        <v>.</v>
      </c>
      <c r="O975" s="155">
        <f>Formulario!L983</f>
        <v>0</v>
      </c>
      <c r="P975" s="146">
        <f>IF(O975=1,"09:00",Formulario!M983)</f>
        <v>0</v>
      </c>
      <c r="Q975" s="146">
        <f>IF(O975=1,"18:30",Formulario!N983)</f>
        <v>0</v>
      </c>
      <c r="R975" s="146" t="str">
        <f>IF(Formulario!O983&lt;&gt;"",IF(Formulario!O983=" ",".",Formulario!O983),".")</f>
        <v>.</v>
      </c>
      <c r="S975" s="141" t="s">
        <v>131</v>
      </c>
    </row>
    <row r="976" spans="1:19">
      <c r="A976" s="141">
        <f>Formulario!B984</f>
        <v>0</v>
      </c>
      <c r="B976" s="144" t="str">
        <f>IF(G976="."," ",Formulario!D$5)</f>
        <v xml:space="preserve"> </v>
      </c>
      <c r="C976" s="144" t="str">
        <f>IF(G976=".","",Formulario!D$6)</f>
        <v/>
      </c>
      <c r="D976" s="144" t="str">
        <f>IF(H976=".","",Formulario!D$7)</f>
        <v/>
      </c>
      <c r="E976" s="144" t="str">
        <f>IF(G976=".","",Formulario!J$5)</f>
        <v/>
      </c>
      <c r="F976" s="145" t="str">
        <f>IF(G976=".","",Formulario!J$6)</f>
        <v/>
      </c>
      <c r="G976" s="180" t="str">
        <f>IF(Formulario!C984&lt;&gt;"",IF(Formulario!C984=" ","Falta Depto",IF(H976=".","Error En Descripción",Formulario!C984)),IF(H976=".",".","Falta Datos"))</f>
        <v>.</v>
      </c>
      <c r="H976" s="144" t="str">
        <f>IF(Formulario!D984&lt;&gt;"",IF(Formulario!D984=" ",".",Formulario!D984),".")</f>
        <v>.</v>
      </c>
      <c r="I976" s="144" t="str">
        <f>IF(Formulario!E984&lt;&gt;"",IF(Formulario!E984=" "," ",Formulario!E984),IF(G976=".",".","Falta Propietario"))</f>
        <v>.</v>
      </c>
      <c r="J976" s="144" t="str">
        <f>IF(Formulario!F984&lt;&gt;"",IF(Formulario!F984=" "," ",Formulario!F984)," ")</f>
        <v xml:space="preserve"> </v>
      </c>
      <c r="K976" s="144" t="str">
        <f>IF(Formulario!G984&lt;&gt;"",IF(Formulario!G984=" "," ",Formulario!G984)," ")</f>
        <v xml:space="preserve"> </v>
      </c>
      <c r="L976" s="144" t="str">
        <f>IF(Formulario!H984&lt;&gt;"",IF(Formulario!H984=" "," ",Formulario!H984)," ")</f>
        <v xml:space="preserve"> </v>
      </c>
      <c r="M976" s="144" t="str">
        <f>IF(Formulario!I984&lt;&gt;"",IF(Formulario!I984=" "," ",Formulario!I984)," ")</f>
        <v xml:space="preserve"> </v>
      </c>
      <c r="N976" s="145" t="str">
        <f>IF(Formulario!J984&lt;&gt;"",IF(Formulario!J984=" "," ",Formulario!J984),IF(G976=".",".","Falta Fecha"))</f>
        <v>.</v>
      </c>
      <c r="O976" s="155">
        <f>Formulario!L984</f>
        <v>0</v>
      </c>
      <c r="P976" s="146">
        <f>IF(O976=1,"09:00",Formulario!M984)</f>
        <v>0</v>
      </c>
      <c r="Q976" s="146">
        <f>IF(O976=1,"18:30",Formulario!N984)</f>
        <v>0</v>
      </c>
      <c r="R976" s="146" t="str">
        <f>IF(Formulario!O984&lt;&gt;"",IF(Formulario!O984=" ",".",Formulario!O984),".")</f>
        <v>.</v>
      </c>
      <c r="S976" s="141" t="s">
        <v>131</v>
      </c>
    </row>
    <row r="977" spans="1:19">
      <c r="A977" s="141">
        <f>Formulario!B985</f>
        <v>0</v>
      </c>
      <c r="B977" s="144" t="str">
        <f>IF(G977="."," ",Formulario!D$5)</f>
        <v xml:space="preserve"> </v>
      </c>
      <c r="C977" s="144" t="str">
        <f>IF(G977=".","",Formulario!D$6)</f>
        <v/>
      </c>
      <c r="D977" s="144" t="str">
        <f>IF(H977=".","",Formulario!D$7)</f>
        <v/>
      </c>
      <c r="E977" s="144" t="str">
        <f>IF(G977=".","",Formulario!J$5)</f>
        <v/>
      </c>
      <c r="F977" s="145" t="str">
        <f>IF(G977=".","",Formulario!J$6)</f>
        <v/>
      </c>
      <c r="G977" s="180" t="str">
        <f>IF(Formulario!C985&lt;&gt;"",IF(Formulario!C985=" ","Falta Depto",IF(H977=".","Error En Descripción",Formulario!C985)),IF(H977=".",".","Falta Datos"))</f>
        <v>.</v>
      </c>
      <c r="H977" s="144" t="str">
        <f>IF(Formulario!D985&lt;&gt;"",IF(Formulario!D985=" ",".",Formulario!D985),".")</f>
        <v>.</v>
      </c>
      <c r="I977" s="144" t="str">
        <f>IF(Formulario!E985&lt;&gt;"",IF(Formulario!E985=" "," ",Formulario!E985),IF(G977=".",".","Falta Propietario"))</f>
        <v>.</v>
      </c>
      <c r="J977" s="144" t="str">
        <f>IF(Formulario!F985&lt;&gt;"",IF(Formulario!F985=" "," ",Formulario!F985)," ")</f>
        <v xml:space="preserve"> </v>
      </c>
      <c r="K977" s="144" t="str">
        <f>IF(Formulario!G985&lt;&gt;"",IF(Formulario!G985=" "," ",Formulario!G985)," ")</f>
        <v xml:space="preserve"> </v>
      </c>
      <c r="L977" s="144" t="str">
        <f>IF(Formulario!H985&lt;&gt;"",IF(Formulario!H985=" "," ",Formulario!H985)," ")</f>
        <v xml:space="preserve"> </v>
      </c>
      <c r="M977" s="144" t="str">
        <f>IF(Formulario!I985&lt;&gt;"",IF(Formulario!I985=" "," ",Formulario!I985)," ")</f>
        <v xml:space="preserve"> </v>
      </c>
      <c r="N977" s="145" t="str">
        <f>IF(Formulario!J985&lt;&gt;"",IF(Formulario!J985=" "," ",Formulario!J985),IF(G977=".",".","Falta Fecha"))</f>
        <v>.</v>
      </c>
      <c r="O977" s="155">
        <f>Formulario!L985</f>
        <v>0</v>
      </c>
      <c r="P977" s="146">
        <f>IF(O977=1,"09:00",Formulario!M985)</f>
        <v>0</v>
      </c>
      <c r="Q977" s="146">
        <f>IF(O977=1,"18:30",Formulario!N985)</f>
        <v>0</v>
      </c>
      <c r="R977" s="146" t="str">
        <f>IF(Formulario!O985&lt;&gt;"",IF(Formulario!O985=" ",".",Formulario!O985),".")</f>
        <v>.</v>
      </c>
      <c r="S977" s="141" t="s">
        <v>131</v>
      </c>
    </row>
    <row r="978" spans="1:19">
      <c r="A978" s="141">
        <f>Formulario!B986</f>
        <v>0</v>
      </c>
      <c r="B978" s="144" t="str">
        <f>IF(G978="."," ",Formulario!D$5)</f>
        <v xml:space="preserve"> </v>
      </c>
      <c r="C978" s="144" t="str">
        <f>IF(G978=".","",Formulario!D$6)</f>
        <v/>
      </c>
      <c r="D978" s="144" t="str">
        <f>IF(H978=".","",Formulario!D$7)</f>
        <v/>
      </c>
      <c r="E978" s="144" t="str">
        <f>IF(G978=".","",Formulario!J$5)</f>
        <v/>
      </c>
      <c r="F978" s="145" t="str">
        <f>IF(G978=".","",Formulario!J$6)</f>
        <v/>
      </c>
      <c r="G978" s="180" t="str">
        <f>IF(Formulario!C986&lt;&gt;"",IF(Formulario!C986=" ","Falta Depto",IF(H978=".","Error En Descripción",Formulario!C986)),IF(H978=".",".","Falta Datos"))</f>
        <v>.</v>
      </c>
      <c r="H978" s="144" t="str">
        <f>IF(Formulario!D986&lt;&gt;"",IF(Formulario!D986=" ",".",Formulario!D986),".")</f>
        <v>.</v>
      </c>
      <c r="I978" s="144" t="str">
        <f>IF(Formulario!E986&lt;&gt;"",IF(Formulario!E986=" "," ",Formulario!E986),IF(G978=".",".","Falta Propietario"))</f>
        <v>.</v>
      </c>
      <c r="J978" s="144" t="str">
        <f>IF(Formulario!F986&lt;&gt;"",IF(Formulario!F986=" "," ",Formulario!F986)," ")</f>
        <v xml:space="preserve"> </v>
      </c>
      <c r="K978" s="144" t="str">
        <f>IF(Formulario!G986&lt;&gt;"",IF(Formulario!G986=" "," ",Formulario!G986)," ")</f>
        <v xml:space="preserve"> </v>
      </c>
      <c r="L978" s="144" t="str">
        <f>IF(Formulario!H986&lt;&gt;"",IF(Formulario!H986=" "," ",Formulario!H986)," ")</f>
        <v xml:space="preserve"> </v>
      </c>
      <c r="M978" s="144" t="str">
        <f>IF(Formulario!I986&lt;&gt;"",IF(Formulario!I986=" "," ",Formulario!I986)," ")</f>
        <v xml:space="preserve"> </v>
      </c>
      <c r="N978" s="145" t="str">
        <f>IF(Formulario!J986&lt;&gt;"",IF(Formulario!J986=" "," ",Formulario!J986),IF(G978=".",".","Falta Fecha"))</f>
        <v>.</v>
      </c>
      <c r="O978" s="155">
        <f>Formulario!L986</f>
        <v>0</v>
      </c>
      <c r="P978" s="146">
        <f>IF(O978=1,"09:00",Formulario!M986)</f>
        <v>0</v>
      </c>
      <c r="Q978" s="146">
        <f>IF(O978=1,"18:30",Formulario!N986)</f>
        <v>0</v>
      </c>
      <c r="R978" s="146" t="str">
        <f>IF(Formulario!O986&lt;&gt;"",IF(Formulario!O986=" ",".",Formulario!O986),".")</f>
        <v>.</v>
      </c>
      <c r="S978" s="141" t="s">
        <v>131</v>
      </c>
    </row>
    <row r="979" spans="1:19">
      <c r="A979" s="141">
        <f>Formulario!B987</f>
        <v>0</v>
      </c>
      <c r="B979" s="144" t="str">
        <f>IF(G979="."," ",Formulario!D$5)</f>
        <v xml:space="preserve"> </v>
      </c>
      <c r="C979" s="144" t="str">
        <f>IF(G979=".","",Formulario!D$6)</f>
        <v/>
      </c>
      <c r="D979" s="144" t="str">
        <f>IF(H979=".","",Formulario!D$7)</f>
        <v/>
      </c>
      <c r="E979" s="144" t="str">
        <f>IF(G979=".","",Formulario!J$5)</f>
        <v/>
      </c>
      <c r="F979" s="145" t="str">
        <f>IF(G979=".","",Formulario!J$6)</f>
        <v/>
      </c>
      <c r="G979" s="180" t="str">
        <f>IF(Formulario!C987&lt;&gt;"",IF(Formulario!C987=" ","Falta Depto",IF(H979=".","Error En Descripción",Formulario!C987)),IF(H979=".",".","Falta Datos"))</f>
        <v>.</v>
      </c>
      <c r="H979" s="144" t="str">
        <f>IF(Formulario!D987&lt;&gt;"",IF(Formulario!D987=" ",".",Formulario!D987),".")</f>
        <v>.</v>
      </c>
      <c r="I979" s="144" t="str">
        <f>IF(Formulario!E987&lt;&gt;"",IF(Formulario!E987=" "," ",Formulario!E987),IF(G979=".",".","Falta Propietario"))</f>
        <v>.</v>
      </c>
      <c r="J979" s="144" t="str">
        <f>IF(Formulario!F987&lt;&gt;"",IF(Formulario!F987=" "," ",Formulario!F987)," ")</f>
        <v xml:space="preserve"> </v>
      </c>
      <c r="K979" s="144" t="str">
        <f>IF(Formulario!G987&lt;&gt;"",IF(Formulario!G987=" "," ",Formulario!G987)," ")</f>
        <v xml:space="preserve"> </v>
      </c>
      <c r="L979" s="144" t="str">
        <f>IF(Formulario!H987&lt;&gt;"",IF(Formulario!H987=" "," ",Formulario!H987)," ")</f>
        <v xml:space="preserve"> </v>
      </c>
      <c r="M979" s="144" t="str">
        <f>IF(Formulario!I987&lt;&gt;"",IF(Formulario!I987=" "," ",Formulario!I987)," ")</f>
        <v xml:space="preserve"> </v>
      </c>
      <c r="N979" s="145" t="str">
        <f>IF(Formulario!J987&lt;&gt;"",IF(Formulario!J987=" "," ",Formulario!J987),IF(G979=".",".","Falta Fecha"))</f>
        <v>.</v>
      </c>
      <c r="O979" s="155">
        <f>Formulario!L987</f>
        <v>0</v>
      </c>
      <c r="P979" s="146">
        <f>IF(O979=1,"09:00",Formulario!M987)</f>
        <v>0</v>
      </c>
      <c r="Q979" s="146">
        <f>IF(O979=1,"18:30",Formulario!N987)</f>
        <v>0</v>
      </c>
      <c r="R979" s="146" t="str">
        <f>IF(Formulario!O987&lt;&gt;"",IF(Formulario!O987=" ",".",Formulario!O987),".")</f>
        <v>.</v>
      </c>
      <c r="S979" s="141" t="s">
        <v>131</v>
      </c>
    </row>
    <row r="980" spans="1:19">
      <c r="A980" s="141">
        <f>Formulario!B988</f>
        <v>0</v>
      </c>
      <c r="B980" s="144" t="str">
        <f>IF(G980="."," ",Formulario!D$5)</f>
        <v xml:space="preserve"> </v>
      </c>
      <c r="C980" s="144" t="str">
        <f>IF(G980=".","",Formulario!D$6)</f>
        <v/>
      </c>
      <c r="D980" s="144" t="str">
        <f>IF(H980=".","",Formulario!D$7)</f>
        <v/>
      </c>
      <c r="E980" s="144" t="str">
        <f>IF(G980=".","",Formulario!J$5)</f>
        <v/>
      </c>
      <c r="F980" s="145" t="str">
        <f>IF(G980=".","",Formulario!J$6)</f>
        <v/>
      </c>
      <c r="G980" s="180" t="str">
        <f>IF(Formulario!C988&lt;&gt;"",IF(Formulario!C988=" ","Falta Depto",IF(H980=".","Error En Descripción",Formulario!C988)),IF(H980=".",".","Falta Datos"))</f>
        <v>.</v>
      </c>
      <c r="H980" s="144" t="str">
        <f>IF(Formulario!D988&lt;&gt;"",IF(Formulario!D988=" ",".",Formulario!D988),".")</f>
        <v>.</v>
      </c>
      <c r="I980" s="144" t="str">
        <f>IF(Formulario!E988&lt;&gt;"",IF(Formulario!E988=" "," ",Formulario!E988),IF(G980=".",".","Falta Propietario"))</f>
        <v>.</v>
      </c>
      <c r="J980" s="144" t="str">
        <f>IF(Formulario!F988&lt;&gt;"",IF(Formulario!F988=" "," ",Formulario!F988)," ")</f>
        <v xml:space="preserve"> </v>
      </c>
      <c r="K980" s="144" t="str">
        <f>IF(Formulario!G988&lt;&gt;"",IF(Formulario!G988=" "," ",Formulario!G988)," ")</f>
        <v xml:space="preserve"> </v>
      </c>
      <c r="L980" s="144" t="str">
        <f>IF(Formulario!H988&lt;&gt;"",IF(Formulario!H988=" "," ",Formulario!H988)," ")</f>
        <v xml:space="preserve"> </v>
      </c>
      <c r="M980" s="144" t="str">
        <f>IF(Formulario!I988&lt;&gt;"",IF(Formulario!I988=" "," ",Formulario!I988)," ")</f>
        <v xml:space="preserve"> </v>
      </c>
      <c r="N980" s="145" t="str">
        <f>IF(Formulario!J988&lt;&gt;"",IF(Formulario!J988=" "," ",Formulario!J988),IF(G980=".",".","Falta Fecha"))</f>
        <v>.</v>
      </c>
      <c r="O980" s="155">
        <f>Formulario!L988</f>
        <v>0</v>
      </c>
      <c r="P980" s="146">
        <f>IF(O980=1,"09:00",Formulario!M988)</f>
        <v>0</v>
      </c>
      <c r="Q980" s="146">
        <f>IF(O980=1,"18:30",Formulario!N988)</f>
        <v>0</v>
      </c>
      <c r="R980" s="146" t="str">
        <f>IF(Formulario!O988&lt;&gt;"",IF(Formulario!O988=" ",".",Formulario!O988),".")</f>
        <v>.</v>
      </c>
      <c r="S980" s="141" t="s">
        <v>131</v>
      </c>
    </row>
    <row r="981" spans="1:19">
      <c r="A981" s="141">
        <f>Formulario!B989</f>
        <v>0</v>
      </c>
      <c r="B981" s="144" t="str">
        <f>IF(G981="."," ",Formulario!D$5)</f>
        <v xml:space="preserve"> </v>
      </c>
      <c r="C981" s="144" t="str">
        <f>IF(G981=".","",Formulario!D$6)</f>
        <v/>
      </c>
      <c r="D981" s="144" t="str">
        <f>IF(H981=".","",Formulario!D$7)</f>
        <v/>
      </c>
      <c r="E981" s="144" t="str">
        <f>IF(G981=".","",Formulario!J$5)</f>
        <v/>
      </c>
      <c r="F981" s="145" t="str">
        <f>IF(G981=".","",Formulario!J$6)</f>
        <v/>
      </c>
      <c r="G981" s="180" t="str">
        <f>IF(Formulario!C989&lt;&gt;"",IF(Formulario!C989=" ","Falta Depto",IF(H981=".","Error En Descripción",Formulario!C989)),IF(H981=".",".","Falta Datos"))</f>
        <v>.</v>
      </c>
      <c r="H981" s="144" t="str">
        <f>IF(Formulario!D989&lt;&gt;"",IF(Formulario!D989=" ",".",Formulario!D989),".")</f>
        <v>.</v>
      </c>
      <c r="I981" s="144" t="str">
        <f>IF(Formulario!E989&lt;&gt;"",IF(Formulario!E989=" "," ",Formulario!E989),IF(G981=".",".","Falta Propietario"))</f>
        <v>.</v>
      </c>
      <c r="J981" s="144" t="str">
        <f>IF(Formulario!F989&lt;&gt;"",IF(Formulario!F989=" "," ",Formulario!F989)," ")</f>
        <v xml:space="preserve"> </v>
      </c>
      <c r="K981" s="144" t="str">
        <f>IF(Formulario!G989&lt;&gt;"",IF(Formulario!G989=" "," ",Formulario!G989)," ")</f>
        <v xml:space="preserve"> </v>
      </c>
      <c r="L981" s="144" t="str">
        <f>IF(Formulario!H989&lt;&gt;"",IF(Formulario!H989=" "," ",Formulario!H989)," ")</f>
        <v xml:space="preserve"> </v>
      </c>
      <c r="M981" s="144" t="str">
        <f>IF(Formulario!I989&lt;&gt;"",IF(Formulario!I989=" "," ",Formulario!I989)," ")</f>
        <v xml:space="preserve"> </v>
      </c>
      <c r="N981" s="145" t="str">
        <f>IF(Formulario!J989&lt;&gt;"",IF(Formulario!J989=" "," ",Formulario!J989),IF(G981=".",".","Falta Fecha"))</f>
        <v>.</v>
      </c>
      <c r="O981" s="155">
        <f>Formulario!L989</f>
        <v>0</v>
      </c>
      <c r="P981" s="146">
        <f>IF(O981=1,"09:00",Formulario!M989)</f>
        <v>0</v>
      </c>
      <c r="Q981" s="146">
        <f>IF(O981=1,"18:30",Formulario!N989)</f>
        <v>0</v>
      </c>
      <c r="R981" s="146" t="str">
        <f>IF(Formulario!O989&lt;&gt;"",IF(Formulario!O989=" ",".",Formulario!O989),".")</f>
        <v>.</v>
      </c>
      <c r="S981" s="141" t="s">
        <v>131</v>
      </c>
    </row>
    <row r="982" spans="1:19">
      <c r="A982" s="141">
        <f>Formulario!B990</f>
        <v>0</v>
      </c>
      <c r="B982" s="144" t="str">
        <f>IF(G982="."," ",Formulario!D$5)</f>
        <v xml:space="preserve"> </v>
      </c>
      <c r="C982" s="144" t="str">
        <f>IF(G982=".","",Formulario!D$6)</f>
        <v/>
      </c>
      <c r="D982" s="144" t="str">
        <f>IF(H982=".","",Formulario!D$7)</f>
        <v/>
      </c>
      <c r="E982" s="144" t="str">
        <f>IF(G982=".","",Formulario!J$5)</f>
        <v/>
      </c>
      <c r="F982" s="145" t="str">
        <f>IF(G982=".","",Formulario!J$6)</f>
        <v/>
      </c>
      <c r="G982" s="180" t="str">
        <f>IF(Formulario!C990&lt;&gt;"",IF(Formulario!C990=" ","Falta Depto",IF(H982=".","Error En Descripción",Formulario!C990)),IF(H982=".",".","Falta Datos"))</f>
        <v>.</v>
      </c>
      <c r="H982" s="144" t="str">
        <f>IF(Formulario!D990&lt;&gt;"",IF(Formulario!D990=" ",".",Formulario!D990),".")</f>
        <v>.</v>
      </c>
      <c r="I982" s="144" t="str">
        <f>IF(Formulario!E990&lt;&gt;"",IF(Formulario!E990=" "," ",Formulario!E990),IF(G982=".",".","Falta Propietario"))</f>
        <v>.</v>
      </c>
      <c r="J982" s="144" t="str">
        <f>IF(Formulario!F990&lt;&gt;"",IF(Formulario!F990=" "," ",Formulario!F990)," ")</f>
        <v xml:space="preserve"> </v>
      </c>
      <c r="K982" s="144" t="str">
        <f>IF(Formulario!G990&lt;&gt;"",IF(Formulario!G990=" "," ",Formulario!G990)," ")</f>
        <v xml:space="preserve"> </v>
      </c>
      <c r="L982" s="144" t="str">
        <f>IF(Formulario!H990&lt;&gt;"",IF(Formulario!H990=" "," ",Formulario!H990)," ")</f>
        <v xml:space="preserve"> </v>
      </c>
      <c r="M982" s="144" t="str">
        <f>IF(Formulario!I990&lt;&gt;"",IF(Formulario!I990=" "," ",Formulario!I990)," ")</f>
        <v xml:space="preserve"> </v>
      </c>
      <c r="N982" s="145" t="str">
        <f>IF(Formulario!J990&lt;&gt;"",IF(Formulario!J990=" "," ",Formulario!J990),IF(G982=".",".","Falta Fecha"))</f>
        <v>.</v>
      </c>
      <c r="O982" s="155">
        <f>Formulario!L990</f>
        <v>0</v>
      </c>
      <c r="P982" s="146">
        <f>IF(O982=1,"09:00",Formulario!M990)</f>
        <v>0</v>
      </c>
      <c r="Q982" s="146">
        <f>IF(O982=1,"18:30",Formulario!N990)</f>
        <v>0</v>
      </c>
      <c r="R982" s="146" t="str">
        <f>IF(Formulario!O990&lt;&gt;"",IF(Formulario!O990=" ",".",Formulario!O990),".")</f>
        <v>.</v>
      </c>
      <c r="S982" s="141" t="s">
        <v>131</v>
      </c>
    </row>
    <row r="983" spans="1:19">
      <c r="A983" s="141">
        <f>Formulario!B991</f>
        <v>0</v>
      </c>
      <c r="B983" s="144" t="str">
        <f>IF(G983="."," ",Formulario!D$5)</f>
        <v xml:space="preserve"> </v>
      </c>
      <c r="C983" s="144" t="str">
        <f>IF(G983=".","",Formulario!D$6)</f>
        <v/>
      </c>
      <c r="D983" s="144" t="str">
        <f>IF(H983=".","",Formulario!D$7)</f>
        <v/>
      </c>
      <c r="E983" s="144" t="str">
        <f>IF(G983=".","",Formulario!J$5)</f>
        <v/>
      </c>
      <c r="F983" s="145" t="str">
        <f>IF(G983=".","",Formulario!J$6)</f>
        <v/>
      </c>
      <c r="G983" s="180" t="str">
        <f>IF(Formulario!C991&lt;&gt;"",IF(Formulario!C991=" ","Falta Depto",IF(H983=".","Error En Descripción",Formulario!C991)),IF(H983=".",".","Falta Datos"))</f>
        <v>.</v>
      </c>
      <c r="H983" s="144" t="str">
        <f>IF(Formulario!D991&lt;&gt;"",IF(Formulario!D991=" ",".",Formulario!D991),".")</f>
        <v>.</v>
      </c>
      <c r="I983" s="144" t="str">
        <f>IF(Formulario!E991&lt;&gt;"",IF(Formulario!E991=" "," ",Formulario!E991),IF(G983=".",".","Falta Propietario"))</f>
        <v>.</v>
      </c>
      <c r="J983" s="144" t="str">
        <f>IF(Formulario!F991&lt;&gt;"",IF(Formulario!F991=" "," ",Formulario!F991)," ")</f>
        <v xml:space="preserve"> </v>
      </c>
      <c r="K983" s="144" t="str">
        <f>IF(Formulario!G991&lt;&gt;"",IF(Formulario!G991=" "," ",Formulario!G991)," ")</f>
        <v xml:space="preserve"> </v>
      </c>
      <c r="L983" s="144" t="str">
        <f>IF(Formulario!H991&lt;&gt;"",IF(Formulario!H991=" "," ",Formulario!H991)," ")</f>
        <v xml:space="preserve"> </v>
      </c>
      <c r="M983" s="144" t="str">
        <f>IF(Formulario!I991&lt;&gt;"",IF(Formulario!I991=" "," ",Formulario!I991)," ")</f>
        <v xml:space="preserve"> </v>
      </c>
      <c r="N983" s="145" t="str">
        <f>IF(Formulario!J991&lt;&gt;"",IF(Formulario!J991=" "," ",Formulario!J991),IF(G983=".",".","Falta Fecha"))</f>
        <v>.</v>
      </c>
      <c r="O983" s="155">
        <f>Formulario!L991</f>
        <v>0</v>
      </c>
      <c r="P983" s="146">
        <f>IF(O983=1,"09:00",Formulario!M991)</f>
        <v>0</v>
      </c>
      <c r="Q983" s="146">
        <f>IF(O983=1,"18:30",Formulario!N991)</f>
        <v>0</v>
      </c>
      <c r="R983" s="146" t="str">
        <f>IF(Formulario!O991&lt;&gt;"",IF(Formulario!O991=" ",".",Formulario!O991),".")</f>
        <v>.</v>
      </c>
      <c r="S983" s="141" t="s">
        <v>131</v>
      </c>
    </row>
    <row r="984" spans="1:19">
      <c r="A984" s="141">
        <f>Formulario!B992</f>
        <v>0</v>
      </c>
      <c r="B984" s="144" t="str">
        <f>IF(G984="."," ",Formulario!D$5)</f>
        <v xml:space="preserve"> </v>
      </c>
      <c r="C984" s="144" t="str">
        <f>IF(G984=".","",Formulario!D$6)</f>
        <v/>
      </c>
      <c r="D984" s="144" t="str">
        <f>IF(H984=".","",Formulario!D$7)</f>
        <v/>
      </c>
      <c r="E984" s="144" t="str">
        <f>IF(G984=".","",Formulario!J$5)</f>
        <v/>
      </c>
      <c r="F984" s="145" t="str">
        <f>IF(G984=".","",Formulario!J$6)</f>
        <v/>
      </c>
      <c r="G984" s="180" t="str">
        <f>IF(Formulario!C992&lt;&gt;"",IF(Formulario!C992=" ","Falta Depto",IF(H984=".","Error En Descripción",Formulario!C992)),IF(H984=".",".","Falta Datos"))</f>
        <v>.</v>
      </c>
      <c r="H984" s="144" t="str">
        <f>IF(Formulario!D992&lt;&gt;"",IF(Formulario!D992=" ",".",Formulario!D992),".")</f>
        <v>.</v>
      </c>
      <c r="I984" s="144" t="str">
        <f>IF(Formulario!E992&lt;&gt;"",IF(Formulario!E992=" "," ",Formulario!E992),IF(G984=".",".","Falta Propietario"))</f>
        <v>.</v>
      </c>
      <c r="J984" s="144" t="str">
        <f>IF(Formulario!F992&lt;&gt;"",IF(Formulario!F992=" "," ",Formulario!F992)," ")</f>
        <v xml:space="preserve"> </v>
      </c>
      <c r="K984" s="144" t="str">
        <f>IF(Formulario!G992&lt;&gt;"",IF(Formulario!G992=" "," ",Formulario!G992)," ")</f>
        <v xml:space="preserve"> </v>
      </c>
      <c r="L984" s="144" t="str">
        <f>IF(Formulario!H992&lt;&gt;"",IF(Formulario!H992=" "," ",Formulario!H992)," ")</f>
        <v xml:space="preserve"> </v>
      </c>
      <c r="M984" s="144" t="str">
        <f>IF(Formulario!I992&lt;&gt;"",IF(Formulario!I992=" "," ",Formulario!I992)," ")</f>
        <v xml:space="preserve"> </v>
      </c>
      <c r="N984" s="145" t="str">
        <f>IF(Formulario!J992&lt;&gt;"",IF(Formulario!J992=" "," ",Formulario!J992),IF(G984=".",".","Falta Fecha"))</f>
        <v>.</v>
      </c>
      <c r="O984" s="155">
        <f>Formulario!L992</f>
        <v>0</v>
      </c>
      <c r="P984" s="146">
        <f>IF(O984=1,"09:00",Formulario!M992)</f>
        <v>0</v>
      </c>
      <c r="Q984" s="146">
        <f>IF(O984=1,"18:30",Formulario!N992)</f>
        <v>0</v>
      </c>
      <c r="R984" s="146" t="str">
        <f>IF(Formulario!O992&lt;&gt;"",IF(Formulario!O992=" ",".",Formulario!O992),".")</f>
        <v>.</v>
      </c>
      <c r="S984" s="141" t="s">
        <v>131</v>
      </c>
    </row>
    <row r="985" spans="1:19">
      <c r="A985" s="141">
        <f>Formulario!B993</f>
        <v>0</v>
      </c>
      <c r="B985" s="144" t="str">
        <f>IF(G985="."," ",Formulario!D$5)</f>
        <v xml:space="preserve"> </v>
      </c>
      <c r="C985" s="144" t="str">
        <f>IF(G985=".","",Formulario!D$6)</f>
        <v/>
      </c>
      <c r="D985" s="144" t="str">
        <f>IF(H985=".","",Formulario!D$7)</f>
        <v/>
      </c>
      <c r="E985" s="144" t="str">
        <f>IF(G985=".","",Formulario!J$5)</f>
        <v/>
      </c>
      <c r="F985" s="145" t="str">
        <f>IF(G985=".","",Formulario!J$6)</f>
        <v/>
      </c>
      <c r="G985" s="180" t="str">
        <f>IF(Formulario!C993&lt;&gt;"",IF(Formulario!C993=" ","Falta Depto",IF(H985=".","Error En Descripción",Formulario!C993)),IF(H985=".",".","Falta Datos"))</f>
        <v>.</v>
      </c>
      <c r="H985" s="144" t="str">
        <f>IF(Formulario!D993&lt;&gt;"",IF(Formulario!D993=" ",".",Formulario!D993),".")</f>
        <v>.</v>
      </c>
      <c r="I985" s="144" t="str">
        <f>IF(Formulario!E993&lt;&gt;"",IF(Formulario!E993=" "," ",Formulario!E993),IF(G985=".",".","Falta Propietario"))</f>
        <v>.</v>
      </c>
      <c r="J985" s="144" t="str">
        <f>IF(Formulario!F993&lt;&gt;"",IF(Formulario!F993=" "," ",Formulario!F993)," ")</f>
        <v xml:space="preserve"> </v>
      </c>
      <c r="K985" s="144" t="str">
        <f>IF(Formulario!G993&lt;&gt;"",IF(Formulario!G993=" "," ",Formulario!G993)," ")</f>
        <v xml:space="preserve"> </v>
      </c>
      <c r="L985" s="144" t="str">
        <f>IF(Formulario!H993&lt;&gt;"",IF(Formulario!H993=" "," ",Formulario!H993)," ")</f>
        <v xml:space="preserve"> </v>
      </c>
      <c r="M985" s="144" t="str">
        <f>IF(Formulario!I993&lt;&gt;"",IF(Formulario!I993=" "," ",Formulario!I993)," ")</f>
        <v xml:space="preserve"> </v>
      </c>
      <c r="N985" s="145" t="str">
        <f>IF(Formulario!J993&lt;&gt;"",IF(Formulario!J993=" "," ",Formulario!J993),IF(G985=".",".","Falta Fecha"))</f>
        <v>.</v>
      </c>
      <c r="O985" s="155">
        <f>Formulario!L993</f>
        <v>0</v>
      </c>
      <c r="P985" s="146">
        <f>IF(O985=1,"09:00",Formulario!M993)</f>
        <v>0</v>
      </c>
      <c r="Q985" s="146">
        <f>IF(O985=1,"18:30",Formulario!N993)</f>
        <v>0</v>
      </c>
      <c r="R985" s="146" t="str">
        <f>IF(Formulario!O993&lt;&gt;"",IF(Formulario!O993=" ",".",Formulario!O993),".")</f>
        <v>.</v>
      </c>
      <c r="S985" s="141" t="s">
        <v>131</v>
      </c>
    </row>
    <row r="986" spans="1:19">
      <c r="A986" s="141">
        <f>Formulario!B994</f>
        <v>0</v>
      </c>
      <c r="B986" s="144" t="str">
        <f>IF(G986="."," ",Formulario!D$5)</f>
        <v xml:space="preserve"> </v>
      </c>
      <c r="C986" s="144" t="str">
        <f>IF(G986=".","",Formulario!D$6)</f>
        <v/>
      </c>
      <c r="D986" s="144" t="str">
        <f>IF(H986=".","",Formulario!D$7)</f>
        <v/>
      </c>
      <c r="E986" s="144" t="str">
        <f>IF(G986=".","",Formulario!J$5)</f>
        <v/>
      </c>
      <c r="F986" s="145" t="str">
        <f>IF(G986=".","",Formulario!J$6)</f>
        <v/>
      </c>
      <c r="G986" s="180" t="str">
        <f>IF(Formulario!C994&lt;&gt;"",IF(Formulario!C994=" ","Falta Depto",IF(H986=".","Error En Descripción",Formulario!C994)),IF(H986=".",".","Falta Datos"))</f>
        <v>.</v>
      </c>
      <c r="H986" s="144" t="str">
        <f>IF(Formulario!D994&lt;&gt;"",IF(Formulario!D994=" ",".",Formulario!D994),".")</f>
        <v>.</v>
      </c>
      <c r="I986" s="144" t="str">
        <f>IF(Formulario!E994&lt;&gt;"",IF(Formulario!E994=" "," ",Formulario!E994),IF(G986=".",".","Falta Propietario"))</f>
        <v>.</v>
      </c>
      <c r="J986" s="144" t="str">
        <f>IF(Formulario!F994&lt;&gt;"",IF(Formulario!F994=" "," ",Formulario!F994)," ")</f>
        <v xml:space="preserve"> </v>
      </c>
      <c r="K986" s="144" t="str">
        <f>IF(Formulario!G994&lt;&gt;"",IF(Formulario!G994=" "," ",Formulario!G994)," ")</f>
        <v xml:space="preserve"> </v>
      </c>
      <c r="L986" s="144" t="str">
        <f>IF(Formulario!H994&lt;&gt;"",IF(Formulario!H994=" "," ",Formulario!H994)," ")</f>
        <v xml:space="preserve"> </v>
      </c>
      <c r="M986" s="144" t="str">
        <f>IF(Formulario!I994&lt;&gt;"",IF(Formulario!I994=" "," ",Formulario!I994)," ")</f>
        <v xml:space="preserve"> </v>
      </c>
      <c r="N986" s="145" t="str">
        <f>IF(Formulario!J994&lt;&gt;"",IF(Formulario!J994=" "," ",Formulario!J994),IF(G986=".",".","Falta Fecha"))</f>
        <v>.</v>
      </c>
      <c r="O986" s="155">
        <f>Formulario!L994</f>
        <v>0</v>
      </c>
      <c r="P986" s="146">
        <f>IF(O986=1,"09:00",Formulario!M994)</f>
        <v>0</v>
      </c>
      <c r="Q986" s="146">
        <f>IF(O986=1,"18:30",Formulario!N994)</f>
        <v>0</v>
      </c>
      <c r="R986" s="146" t="str">
        <f>IF(Formulario!O994&lt;&gt;"",IF(Formulario!O994=" ",".",Formulario!O994),".")</f>
        <v>.</v>
      </c>
      <c r="S986" s="141" t="s">
        <v>131</v>
      </c>
    </row>
    <row r="987" spans="1:19">
      <c r="A987" s="141">
        <f>Formulario!B995</f>
        <v>0</v>
      </c>
      <c r="B987" s="144" t="str">
        <f>IF(G987="."," ",Formulario!D$5)</f>
        <v xml:space="preserve"> </v>
      </c>
      <c r="C987" s="144" t="str">
        <f>IF(G987=".","",Formulario!D$6)</f>
        <v/>
      </c>
      <c r="D987" s="144" t="str">
        <f>IF(H987=".","",Formulario!D$7)</f>
        <v/>
      </c>
      <c r="E987" s="144" t="str">
        <f>IF(G987=".","",Formulario!J$5)</f>
        <v/>
      </c>
      <c r="F987" s="145" t="str">
        <f>IF(G987=".","",Formulario!J$6)</f>
        <v/>
      </c>
      <c r="G987" s="180" t="str">
        <f>IF(Formulario!C995&lt;&gt;"",IF(Formulario!C995=" ","Falta Depto",IF(H987=".","Error En Descripción",Formulario!C995)),IF(H987=".",".","Falta Datos"))</f>
        <v>.</v>
      </c>
      <c r="H987" s="144" t="str">
        <f>IF(Formulario!D995&lt;&gt;"",IF(Formulario!D995=" ",".",Formulario!D995),".")</f>
        <v>.</v>
      </c>
      <c r="I987" s="144" t="str">
        <f>IF(Formulario!E995&lt;&gt;"",IF(Formulario!E995=" "," ",Formulario!E995),IF(G987=".",".","Falta Propietario"))</f>
        <v>.</v>
      </c>
      <c r="J987" s="144" t="str">
        <f>IF(Formulario!F995&lt;&gt;"",IF(Formulario!F995=" "," ",Formulario!F995)," ")</f>
        <v xml:space="preserve"> </v>
      </c>
      <c r="K987" s="144" t="str">
        <f>IF(Formulario!G995&lt;&gt;"",IF(Formulario!G995=" "," ",Formulario!G995)," ")</f>
        <v xml:space="preserve"> </v>
      </c>
      <c r="L987" s="144" t="str">
        <f>IF(Formulario!H995&lt;&gt;"",IF(Formulario!H995=" "," ",Formulario!H995)," ")</f>
        <v xml:space="preserve"> </v>
      </c>
      <c r="M987" s="144" t="str">
        <f>IF(Formulario!I995&lt;&gt;"",IF(Formulario!I995=" "," ",Formulario!I995)," ")</f>
        <v xml:space="preserve"> </v>
      </c>
      <c r="N987" s="145" t="str">
        <f>IF(Formulario!J995&lt;&gt;"",IF(Formulario!J995=" "," ",Formulario!J995),IF(G987=".",".","Falta Fecha"))</f>
        <v>.</v>
      </c>
      <c r="O987" s="155">
        <f>Formulario!L995</f>
        <v>0</v>
      </c>
      <c r="P987" s="146">
        <f>IF(O987=1,"09:00",Formulario!M995)</f>
        <v>0</v>
      </c>
      <c r="Q987" s="146">
        <f>IF(O987=1,"18:30",Formulario!N995)</f>
        <v>0</v>
      </c>
      <c r="R987" s="146" t="str">
        <f>IF(Formulario!O995&lt;&gt;"",IF(Formulario!O995=" ",".",Formulario!O995),".")</f>
        <v>.</v>
      </c>
      <c r="S987" s="141" t="s">
        <v>131</v>
      </c>
    </row>
    <row r="988" spans="1:19">
      <c r="A988" s="141">
        <f>Formulario!B996</f>
        <v>0</v>
      </c>
      <c r="B988" s="144" t="str">
        <f>IF(G988="."," ",Formulario!D$5)</f>
        <v xml:space="preserve"> </v>
      </c>
      <c r="C988" s="144" t="str">
        <f>IF(G988=".","",Formulario!D$6)</f>
        <v/>
      </c>
      <c r="D988" s="144" t="str">
        <f>IF(H988=".","",Formulario!D$7)</f>
        <v/>
      </c>
      <c r="E988" s="144" t="str">
        <f>IF(G988=".","",Formulario!J$5)</f>
        <v/>
      </c>
      <c r="F988" s="145" t="str">
        <f>IF(G988=".","",Formulario!J$6)</f>
        <v/>
      </c>
      <c r="G988" s="180" t="str">
        <f>IF(Formulario!C996&lt;&gt;"",IF(Formulario!C996=" ","Falta Depto",IF(H988=".","Error En Descripción",Formulario!C996)),IF(H988=".",".","Falta Datos"))</f>
        <v>.</v>
      </c>
      <c r="H988" s="144" t="str">
        <f>IF(Formulario!D996&lt;&gt;"",IF(Formulario!D996=" ",".",Formulario!D996),".")</f>
        <v>.</v>
      </c>
      <c r="I988" s="144" t="str">
        <f>IF(Formulario!E996&lt;&gt;"",IF(Formulario!E996=" "," ",Formulario!E996),IF(G988=".",".","Falta Propietario"))</f>
        <v>.</v>
      </c>
      <c r="J988" s="144" t="str">
        <f>IF(Formulario!F996&lt;&gt;"",IF(Formulario!F996=" "," ",Formulario!F996)," ")</f>
        <v xml:space="preserve"> </v>
      </c>
      <c r="K988" s="144" t="str">
        <f>IF(Formulario!G996&lt;&gt;"",IF(Formulario!G996=" "," ",Formulario!G996)," ")</f>
        <v xml:space="preserve"> </v>
      </c>
      <c r="L988" s="144" t="str">
        <f>IF(Formulario!H996&lt;&gt;"",IF(Formulario!H996=" "," ",Formulario!H996)," ")</f>
        <v xml:space="preserve"> </v>
      </c>
      <c r="M988" s="144" t="str">
        <f>IF(Formulario!I996&lt;&gt;"",IF(Formulario!I996=" "," ",Formulario!I996)," ")</f>
        <v xml:space="preserve"> </v>
      </c>
      <c r="N988" s="145" t="str">
        <f>IF(Formulario!J996&lt;&gt;"",IF(Formulario!J996=" "," ",Formulario!J996),IF(G988=".",".","Falta Fecha"))</f>
        <v>.</v>
      </c>
      <c r="O988" s="155">
        <f>Formulario!L996</f>
        <v>0</v>
      </c>
      <c r="P988" s="146">
        <f>IF(O988=1,"09:00",Formulario!M996)</f>
        <v>0</v>
      </c>
      <c r="Q988" s="146">
        <f>IF(O988=1,"18:30",Formulario!N996)</f>
        <v>0</v>
      </c>
      <c r="R988" s="146" t="str">
        <f>IF(Formulario!O996&lt;&gt;"",IF(Formulario!O996=" ",".",Formulario!O996),".")</f>
        <v>.</v>
      </c>
      <c r="S988" s="141" t="s">
        <v>131</v>
      </c>
    </row>
    <row r="989" spans="1:19">
      <c r="A989" s="141">
        <f>Formulario!B997</f>
        <v>0</v>
      </c>
      <c r="B989" s="144" t="str">
        <f>IF(G989="."," ",Formulario!D$5)</f>
        <v xml:space="preserve"> </v>
      </c>
      <c r="C989" s="144" t="str">
        <f>IF(G989=".","",Formulario!D$6)</f>
        <v/>
      </c>
      <c r="D989" s="144" t="str">
        <f>IF(H989=".","",Formulario!D$7)</f>
        <v/>
      </c>
      <c r="E989" s="144" t="str">
        <f>IF(G989=".","",Formulario!J$5)</f>
        <v/>
      </c>
      <c r="F989" s="145" t="str">
        <f>IF(G989=".","",Formulario!J$6)</f>
        <v/>
      </c>
      <c r="G989" s="180" t="str">
        <f>IF(Formulario!C997&lt;&gt;"",IF(Formulario!C997=" ","Falta Depto",IF(H989=".","Error En Descripción",Formulario!C997)),IF(H989=".",".","Falta Datos"))</f>
        <v>.</v>
      </c>
      <c r="H989" s="144" t="str">
        <f>IF(Formulario!D997&lt;&gt;"",IF(Formulario!D997=" ",".",Formulario!D997),".")</f>
        <v>.</v>
      </c>
      <c r="I989" s="144" t="str">
        <f>IF(Formulario!E997&lt;&gt;"",IF(Formulario!E997=" "," ",Formulario!E997),IF(G989=".",".","Falta Propietario"))</f>
        <v>.</v>
      </c>
      <c r="J989" s="144" t="str">
        <f>IF(Formulario!F997&lt;&gt;"",IF(Formulario!F997=" "," ",Formulario!F997)," ")</f>
        <v xml:space="preserve"> </v>
      </c>
      <c r="K989" s="144" t="str">
        <f>IF(Formulario!G997&lt;&gt;"",IF(Formulario!G997=" "," ",Formulario!G997)," ")</f>
        <v xml:space="preserve"> </v>
      </c>
      <c r="L989" s="144" t="str">
        <f>IF(Formulario!H997&lt;&gt;"",IF(Formulario!H997=" "," ",Formulario!H997)," ")</f>
        <v xml:space="preserve"> </v>
      </c>
      <c r="M989" s="144" t="str">
        <f>IF(Formulario!I997&lt;&gt;"",IF(Formulario!I997=" "," ",Formulario!I997)," ")</f>
        <v xml:space="preserve"> </v>
      </c>
      <c r="N989" s="145" t="str">
        <f>IF(Formulario!J997&lt;&gt;"",IF(Formulario!J997=" "," ",Formulario!J997),IF(G989=".",".","Falta Fecha"))</f>
        <v>.</v>
      </c>
      <c r="O989" s="155">
        <f>Formulario!L997</f>
        <v>0</v>
      </c>
      <c r="P989" s="146">
        <f>IF(O989=1,"09:00",Formulario!M997)</f>
        <v>0</v>
      </c>
      <c r="Q989" s="146">
        <f>IF(O989=1,"18:30",Formulario!N997)</f>
        <v>0</v>
      </c>
      <c r="R989" s="146" t="str">
        <f>IF(Formulario!O997&lt;&gt;"",IF(Formulario!O997=" ",".",Formulario!O997),".")</f>
        <v>.</v>
      </c>
      <c r="S989" s="141" t="s">
        <v>131</v>
      </c>
    </row>
    <row r="990" spans="1:19">
      <c r="A990" s="141">
        <f>Formulario!B998</f>
        <v>0</v>
      </c>
      <c r="B990" s="144" t="str">
        <f>IF(G990="."," ",Formulario!D$5)</f>
        <v xml:space="preserve"> </v>
      </c>
      <c r="C990" s="144" t="str">
        <f>IF(G990=".","",Formulario!D$6)</f>
        <v/>
      </c>
      <c r="D990" s="144" t="str">
        <f>IF(H990=".","",Formulario!D$7)</f>
        <v/>
      </c>
      <c r="E990" s="144" t="str">
        <f>IF(G990=".","",Formulario!J$5)</f>
        <v/>
      </c>
      <c r="F990" s="145" t="str">
        <f>IF(G990=".","",Formulario!J$6)</f>
        <v/>
      </c>
      <c r="G990" s="180" t="str">
        <f>IF(Formulario!C998&lt;&gt;"",IF(Formulario!C998=" ","Falta Depto",IF(H990=".","Error En Descripción",Formulario!C998)),IF(H990=".",".","Falta Datos"))</f>
        <v>.</v>
      </c>
      <c r="H990" s="144" t="str">
        <f>IF(Formulario!D998&lt;&gt;"",IF(Formulario!D998=" ",".",Formulario!D998),".")</f>
        <v>.</v>
      </c>
      <c r="I990" s="144" t="str">
        <f>IF(Formulario!E998&lt;&gt;"",IF(Formulario!E998=" "," ",Formulario!E998),IF(G990=".",".","Falta Propietario"))</f>
        <v>.</v>
      </c>
      <c r="J990" s="144" t="str">
        <f>IF(Formulario!F998&lt;&gt;"",IF(Formulario!F998=" "," ",Formulario!F998)," ")</f>
        <v xml:space="preserve"> </v>
      </c>
      <c r="K990" s="144" t="str">
        <f>IF(Formulario!G998&lt;&gt;"",IF(Formulario!G998=" "," ",Formulario!G998)," ")</f>
        <v xml:space="preserve"> </v>
      </c>
      <c r="L990" s="144" t="str">
        <f>IF(Formulario!H998&lt;&gt;"",IF(Formulario!H998=" "," ",Formulario!H998)," ")</f>
        <v xml:space="preserve"> </v>
      </c>
      <c r="M990" s="144" t="str">
        <f>IF(Formulario!I998&lt;&gt;"",IF(Formulario!I998=" "," ",Formulario!I998)," ")</f>
        <v xml:space="preserve"> </v>
      </c>
      <c r="N990" s="145" t="str">
        <f>IF(Formulario!J998&lt;&gt;"",IF(Formulario!J998=" "," ",Formulario!J998),IF(G990=".",".","Falta Fecha"))</f>
        <v>.</v>
      </c>
      <c r="O990" s="155">
        <f>Formulario!L998</f>
        <v>0</v>
      </c>
      <c r="P990" s="146">
        <f>IF(O990=1,"09:00",Formulario!M998)</f>
        <v>0</v>
      </c>
      <c r="Q990" s="146">
        <f>IF(O990=1,"18:30",Formulario!N998)</f>
        <v>0</v>
      </c>
      <c r="R990" s="146" t="str">
        <f>IF(Formulario!O998&lt;&gt;"",IF(Formulario!O998=" ",".",Formulario!O998),".")</f>
        <v>.</v>
      </c>
      <c r="S990" s="141" t="s">
        <v>131</v>
      </c>
    </row>
    <row r="991" spans="1:19">
      <c r="A991" s="141">
        <f>Formulario!B999</f>
        <v>0</v>
      </c>
      <c r="B991" s="144" t="str">
        <f>IF(G991="."," ",Formulario!D$5)</f>
        <v xml:space="preserve"> </v>
      </c>
      <c r="C991" s="144" t="str">
        <f>IF(G991=".","",Formulario!D$6)</f>
        <v/>
      </c>
      <c r="D991" s="144" t="str">
        <f>IF(H991=".","",Formulario!D$7)</f>
        <v/>
      </c>
      <c r="E991" s="144" t="str">
        <f>IF(G991=".","",Formulario!J$5)</f>
        <v/>
      </c>
      <c r="F991" s="145" t="str">
        <f>IF(G991=".","",Formulario!J$6)</f>
        <v/>
      </c>
      <c r="G991" s="180" t="str">
        <f>IF(Formulario!C999&lt;&gt;"",IF(Formulario!C999=" ","Falta Depto",IF(H991=".","Error En Descripción",Formulario!C999)),IF(H991=".",".","Falta Datos"))</f>
        <v>.</v>
      </c>
      <c r="H991" s="144" t="str">
        <f>IF(Formulario!D999&lt;&gt;"",IF(Formulario!D999=" ",".",Formulario!D999),".")</f>
        <v>.</v>
      </c>
      <c r="I991" s="144" t="str">
        <f>IF(Formulario!E999&lt;&gt;"",IF(Formulario!E999=" "," ",Formulario!E999),IF(G991=".",".","Falta Propietario"))</f>
        <v>.</v>
      </c>
      <c r="J991" s="144" t="str">
        <f>IF(Formulario!F999&lt;&gt;"",IF(Formulario!F999=" "," ",Formulario!F999)," ")</f>
        <v xml:space="preserve"> </v>
      </c>
      <c r="K991" s="144" t="str">
        <f>IF(Formulario!G999&lt;&gt;"",IF(Formulario!G999=" "," ",Formulario!G999)," ")</f>
        <v xml:space="preserve"> </v>
      </c>
      <c r="L991" s="144" t="str">
        <f>IF(Formulario!H999&lt;&gt;"",IF(Formulario!H999=" "," ",Formulario!H999)," ")</f>
        <v xml:space="preserve"> </v>
      </c>
      <c r="M991" s="144" t="str">
        <f>IF(Formulario!I999&lt;&gt;"",IF(Formulario!I999=" "," ",Formulario!I999)," ")</f>
        <v xml:space="preserve"> </v>
      </c>
      <c r="N991" s="145" t="str">
        <f>IF(Formulario!J999&lt;&gt;"",IF(Formulario!J999=" "," ",Formulario!J999),IF(G991=".",".","Falta Fecha"))</f>
        <v>.</v>
      </c>
      <c r="O991" s="155">
        <f>Formulario!L999</f>
        <v>0</v>
      </c>
      <c r="P991" s="146">
        <f>IF(O991=1,"09:00",Formulario!M999)</f>
        <v>0</v>
      </c>
      <c r="Q991" s="146">
        <f>IF(O991=1,"18:30",Formulario!N999)</f>
        <v>0</v>
      </c>
      <c r="R991" s="146" t="str">
        <f>IF(Formulario!O999&lt;&gt;"",IF(Formulario!O999=" ",".",Formulario!O999),".")</f>
        <v>.</v>
      </c>
      <c r="S991" s="141" t="s">
        <v>131</v>
      </c>
    </row>
    <row r="992" spans="1:19">
      <c r="A992" s="141">
        <f>Formulario!B1000</f>
        <v>0</v>
      </c>
      <c r="B992" s="144" t="str">
        <f>IF(G992="."," ",Formulario!D$5)</f>
        <v xml:space="preserve"> </v>
      </c>
      <c r="C992" s="144" t="str">
        <f>IF(G992=".","",Formulario!D$6)</f>
        <v/>
      </c>
      <c r="D992" s="144" t="str">
        <f>IF(H992=".","",Formulario!D$7)</f>
        <v/>
      </c>
      <c r="E992" s="144" t="str">
        <f>IF(G992=".","",Formulario!J$5)</f>
        <v/>
      </c>
      <c r="F992" s="145" t="str">
        <f>IF(G992=".","",Formulario!J$6)</f>
        <v/>
      </c>
      <c r="G992" s="180" t="str">
        <f>IF(Formulario!C1000&lt;&gt;"",IF(Formulario!C1000=" ","Falta Depto",IF(H992=".","Error En Descripción",Formulario!C1000)),IF(H992=".",".","Falta Datos"))</f>
        <v>.</v>
      </c>
      <c r="H992" s="144" t="str">
        <f>IF(Formulario!D1000&lt;&gt;"",IF(Formulario!D1000=" ",".",Formulario!D1000),".")</f>
        <v>.</v>
      </c>
      <c r="I992" s="144" t="str">
        <f>IF(Formulario!E1000&lt;&gt;"",IF(Formulario!E1000=" "," ",Formulario!E1000),IF(G992=".",".","Falta Propietario"))</f>
        <v>.</v>
      </c>
      <c r="J992" s="144" t="str">
        <f>IF(Formulario!F1000&lt;&gt;"",IF(Formulario!F1000=" "," ",Formulario!F1000)," ")</f>
        <v xml:space="preserve"> </v>
      </c>
      <c r="K992" s="144" t="str">
        <f>IF(Formulario!G1000&lt;&gt;"",IF(Formulario!G1000=" "," ",Formulario!G1000)," ")</f>
        <v xml:space="preserve"> </v>
      </c>
      <c r="L992" s="144" t="str">
        <f>IF(Formulario!H1000&lt;&gt;"",IF(Formulario!H1000=" "," ",Formulario!H1000)," ")</f>
        <v xml:space="preserve"> </v>
      </c>
      <c r="M992" s="144" t="str">
        <f>IF(Formulario!I1000&lt;&gt;"",IF(Formulario!I1000=" "," ",Formulario!I1000)," ")</f>
        <v xml:space="preserve"> </v>
      </c>
      <c r="N992" s="145" t="str">
        <f>IF(Formulario!J1000&lt;&gt;"",IF(Formulario!J1000=" "," ",Formulario!J1000),IF(G992=".",".","Falta Fecha"))</f>
        <v>.</v>
      </c>
      <c r="O992" s="155">
        <f>Formulario!L1000</f>
        <v>0</v>
      </c>
      <c r="P992" s="146">
        <f>IF(O992=1,"09:00",Formulario!M1000)</f>
        <v>0</v>
      </c>
      <c r="Q992" s="146">
        <f>IF(O992=1,"18:30",Formulario!N1000)</f>
        <v>0</v>
      </c>
      <c r="R992" s="146" t="str">
        <f>IF(Formulario!O1000&lt;&gt;"",IF(Formulario!O1000=" ",".",Formulario!O1000),".")</f>
        <v>.</v>
      </c>
      <c r="S992" s="141" t="s">
        <v>131</v>
      </c>
    </row>
    <row r="993" spans="1:19">
      <c r="A993" s="141">
        <f>Formulario!B1001</f>
        <v>0</v>
      </c>
      <c r="B993" s="144" t="str">
        <f>IF(G993="."," ",Formulario!D$5)</f>
        <v xml:space="preserve"> </v>
      </c>
      <c r="C993" s="144" t="str">
        <f>IF(G993=".","",Formulario!D$6)</f>
        <v/>
      </c>
      <c r="D993" s="144" t="str">
        <f>IF(H993=".","",Formulario!D$7)</f>
        <v/>
      </c>
      <c r="E993" s="144" t="str">
        <f>IF(G993=".","",Formulario!J$5)</f>
        <v/>
      </c>
      <c r="F993" s="145" t="str">
        <f>IF(G993=".","",Formulario!J$6)</f>
        <v/>
      </c>
      <c r="G993" s="180" t="str">
        <f>IF(Formulario!C1001&lt;&gt;"",IF(Formulario!C1001=" ","Falta Depto",IF(H993=".","Error En Descripción",Formulario!C1001)),IF(H993=".",".","Falta Datos"))</f>
        <v>.</v>
      </c>
      <c r="H993" s="144" t="str">
        <f>IF(Formulario!D1001&lt;&gt;"",IF(Formulario!D1001=" ",".",Formulario!D1001),".")</f>
        <v>.</v>
      </c>
      <c r="I993" s="144" t="str">
        <f>IF(Formulario!E1001&lt;&gt;"",IF(Formulario!E1001=" "," ",Formulario!E1001),IF(G993=".",".","Falta Propietario"))</f>
        <v>.</v>
      </c>
      <c r="J993" s="144" t="str">
        <f>IF(Formulario!F1001&lt;&gt;"",IF(Formulario!F1001=" "," ",Formulario!F1001)," ")</f>
        <v xml:space="preserve"> </v>
      </c>
      <c r="K993" s="144" t="str">
        <f>IF(Formulario!G1001&lt;&gt;"",IF(Formulario!G1001=" "," ",Formulario!G1001)," ")</f>
        <v xml:space="preserve"> </v>
      </c>
      <c r="L993" s="144" t="str">
        <f>IF(Formulario!H1001&lt;&gt;"",IF(Formulario!H1001=" "," ",Formulario!H1001)," ")</f>
        <v xml:space="preserve"> </v>
      </c>
      <c r="M993" s="144" t="str">
        <f>IF(Formulario!I1001&lt;&gt;"",IF(Formulario!I1001=" "," ",Formulario!I1001)," ")</f>
        <v xml:space="preserve"> </v>
      </c>
      <c r="N993" s="145" t="str">
        <f>IF(Formulario!J1001&lt;&gt;"",IF(Formulario!J1001=" "," ",Formulario!J1001),IF(G993=".",".","Falta Fecha"))</f>
        <v>.</v>
      </c>
      <c r="O993" s="155">
        <f>Formulario!L1001</f>
        <v>0</v>
      </c>
      <c r="P993" s="146">
        <f>IF(O993=1,"09:00",Formulario!M1001)</f>
        <v>0</v>
      </c>
      <c r="Q993" s="146">
        <f>IF(O993=1,"18:30",Formulario!N1001)</f>
        <v>0</v>
      </c>
      <c r="R993" s="146" t="str">
        <f>IF(Formulario!O1001&lt;&gt;"",IF(Formulario!O1001=" ",".",Formulario!O1001),".")</f>
        <v>.</v>
      </c>
      <c r="S993" s="141" t="s">
        <v>131</v>
      </c>
    </row>
    <row r="994" spans="1:19">
      <c r="A994" s="141">
        <f>Formulario!B1002</f>
        <v>0</v>
      </c>
      <c r="B994" s="144" t="str">
        <f>IF(G994="."," ",Formulario!D$5)</f>
        <v xml:space="preserve"> </v>
      </c>
      <c r="C994" s="144" t="str">
        <f>IF(G994=".","",Formulario!D$6)</f>
        <v/>
      </c>
      <c r="D994" s="144" t="str">
        <f>IF(H994=".","",Formulario!D$7)</f>
        <v/>
      </c>
      <c r="E994" s="144" t="str">
        <f>IF(G994=".","",Formulario!J$5)</f>
        <v/>
      </c>
      <c r="F994" s="145" t="str">
        <f>IF(G994=".","",Formulario!J$6)</f>
        <v/>
      </c>
      <c r="G994" s="180" t="str">
        <f>IF(Formulario!C1002&lt;&gt;"",IF(Formulario!C1002=" ","Falta Depto",IF(H994=".","Error En Descripción",Formulario!C1002)),IF(H994=".",".","Falta Datos"))</f>
        <v>.</v>
      </c>
      <c r="H994" s="144" t="str">
        <f>IF(Formulario!D1002&lt;&gt;"",IF(Formulario!D1002=" ",".",Formulario!D1002),".")</f>
        <v>.</v>
      </c>
      <c r="I994" s="144" t="str">
        <f>IF(Formulario!E1002&lt;&gt;"",IF(Formulario!E1002=" "," ",Formulario!E1002),IF(G994=".",".","Falta Propietario"))</f>
        <v>.</v>
      </c>
      <c r="J994" s="144" t="str">
        <f>IF(Formulario!F1002&lt;&gt;"",IF(Formulario!F1002=" "," ",Formulario!F1002)," ")</f>
        <v xml:space="preserve"> </v>
      </c>
      <c r="K994" s="144" t="str">
        <f>IF(Formulario!G1002&lt;&gt;"",IF(Formulario!G1002=" "," ",Formulario!G1002)," ")</f>
        <v xml:space="preserve"> </v>
      </c>
      <c r="L994" s="144" t="str">
        <f>IF(Formulario!H1002&lt;&gt;"",IF(Formulario!H1002=" "," ",Formulario!H1002)," ")</f>
        <v xml:space="preserve"> </v>
      </c>
      <c r="M994" s="144" t="str">
        <f>IF(Formulario!I1002&lt;&gt;"",IF(Formulario!I1002=" "," ",Formulario!I1002)," ")</f>
        <v xml:space="preserve"> </v>
      </c>
      <c r="N994" s="145" t="str">
        <f>IF(Formulario!J1002&lt;&gt;"",IF(Formulario!J1002=" "," ",Formulario!J1002),IF(G994=".",".","Falta Fecha"))</f>
        <v>.</v>
      </c>
      <c r="O994" s="155">
        <f>Formulario!L1002</f>
        <v>0</v>
      </c>
      <c r="P994" s="146">
        <f>IF(O994=1,"09:00",Formulario!M1002)</f>
        <v>0</v>
      </c>
      <c r="Q994" s="146">
        <f>IF(O994=1,"18:30",Formulario!N1002)</f>
        <v>0</v>
      </c>
      <c r="R994" s="146" t="str">
        <f>IF(Formulario!O1002&lt;&gt;"",IF(Formulario!O1002=" ",".",Formulario!O1002),".")</f>
        <v>.</v>
      </c>
      <c r="S994" s="141" t="s">
        <v>131</v>
      </c>
    </row>
    <row r="995" spans="1:19">
      <c r="A995" s="141">
        <f>Formulario!B1003</f>
        <v>0</v>
      </c>
      <c r="B995" s="144" t="str">
        <f>IF(G995="."," ",Formulario!D$5)</f>
        <v xml:space="preserve"> </v>
      </c>
      <c r="C995" s="144" t="str">
        <f>IF(G995=".","",Formulario!D$6)</f>
        <v/>
      </c>
      <c r="D995" s="144" t="str">
        <f>IF(H995=".","",Formulario!D$7)</f>
        <v/>
      </c>
      <c r="E995" s="144" t="str">
        <f>IF(G995=".","",Formulario!J$5)</f>
        <v/>
      </c>
      <c r="F995" s="145" t="str">
        <f>IF(G995=".","",Formulario!J$6)</f>
        <v/>
      </c>
      <c r="G995" s="180" t="str">
        <f>IF(Formulario!C1003&lt;&gt;"",IF(Formulario!C1003=" ","Falta Depto",IF(H995=".","Error En Descripción",Formulario!C1003)),IF(H995=".",".","Falta Datos"))</f>
        <v>.</v>
      </c>
      <c r="H995" s="144" t="str">
        <f>IF(Formulario!D1003&lt;&gt;"",IF(Formulario!D1003=" ",".",Formulario!D1003),".")</f>
        <v>.</v>
      </c>
      <c r="I995" s="144" t="str">
        <f>IF(Formulario!E1003&lt;&gt;"",IF(Formulario!E1003=" "," ",Formulario!E1003),IF(G995=".",".","Falta Propietario"))</f>
        <v>.</v>
      </c>
      <c r="J995" s="144" t="str">
        <f>IF(Formulario!F1003&lt;&gt;"",IF(Formulario!F1003=" "," ",Formulario!F1003)," ")</f>
        <v xml:space="preserve"> </v>
      </c>
      <c r="K995" s="144" t="str">
        <f>IF(Formulario!G1003&lt;&gt;"",IF(Formulario!G1003=" "," ",Formulario!G1003)," ")</f>
        <v xml:space="preserve"> </v>
      </c>
      <c r="L995" s="144" t="str">
        <f>IF(Formulario!H1003&lt;&gt;"",IF(Formulario!H1003=" "," ",Formulario!H1003)," ")</f>
        <v xml:space="preserve"> </v>
      </c>
      <c r="M995" s="144" t="str">
        <f>IF(Formulario!I1003&lt;&gt;"",IF(Formulario!I1003=" "," ",Formulario!I1003)," ")</f>
        <v xml:space="preserve"> </v>
      </c>
      <c r="N995" s="145" t="str">
        <f>IF(Formulario!J1003&lt;&gt;"",IF(Formulario!J1003=" "," ",Formulario!J1003),IF(G995=".",".","Falta Fecha"))</f>
        <v>.</v>
      </c>
      <c r="O995" s="155">
        <f>Formulario!L1003</f>
        <v>0</v>
      </c>
      <c r="P995" s="146">
        <f>IF(O995=1,"09:00",Formulario!M1003)</f>
        <v>0</v>
      </c>
      <c r="Q995" s="146">
        <f>IF(O995=1,"18:30",Formulario!N1003)</f>
        <v>0</v>
      </c>
      <c r="R995" s="146" t="str">
        <f>IF(Formulario!O1003&lt;&gt;"",IF(Formulario!O1003=" ",".",Formulario!O1003),".")</f>
        <v>.</v>
      </c>
      <c r="S995" s="141" t="s">
        <v>131</v>
      </c>
    </row>
    <row r="996" spans="1:19">
      <c r="A996" s="141">
        <f>Formulario!B1004</f>
        <v>0</v>
      </c>
      <c r="B996" s="144" t="str">
        <f>IF(G996="."," ",Formulario!D$5)</f>
        <v xml:space="preserve"> </v>
      </c>
      <c r="C996" s="144" t="str">
        <f>IF(G996=".","",Formulario!D$6)</f>
        <v/>
      </c>
      <c r="D996" s="144" t="str">
        <f>IF(H996=".","",Formulario!D$7)</f>
        <v/>
      </c>
      <c r="E996" s="144" t="str">
        <f>IF(G996=".","",Formulario!J$5)</f>
        <v/>
      </c>
      <c r="F996" s="145" t="str">
        <f>IF(G996=".","",Formulario!J$6)</f>
        <v/>
      </c>
      <c r="G996" s="180" t="str">
        <f>IF(Formulario!C1004&lt;&gt;"",IF(Formulario!C1004=" ","Falta Depto",IF(H996=".","Error En Descripción",Formulario!C1004)),IF(H996=".",".","Falta Datos"))</f>
        <v>.</v>
      </c>
      <c r="H996" s="144" t="str">
        <f>IF(Formulario!D1004&lt;&gt;"",IF(Formulario!D1004=" ",".",Formulario!D1004),".")</f>
        <v>.</v>
      </c>
      <c r="I996" s="144" t="str">
        <f>IF(Formulario!E1004&lt;&gt;"",IF(Formulario!E1004=" "," ",Formulario!E1004),IF(G996=".",".","Falta Propietario"))</f>
        <v>.</v>
      </c>
      <c r="J996" s="144" t="str">
        <f>IF(Formulario!F1004&lt;&gt;"",IF(Formulario!F1004=" "," ",Formulario!F1004)," ")</f>
        <v xml:space="preserve"> </v>
      </c>
      <c r="K996" s="144" t="str">
        <f>IF(Formulario!G1004&lt;&gt;"",IF(Formulario!G1004=" "," ",Formulario!G1004)," ")</f>
        <v xml:space="preserve"> </v>
      </c>
      <c r="L996" s="144" t="str">
        <f>IF(Formulario!H1004&lt;&gt;"",IF(Formulario!H1004=" "," ",Formulario!H1004)," ")</f>
        <v xml:space="preserve"> </v>
      </c>
      <c r="M996" s="144" t="str">
        <f>IF(Formulario!I1004&lt;&gt;"",IF(Formulario!I1004=" "," ",Formulario!I1004)," ")</f>
        <v xml:space="preserve"> </v>
      </c>
      <c r="N996" s="145" t="str">
        <f>IF(Formulario!J1004&lt;&gt;"",IF(Formulario!J1004=" "," ",Formulario!J1004),IF(G996=".",".","Falta Fecha"))</f>
        <v>.</v>
      </c>
      <c r="O996" s="155">
        <f>Formulario!L1004</f>
        <v>0</v>
      </c>
      <c r="P996" s="146">
        <f>IF(O996=1,"09:00",Formulario!M1004)</f>
        <v>0</v>
      </c>
      <c r="Q996" s="146">
        <f>IF(O996=1,"18:30",Formulario!N1004)</f>
        <v>0</v>
      </c>
      <c r="R996" s="146" t="str">
        <f>IF(Formulario!O1004&lt;&gt;"",IF(Formulario!O1004=" ",".",Formulario!O1004),".")</f>
        <v>.</v>
      </c>
      <c r="S996" s="141" t="s">
        <v>131</v>
      </c>
    </row>
    <row r="997" spans="1:19">
      <c r="A997" s="141">
        <f>Formulario!B1005</f>
        <v>0</v>
      </c>
      <c r="B997" s="144" t="str">
        <f>IF(G997="."," ",Formulario!D$5)</f>
        <v xml:space="preserve"> </v>
      </c>
      <c r="C997" s="144" t="str">
        <f>IF(G997=".","",Formulario!D$6)</f>
        <v/>
      </c>
      <c r="D997" s="144" t="str">
        <f>IF(H997=".","",Formulario!D$7)</f>
        <v/>
      </c>
      <c r="E997" s="144" t="str">
        <f>IF(G997=".","",Formulario!J$5)</f>
        <v/>
      </c>
      <c r="F997" s="145" t="str">
        <f>IF(G997=".","",Formulario!J$6)</f>
        <v/>
      </c>
      <c r="G997" s="180" t="str">
        <f>IF(Formulario!C1005&lt;&gt;"",IF(Formulario!C1005=" ","Falta Depto",IF(H997=".","Error En Descripción",Formulario!C1005)),IF(H997=".",".","Falta Datos"))</f>
        <v>.</v>
      </c>
      <c r="H997" s="144" t="str">
        <f>IF(Formulario!D1005&lt;&gt;"",IF(Formulario!D1005=" ",".",Formulario!D1005),".")</f>
        <v>.</v>
      </c>
      <c r="I997" s="144" t="str">
        <f>IF(Formulario!E1005&lt;&gt;"",IF(Formulario!E1005=" "," ",Formulario!E1005),IF(G997=".",".","Falta Propietario"))</f>
        <v>.</v>
      </c>
      <c r="J997" s="144" t="str">
        <f>IF(Formulario!F1005&lt;&gt;"",IF(Formulario!F1005=" "," ",Formulario!F1005)," ")</f>
        <v xml:space="preserve"> </v>
      </c>
      <c r="K997" s="144" t="str">
        <f>IF(Formulario!G1005&lt;&gt;"",IF(Formulario!G1005=" "," ",Formulario!G1005)," ")</f>
        <v xml:space="preserve"> </v>
      </c>
      <c r="L997" s="144" t="str">
        <f>IF(Formulario!H1005&lt;&gt;"",IF(Formulario!H1005=" "," ",Formulario!H1005)," ")</f>
        <v xml:space="preserve"> </v>
      </c>
      <c r="M997" s="144" t="str">
        <f>IF(Formulario!I1005&lt;&gt;"",IF(Formulario!I1005=" "," ",Formulario!I1005)," ")</f>
        <v xml:space="preserve"> </v>
      </c>
      <c r="N997" s="145" t="str">
        <f>IF(Formulario!J1005&lt;&gt;"",IF(Formulario!J1005=" "," ",Formulario!J1005),IF(G997=".",".","Falta Fecha"))</f>
        <v>.</v>
      </c>
      <c r="O997" s="155">
        <f>Formulario!L1005</f>
        <v>0</v>
      </c>
      <c r="P997" s="146">
        <f>IF(O997=1,"09:00",Formulario!M1005)</f>
        <v>0</v>
      </c>
      <c r="Q997" s="146">
        <f>IF(O997=1,"18:30",Formulario!N1005)</f>
        <v>0</v>
      </c>
      <c r="R997" s="146" t="str">
        <f>IF(Formulario!O1005&lt;&gt;"",IF(Formulario!O1005=" ",".",Formulario!O1005),".")</f>
        <v>.</v>
      </c>
      <c r="S997" s="141" t="s">
        <v>131</v>
      </c>
    </row>
    <row r="998" spans="1:19">
      <c r="A998" s="141">
        <f>Formulario!B1006</f>
        <v>0</v>
      </c>
      <c r="B998" s="144" t="str">
        <f>IF(G998="."," ",Formulario!D$5)</f>
        <v xml:space="preserve"> </v>
      </c>
      <c r="C998" s="144" t="str">
        <f>IF(G998=".","",Formulario!D$6)</f>
        <v/>
      </c>
      <c r="D998" s="144" t="str">
        <f>IF(H998=".","",Formulario!D$7)</f>
        <v/>
      </c>
      <c r="E998" s="144" t="str">
        <f>IF(G998=".","",Formulario!J$5)</f>
        <v/>
      </c>
      <c r="F998" s="145" t="str">
        <f>IF(G998=".","",Formulario!J$6)</f>
        <v/>
      </c>
      <c r="G998" s="180" t="str">
        <f>IF(Formulario!C1006&lt;&gt;"",IF(Formulario!C1006=" ","Falta Depto",IF(H998=".","Error En Descripción",Formulario!C1006)),IF(H998=".",".","Falta Datos"))</f>
        <v>.</v>
      </c>
      <c r="H998" s="144" t="str">
        <f>IF(Formulario!D1006&lt;&gt;"",IF(Formulario!D1006=" ",".",Formulario!D1006),".")</f>
        <v>.</v>
      </c>
      <c r="I998" s="144" t="str">
        <f>IF(Formulario!E1006&lt;&gt;"",IF(Formulario!E1006=" "," ",Formulario!E1006),IF(G998=".",".","Falta Propietario"))</f>
        <v>.</v>
      </c>
      <c r="J998" s="144" t="str">
        <f>IF(Formulario!F1006&lt;&gt;"",IF(Formulario!F1006=" "," ",Formulario!F1006)," ")</f>
        <v xml:space="preserve"> </v>
      </c>
      <c r="K998" s="144" t="str">
        <f>IF(Formulario!G1006&lt;&gt;"",IF(Formulario!G1006=" "," ",Formulario!G1006)," ")</f>
        <v xml:space="preserve"> </v>
      </c>
      <c r="L998" s="144" t="str">
        <f>IF(Formulario!H1006&lt;&gt;"",IF(Formulario!H1006=" "," ",Formulario!H1006)," ")</f>
        <v xml:space="preserve"> </v>
      </c>
      <c r="M998" s="144" t="str">
        <f>IF(Formulario!I1006&lt;&gt;"",IF(Formulario!I1006=" "," ",Formulario!I1006)," ")</f>
        <v xml:space="preserve"> </v>
      </c>
      <c r="N998" s="145" t="str">
        <f>IF(Formulario!J1006&lt;&gt;"",IF(Formulario!J1006=" "," ",Formulario!J1006),IF(G998=".",".","Falta Fecha"))</f>
        <v>.</v>
      </c>
      <c r="O998" s="155">
        <f>Formulario!L1006</f>
        <v>0</v>
      </c>
      <c r="P998" s="146">
        <f>IF(O998=1,"09:00",Formulario!M1006)</f>
        <v>0</v>
      </c>
      <c r="Q998" s="146">
        <f>IF(O998=1,"18:30",Formulario!N1006)</f>
        <v>0</v>
      </c>
      <c r="R998" s="146" t="str">
        <f>IF(Formulario!O1006&lt;&gt;"",IF(Formulario!O1006=" ",".",Formulario!O1006),".")</f>
        <v>.</v>
      </c>
      <c r="S998" s="141" t="s">
        <v>131</v>
      </c>
    </row>
    <row r="999" spans="1:19">
      <c r="A999" s="141">
        <f>Formulario!B1007</f>
        <v>0</v>
      </c>
      <c r="B999" s="144" t="str">
        <f>IF(G999="."," ",Formulario!D$5)</f>
        <v xml:space="preserve"> </v>
      </c>
      <c r="C999" s="144" t="str">
        <f>IF(G999=".","",Formulario!D$6)</f>
        <v/>
      </c>
      <c r="D999" s="144" t="str">
        <f>IF(H999=".","",Formulario!D$7)</f>
        <v/>
      </c>
      <c r="E999" s="144" t="str">
        <f>IF(G999=".","",Formulario!J$5)</f>
        <v/>
      </c>
      <c r="F999" s="145" t="str">
        <f>IF(G999=".","",Formulario!J$6)</f>
        <v/>
      </c>
      <c r="G999" s="180" t="str">
        <f>IF(Formulario!C1007&lt;&gt;"",IF(Formulario!C1007=" ","Falta Depto",IF(H999=".","Error En Descripción",Formulario!C1007)),IF(H999=".",".","Falta Datos"))</f>
        <v>.</v>
      </c>
      <c r="H999" s="144" t="str">
        <f>IF(Formulario!D1007&lt;&gt;"",IF(Formulario!D1007=" ",".",Formulario!D1007),".")</f>
        <v>.</v>
      </c>
      <c r="I999" s="144" t="str">
        <f>IF(Formulario!E1007&lt;&gt;"",IF(Formulario!E1007=" "," ",Formulario!E1007),IF(G999=".",".","Falta Propietario"))</f>
        <v>.</v>
      </c>
      <c r="J999" s="144" t="str">
        <f>IF(Formulario!F1007&lt;&gt;"",IF(Formulario!F1007=" "," ",Formulario!F1007)," ")</f>
        <v xml:space="preserve"> </v>
      </c>
      <c r="K999" s="144" t="str">
        <f>IF(Formulario!G1007&lt;&gt;"",IF(Formulario!G1007=" "," ",Formulario!G1007)," ")</f>
        <v xml:space="preserve"> </v>
      </c>
      <c r="L999" s="144" t="str">
        <f>IF(Formulario!H1007&lt;&gt;"",IF(Formulario!H1007=" "," ",Formulario!H1007)," ")</f>
        <v xml:space="preserve"> </v>
      </c>
      <c r="M999" s="144" t="str">
        <f>IF(Formulario!I1007&lt;&gt;"",IF(Formulario!I1007=" "," ",Formulario!I1007)," ")</f>
        <v xml:space="preserve"> </v>
      </c>
      <c r="N999" s="145" t="str">
        <f>IF(Formulario!J1007&lt;&gt;"",IF(Formulario!J1007=" "," ",Formulario!J1007),IF(G999=".",".","Falta Fecha"))</f>
        <v>.</v>
      </c>
      <c r="O999" s="155">
        <f>Formulario!L1007</f>
        <v>0</v>
      </c>
      <c r="P999" s="146">
        <f>IF(O999=1,"09:00",Formulario!M1007)</f>
        <v>0</v>
      </c>
      <c r="Q999" s="146">
        <f>IF(O999=1,"18:30",Formulario!N1007)</f>
        <v>0</v>
      </c>
      <c r="R999" s="146" t="str">
        <f>IF(Formulario!O1007&lt;&gt;"",IF(Formulario!O1007=" ",".",Formulario!O1007),".")</f>
        <v>.</v>
      </c>
      <c r="S999" s="141" t="s">
        <v>131</v>
      </c>
    </row>
    <row r="1000" spans="1:19">
      <c r="A1000" s="141">
        <f>Formulario!B1008</f>
        <v>0</v>
      </c>
      <c r="B1000" s="144" t="str">
        <f>IF(G1000="."," ",Formulario!D$5)</f>
        <v xml:space="preserve"> </v>
      </c>
      <c r="C1000" s="144" t="str">
        <f>IF(G1000=".","",Formulario!D$6)</f>
        <v/>
      </c>
      <c r="D1000" s="144" t="str">
        <f>IF(H1000=".","",Formulario!D$7)</f>
        <v/>
      </c>
      <c r="E1000" s="144" t="str">
        <f>IF(G1000=".","",Formulario!J$5)</f>
        <v/>
      </c>
      <c r="F1000" s="145" t="str">
        <f>IF(G1000=".","",Formulario!J$6)</f>
        <v/>
      </c>
      <c r="G1000" s="180" t="str">
        <f>IF(Formulario!C1008&lt;&gt;"",IF(Formulario!C1008=" ","Falta Depto",IF(H1000=".","Error En Descripción",Formulario!C1008)),IF(H1000=".",".","Falta Datos"))</f>
        <v>.</v>
      </c>
      <c r="H1000" s="144" t="str">
        <f>IF(Formulario!D1008&lt;&gt;"",IF(Formulario!D1008=" ",".",Formulario!D1008),".")</f>
        <v>.</v>
      </c>
      <c r="I1000" s="144" t="str">
        <f>IF(Formulario!E1008&lt;&gt;"",IF(Formulario!E1008=" "," ",Formulario!E1008),IF(G1000=".",".","Falta Propietario"))</f>
        <v>.</v>
      </c>
      <c r="J1000" s="144" t="str">
        <f>IF(Formulario!F1008&lt;&gt;"",IF(Formulario!F1008=" "," ",Formulario!F1008)," ")</f>
        <v xml:space="preserve"> </v>
      </c>
      <c r="K1000" s="144" t="str">
        <f>IF(Formulario!G1008&lt;&gt;"",IF(Formulario!G1008=" "," ",Formulario!G1008)," ")</f>
        <v xml:space="preserve"> </v>
      </c>
      <c r="L1000" s="144" t="str">
        <f>IF(Formulario!H1008&lt;&gt;"",IF(Formulario!H1008=" "," ",Formulario!H1008)," ")</f>
        <v xml:space="preserve"> </v>
      </c>
      <c r="M1000" s="144" t="str">
        <f>IF(Formulario!I1008&lt;&gt;"",IF(Formulario!I1008=" "," ",Formulario!I1008)," ")</f>
        <v xml:space="preserve"> </v>
      </c>
      <c r="N1000" s="145" t="str">
        <f>IF(Formulario!J1008&lt;&gt;"",IF(Formulario!J1008=" "," ",Formulario!J1008),IF(G1000=".",".","Falta Fecha"))</f>
        <v>.</v>
      </c>
      <c r="O1000" s="155">
        <f>Formulario!L1008</f>
        <v>0</v>
      </c>
      <c r="P1000" s="146">
        <f>IF(O1000=1,"09:00",Formulario!M1008)</f>
        <v>0</v>
      </c>
      <c r="Q1000" s="146">
        <f>IF(O1000=1,"18:30",Formulario!N1008)</f>
        <v>0</v>
      </c>
      <c r="R1000" s="146" t="str">
        <f>IF(Formulario!O1008&lt;&gt;"",IF(Formulario!O1008=" ",".",Formulario!O1008),".")</f>
        <v>.</v>
      </c>
      <c r="S1000" s="141" t="s">
        <v>131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C2:F14"/>
  <sheetViews>
    <sheetView workbookViewId="0">
      <selection activeCell="E5" sqref="E5"/>
    </sheetView>
  </sheetViews>
  <sheetFormatPr baseColWidth="10" defaultRowHeight="15"/>
  <sheetData>
    <row r="2" spans="3:6">
      <c r="C2" s="153">
        <f>Formulario!J11</f>
        <v>43752</v>
      </c>
      <c r="D2" s="55">
        <f>WEEKDAY(C2)</f>
        <v>2</v>
      </c>
      <c r="E2" s="55">
        <f>9-D2</f>
        <v>7</v>
      </c>
      <c r="F2" s="55" t="s">
        <v>79</v>
      </c>
    </row>
    <row r="3" spans="3:6">
      <c r="C3" s="153">
        <f>C2+1</f>
        <v>43753</v>
      </c>
      <c r="D3" s="55">
        <f t="shared" ref="D3:D14" si="0">WEEKDAY(C3)</f>
        <v>3</v>
      </c>
      <c r="E3" s="55">
        <f>14-D3</f>
        <v>11</v>
      </c>
      <c r="F3" s="55"/>
    </row>
    <row r="4" spans="3:6">
      <c r="C4" s="153">
        <f t="shared" ref="C4:C14" si="1">C3+1</f>
        <v>43754</v>
      </c>
      <c r="D4" s="55">
        <f t="shared" si="0"/>
        <v>4</v>
      </c>
      <c r="E4" s="55"/>
      <c r="F4" s="55"/>
    </row>
    <row r="5" spans="3:6">
      <c r="C5" s="153">
        <f t="shared" si="1"/>
        <v>43755</v>
      </c>
      <c r="D5" s="55">
        <f t="shared" si="0"/>
        <v>5</v>
      </c>
      <c r="E5" s="153">
        <f>C2+E2</f>
        <v>43759</v>
      </c>
      <c r="F5" s="153">
        <f>C2+E3</f>
        <v>43763</v>
      </c>
    </row>
    <row r="6" spans="3:6">
      <c r="C6" s="153">
        <f t="shared" si="1"/>
        <v>43756</v>
      </c>
      <c r="D6" s="55">
        <f t="shared" si="0"/>
        <v>6</v>
      </c>
      <c r="E6" s="55"/>
      <c r="F6" s="55"/>
    </row>
    <row r="7" spans="3:6">
      <c r="C7" s="153">
        <f t="shared" si="1"/>
        <v>43757</v>
      </c>
      <c r="D7" s="55">
        <f t="shared" si="0"/>
        <v>7</v>
      </c>
      <c r="E7" s="55"/>
      <c r="F7" s="55"/>
    </row>
    <row r="8" spans="3:6">
      <c r="C8" s="153">
        <f t="shared" si="1"/>
        <v>43758</v>
      </c>
      <c r="D8" s="55">
        <f t="shared" si="0"/>
        <v>1</v>
      </c>
      <c r="E8" s="55"/>
      <c r="F8" s="55"/>
    </row>
    <row r="9" spans="3:6">
      <c r="C9" s="153">
        <f t="shared" si="1"/>
        <v>43759</v>
      </c>
      <c r="D9" s="55">
        <f t="shared" si="0"/>
        <v>2</v>
      </c>
      <c r="E9" s="55"/>
      <c r="F9" s="55"/>
    </row>
    <row r="10" spans="3:6">
      <c r="C10" s="153">
        <f t="shared" si="1"/>
        <v>43760</v>
      </c>
      <c r="D10" s="55">
        <f t="shared" si="0"/>
        <v>3</v>
      </c>
      <c r="E10" s="55"/>
      <c r="F10" s="55"/>
    </row>
    <row r="11" spans="3:6">
      <c r="C11" s="153">
        <f t="shared" si="1"/>
        <v>43761</v>
      </c>
      <c r="D11" s="55">
        <f t="shared" si="0"/>
        <v>4</v>
      </c>
      <c r="E11" s="55"/>
      <c r="F11" s="55"/>
    </row>
    <row r="12" spans="3:6">
      <c r="C12" s="153">
        <f t="shared" si="1"/>
        <v>43762</v>
      </c>
      <c r="D12" s="55">
        <f t="shared" si="0"/>
        <v>5</v>
      </c>
      <c r="E12" s="55"/>
      <c r="F12" s="55"/>
    </row>
    <row r="13" spans="3:6">
      <c r="C13" s="153">
        <f t="shared" si="1"/>
        <v>43763</v>
      </c>
      <c r="D13" s="55">
        <f t="shared" si="0"/>
        <v>6</v>
      </c>
      <c r="E13" s="55"/>
      <c r="F13" s="55"/>
    </row>
    <row r="14" spans="3:6">
      <c r="C14" s="153">
        <f t="shared" si="1"/>
        <v>43764</v>
      </c>
      <c r="D14" s="55">
        <f t="shared" si="0"/>
        <v>7</v>
      </c>
      <c r="E14" s="55"/>
      <c r="F14" s="5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24"/>
  <sheetViews>
    <sheetView workbookViewId="0">
      <selection activeCell="D20" sqref="D20"/>
    </sheetView>
  </sheetViews>
  <sheetFormatPr baseColWidth="10" defaultRowHeight="15"/>
  <cols>
    <col min="1" max="1" width="28.85546875" customWidth="1"/>
  </cols>
  <sheetData>
    <row r="1" spans="1:3">
      <c r="A1" s="10" t="s">
        <v>67</v>
      </c>
      <c r="C1" t="s">
        <v>129</v>
      </c>
    </row>
    <row r="2" spans="1:3">
      <c r="A2" t="s">
        <v>66</v>
      </c>
    </row>
    <row r="3" spans="1:3">
      <c r="A3" t="s">
        <v>13</v>
      </c>
    </row>
    <row r="4" spans="1:3">
      <c r="A4" t="s">
        <v>15</v>
      </c>
    </row>
    <row r="5" spans="1:3">
      <c r="A5" t="s">
        <v>55</v>
      </c>
    </row>
    <row r="6" spans="1:3">
      <c r="A6" t="s">
        <v>19</v>
      </c>
    </row>
    <row r="7" spans="1:3">
      <c r="A7" t="s">
        <v>56</v>
      </c>
    </row>
    <row r="8" spans="1:3">
      <c r="A8" t="s">
        <v>57</v>
      </c>
    </row>
    <row r="9" spans="1:3">
      <c r="A9" t="s">
        <v>24</v>
      </c>
    </row>
    <row r="10" spans="1:3">
      <c r="A10" t="s">
        <v>58</v>
      </c>
    </row>
    <row r="11" spans="1:3">
      <c r="A11" t="s">
        <v>59</v>
      </c>
    </row>
    <row r="12" spans="1:3">
      <c r="A12" t="s">
        <v>60</v>
      </c>
    </row>
    <row r="13" spans="1:3">
      <c r="A13" t="s">
        <v>61</v>
      </c>
    </row>
    <row r="14" spans="1:3">
      <c r="A14" t="s">
        <v>32</v>
      </c>
    </row>
    <row r="15" spans="1:3">
      <c r="A15" t="s">
        <v>62</v>
      </c>
    </row>
    <row r="16" spans="1:3">
      <c r="A16" t="s">
        <v>63</v>
      </c>
    </row>
    <row r="17" spans="1:1">
      <c r="A17" t="s">
        <v>34</v>
      </c>
    </row>
    <row r="18" spans="1:1">
      <c r="A18" t="s">
        <v>38</v>
      </c>
    </row>
    <row r="19" spans="1:1">
      <c r="A19" t="s">
        <v>64</v>
      </c>
    </row>
    <row r="20" spans="1:1">
      <c r="A20" t="s">
        <v>65</v>
      </c>
    </row>
    <row r="21" spans="1:1">
      <c r="A21" t="s">
        <v>44</v>
      </c>
    </row>
    <row r="22" spans="1:1" s="55" customFormat="1">
      <c r="A22" s="55" t="s">
        <v>136</v>
      </c>
    </row>
    <row r="23" spans="1:1" s="55" customFormat="1">
      <c r="A23" s="55" t="s">
        <v>137</v>
      </c>
    </row>
    <row r="24" spans="1:1">
      <c r="A24" t="s">
        <v>68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1:K29"/>
  <sheetViews>
    <sheetView workbookViewId="0">
      <selection activeCell="K3" sqref="K3"/>
    </sheetView>
  </sheetViews>
  <sheetFormatPr baseColWidth="10" defaultRowHeight="15"/>
  <cols>
    <col min="2" max="2" width="32.42578125" bestFit="1" customWidth="1"/>
    <col min="3" max="3" width="1.7109375" customWidth="1"/>
    <col min="4" max="4" width="33.5703125" customWidth="1"/>
    <col min="5" max="5" width="2.140625" customWidth="1"/>
    <col min="6" max="6" width="28" customWidth="1"/>
    <col min="7" max="7" width="1.7109375" customWidth="1"/>
  </cols>
  <sheetData>
    <row r="1" spans="2:11">
      <c r="B1" t="s">
        <v>80</v>
      </c>
      <c r="D1" t="s">
        <v>74</v>
      </c>
      <c r="F1" t="s">
        <v>94</v>
      </c>
      <c r="H1" t="s">
        <v>133</v>
      </c>
      <c r="I1" t="s">
        <v>134</v>
      </c>
      <c r="K1" t="s">
        <v>138</v>
      </c>
    </row>
    <row r="2" spans="2:11">
      <c r="B2" t="s">
        <v>81</v>
      </c>
      <c r="D2" s="157" t="s">
        <v>93</v>
      </c>
      <c r="F2" s="157" t="s">
        <v>102</v>
      </c>
      <c r="H2" s="157">
        <v>2</v>
      </c>
      <c r="I2" s="157" t="s">
        <v>131</v>
      </c>
      <c r="K2" t="s">
        <v>139</v>
      </c>
    </row>
    <row r="3" spans="2:11">
      <c r="B3" t="s">
        <v>70</v>
      </c>
      <c r="D3" s="157" t="s">
        <v>95</v>
      </c>
      <c r="F3" s="157" t="s">
        <v>103</v>
      </c>
      <c r="H3" s="157">
        <v>3</v>
      </c>
      <c r="I3" s="157" t="s">
        <v>132</v>
      </c>
      <c r="K3" t="s">
        <v>145</v>
      </c>
    </row>
    <row r="4" spans="2:11">
      <c r="B4" t="s">
        <v>82</v>
      </c>
      <c r="D4" s="157" t="s">
        <v>96</v>
      </c>
      <c r="F4" s="157" t="s">
        <v>104</v>
      </c>
    </row>
    <row r="5" spans="2:11">
      <c r="B5" t="s">
        <v>83</v>
      </c>
      <c r="D5" s="157" t="s">
        <v>97</v>
      </c>
      <c r="F5" s="157" t="s">
        <v>105</v>
      </c>
    </row>
    <row r="6" spans="2:11">
      <c r="B6" t="s">
        <v>84</v>
      </c>
      <c r="D6" s="157" t="s">
        <v>98</v>
      </c>
      <c r="F6" s="157" t="s">
        <v>106</v>
      </c>
    </row>
    <row r="7" spans="2:11">
      <c r="B7" t="s">
        <v>85</v>
      </c>
      <c r="D7" s="157" t="s">
        <v>99</v>
      </c>
      <c r="F7" s="157" t="s">
        <v>107</v>
      </c>
    </row>
    <row r="8" spans="2:11">
      <c r="B8" t="s">
        <v>86</v>
      </c>
      <c r="D8" s="157" t="s">
        <v>100</v>
      </c>
      <c r="F8" s="157" t="s">
        <v>108</v>
      </c>
    </row>
    <row r="9" spans="2:11">
      <c r="B9" t="s">
        <v>87</v>
      </c>
      <c r="D9" s="157" t="s">
        <v>101</v>
      </c>
      <c r="F9" s="157" t="s">
        <v>109</v>
      </c>
    </row>
    <row r="10" spans="2:11">
      <c r="B10" t="s">
        <v>88</v>
      </c>
      <c r="D10" s="157"/>
      <c r="F10" s="157" t="s">
        <v>110</v>
      </c>
    </row>
    <row r="11" spans="2:11">
      <c r="B11" t="s">
        <v>89</v>
      </c>
      <c r="D11" s="157"/>
      <c r="F11" s="157" t="s">
        <v>111</v>
      </c>
    </row>
    <row r="12" spans="2:11">
      <c r="B12" t="s">
        <v>90</v>
      </c>
      <c r="D12" s="157"/>
      <c r="F12" s="157" t="s">
        <v>112</v>
      </c>
    </row>
    <row r="13" spans="2:11">
      <c r="B13" t="s">
        <v>91</v>
      </c>
      <c r="F13" s="157" t="s">
        <v>113</v>
      </c>
    </row>
    <row r="14" spans="2:11">
      <c r="B14" t="s">
        <v>92</v>
      </c>
      <c r="F14" s="157" t="s">
        <v>114</v>
      </c>
    </row>
    <row r="15" spans="2:11">
      <c r="F15" s="157" t="s">
        <v>115</v>
      </c>
    </row>
    <row r="16" spans="2:11">
      <c r="F16" s="157" t="s">
        <v>116</v>
      </c>
    </row>
    <row r="17" spans="6:6">
      <c r="F17" s="157" t="s">
        <v>117</v>
      </c>
    </row>
    <row r="18" spans="6:6">
      <c r="F18" s="157" t="s">
        <v>118</v>
      </c>
    </row>
    <row r="19" spans="6:6">
      <c r="F19" s="157" t="s">
        <v>119</v>
      </c>
    </row>
    <row r="20" spans="6:6">
      <c r="F20" s="157" t="s">
        <v>120</v>
      </c>
    </row>
    <row r="21" spans="6:6">
      <c r="F21" s="157" t="s">
        <v>121</v>
      </c>
    </row>
    <row r="22" spans="6:6">
      <c r="F22" s="157" t="s">
        <v>122</v>
      </c>
    </row>
    <row r="23" spans="6:6">
      <c r="F23" s="157" t="s">
        <v>123</v>
      </c>
    </row>
    <row r="24" spans="6:6">
      <c r="F24" s="157" t="s">
        <v>124</v>
      </c>
    </row>
    <row r="25" spans="6:6">
      <c r="F25" s="157" t="s">
        <v>125</v>
      </c>
    </row>
    <row r="26" spans="6:6">
      <c r="F26" s="157" t="s">
        <v>126</v>
      </c>
    </row>
    <row r="27" spans="6:6">
      <c r="F27" s="157" t="s">
        <v>127</v>
      </c>
    </row>
    <row r="28" spans="6:6">
      <c r="F28" s="157" t="s">
        <v>113</v>
      </c>
    </row>
    <row r="29" spans="6:6">
      <c r="F29" s="157" t="s">
        <v>128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23"/>
  <sheetViews>
    <sheetView zoomScale="85" zoomScaleNormal="85" workbookViewId="0"/>
  </sheetViews>
  <sheetFormatPr baseColWidth="10" defaultColWidth="11.42578125" defaultRowHeight="15.75"/>
  <cols>
    <col min="1" max="1" width="5.7109375" style="7" customWidth="1"/>
    <col min="2" max="2" width="20.7109375" style="7" customWidth="1"/>
    <col min="3" max="3" width="30.7109375" style="7" customWidth="1"/>
  </cols>
  <sheetData>
    <row r="1" spans="1:16" ht="15.75" customHeight="1">
      <c r="A1"/>
      <c r="B1" s="4"/>
      <c r="C1" s="4"/>
    </row>
    <row r="2" spans="1:16" ht="41.1" customHeight="1">
      <c r="A2"/>
      <c r="B2" s="210" t="s">
        <v>10</v>
      </c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</row>
    <row r="3" spans="1:16" ht="41.1" customHeight="1">
      <c r="A3"/>
      <c r="B3" s="211" t="s">
        <v>3</v>
      </c>
      <c r="C3" s="211"/>
      <c r="D3" s="211"/>
      <c r="E3" s="211"/>
      <c r="F3" s="211"/>
      <c r="G3" s="211"/>
      <c r="H3" s="211"/>
      <c r="I3" s="211"/>
      <c r="J3" s="211"/>
      <c r="K3" s="211"/>
      <c r="L3" s="211"/>
      <c r="M3" s="211"/>
      <c r="N3" s="211"/>
      <c r="O3" s="211"/>
      <c r="P3" s="211"/>
    </row>
    <row r="4" spans="1:16" ht="15.75" customHeight="1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</row>
    <row r="5" spans="1:16" ht="39.950000000000003" customHeight="1">
      <c r="A5"/>
      <c r="B5" s="6" t="s">
        <v>11</v>
      </c>
      <c r="C5" s="6" t="s">
        <v>12</v>
      </c>
    </row>
    <row r="6" spans="1:16" ht="15.75" customHeight="1">
      <c r="B6" s="7" t="s">
        <v>13</v>
      </c>
      <c r="C6" s="7" t="s">
        <v>14</v>
      </c>
    </row>
    <row r="7" spans="1:16" ht="15.75" customHeight="1">
      <c r="B7" s="7" t="s">
        <v>15</v>
      </c>
      <c r="C7" s="7" t="s">
        <v>16</v>
      </c>
    </row>
    <row r="8" spans="1:16" ht="15.75" customHeight="1">
      <c r="B8" s="7" t="s">
        <v>17</v>
      </c>
      <c r="C8" s="7" t="s">
        <v>18</v>
      </c>
    </row>
    <row r="9" spans="1:16" ht="15.75" customHeight="1">
      <c r="B9" s="7" t="s">
        <v>19</v>
      </c>
      <c r="C9" s="7" t="s">
        <v>20</v>
      </c>
    </row>
    <row r="10" spans="1:16" ht="15.75" customHeight="1">
      <c r="B10" s="7" t="s">
        <v>7</v>
      </c>
      <c r="C10" s="7" t="s">
        <v>21</v>
      </c>
    </row>
    <row r="11" spans="1:16" ht="15.75" customHeight="1">
      <c r="B11" s="7" t="s">
        <v>22</v>
      </c>
      <c r="C11" s="7" t="s">
        <v>23</v>
      </c>
    </row>
    <row r="12" spans="1:16" ht="15.75" customHeight="1">
      <c r="B12" s="7" t="s">
        <v>24</v>
      </c>
      <c r="C12" s="7" t="s">
        <v>25</v>
      </c>
    </row>
    <row r="13" spans="1:16" ht="15.75" customHeight="1">
      <c r="B13" s="7" t="s">
        <v>26</v>
      </c>
      <c r="C13" s="7" t="s">
        <v>27</v>
      </c>
    </row>
    <row r="14" spans="1:16" ht="15.75" customHeight="1">
      <c r="B14" s="7" t="s">
        <v>28</v>
      </c>
      <c r="C14" s="7" t="s">
        <v>29</v>
      </c>
    </row>
    <row r="15" spans="1:16" ht="15.75" customHeight="1">
      <c r="B15" s="7" t="s">
        <v>30</v>
      </c>
      <c r="C15" s="7" t="s">
        <v>31</v>
      </c>
    </row>
    <row r="16" spans="1:16" ht="15.75" customHeight="1">
      <c r="B16" s="7" t="s">
        <v>32</v>
      </c>
      <c r="C16" s="7" t="s">
        <v>33</v>
      </c>
    </row>
    <row r="17" spans="2:3" ht="15.75" customHeight="1">
      <c r="B17" s="7" t="s">
        <v>34</v>
      </c>
      <c r="C17" s="7" t="s">
        <v>35</v>
      </c>
    </row>
    <row r="18" spans="2:3" ht="15.75" customHeight="1">
      <c r="B18" s="7" t="s">
        <v>36</v>
      </c>
      <c r="C18" s="7" t="s">
        <v>37</v>
      </c>
    </row>
    <row r="19" spans="2:3" ht="15.75" customHeight="1">
      <c r="B19" s="7" t="s">
        <v>38</v>
      </c>
      <c r="C19" s="7" t="s">
        <v>39</v>
      </c>
    </row>
    <row r="20" spans="2:3" ht="15.75" customHeight="1">
      <c r="B20" s="7" t="s">
        <v>40</v>
      </c>
      <c r="C20" s="7" t="s">
        <v>41</v>
      </c>
    </row>
    <row r="21" spans="2:3" ht="15.75" customHeight="1">
      <c r="B21" s="7" t="s">
        <v>42</v>
      </c>
      <c r="C21" s="7" t="s">
        <v>43</v>
      </c>
    </row>
    <row r="22" spans="2:3" ht="15.75" customHeight="1">
      <c r="B22" s="7" t="s">
        <v>44</v>
      </c>
      <c r="C22" s="7" t="s">
        <v>45</v>
      </c>
    </row>
    <row r="23" spans="2:3" ht="15.75" customHeight="1">
      <c r="B23" s="7" t="s">
        <v>46</v>
      </c>
      <c r="C23" s="7" t="s">
        <v>47</v>
      </c>
    </row>
  </sheetData>
  <mergeCells count="2">
    <mergeCell ref="B2:P2"/>
    <mergeCell ref="B3:P3"/>
  </mergeCell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2:B4"/>
  <sheetViews>
    <sheetView workbookViewId="0"/>
  </sheetViews>
  <sheetFormatPr baseColWidth="10" defaultColWidth="11.42578125" defaultRowHeight="15"/>
  <sheetData>
    <row r="2" spans="2:2">
      <c r="B2" t="s">
        <v>48</v>
      </c>
    </row>
    <row r="3" spans="2:2">
      <c r="B3" t="s">
        <v>49</v>
      </c>
    </row>
    <row r="4" spans="2:2">
      <c r="B4" t="s">
        <v>50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3</vt:i4>
      </vt:variant>
    </vt:vector>
  </HeadingPairs>
  <TitlesOfParts>
    <vt:vector size="10" baseType="lpstr">
      <vt:lpstr>Formulario</vt:lpstr>
      <vt:lpstr>CargaDatos</vt:lpstr>
      <vt:lpstr>Calculode dias</vt:lpstr>
      <vt:lpstr>Registro de proyectos</vt:lpstr>
      <vt:lpstr>Tablas</vt:lpstr>
      <vt:lpstr>Proyecto</vt:lpstr>
      <vt:lpstr>Estado</vt:lpstr>
      <vt:lpstr>Formulario!Área_de_impresión</vt:lpstr>
      <vt:lpstr>estado</vt:lpstr>
      <vt:lpstr>proyecto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pc</dc:creator>
  <cp:lastModifiedBy>eugenio escobar</cp:lastModifiedBy>
  <cp:lastPrinted>2018-11-08T21:05:44Z</cp:lastPrinted>
  <dcterms:created xsi:type="dcterms:W3CDTF">2016-02-21T23:21:20Z</dcterms:created>
  <dcterms:modified xsi:type="dcterms:W3CDTF">2020-03-04T06:50:20Z</dcterms:modified>
</cp:coreProperties>
</file>